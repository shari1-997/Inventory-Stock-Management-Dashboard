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F:\Work\Excel\03_Inventory Stock Management\"/>
    </mc:Choice>
  </mc:AlternateContent>
  <xr:revisionPtr revIDLastSave="0" documentId="13_ncr:1_{75C3CE7C-2595-47AB-8AEF-80C817D516F5}" xr6:coauthVersionLast="47" xr6:coauthVersionMax="47" xr10:uidLastSave="{00000000-0000-0000-0000-000000000000}"/>
  <bookViews>
    <workbookView xWindow="-110" yWindow="-110" windowWidth="19420" windowHeight="10300" tabRatio="728" activeTab="1" xr2:uid="{00000000-000D-0000-FFFF-FFFF00000000}"/>
  </bookViews>
  <sheets>
    <sheet name="Cleaned Inventory Data" sheetId="1" r:id="rId1"/>
    <sheet name="Dashboard" sheetId="11" r:id="rId2"/>
    <sheet name="PivotTables" sheetId="10" r:id="rId3"/>
    <sheet name="Inventory Summary" sheetId="6" r:id="rId4"/>
    <sheet name="KPI Summary" sheetId="7" r:id="rId5"/>
    <sheet name="Data Quality Log" sheetId="4" r:id="rId6"/>
  </sheets>
  <definedNames>
    <definedName name="_xlnm._FilterDatabase" localSheetId="0" hidden="1">'Cleaned Inventory Data'!$A$1:$O$1795</definedName>
  </definedNames>
  <calcPr calcId="181029"/>
  <pivotCaches>
    <pivotCache cacheId="96" r:id="rId7"/>
    <pivotCache cacheId="100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2" i="1"/>
  <c r="B1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2" i="1"/>
  <c r="K30" i="6" l="1"/>
  <c r="O30" i="6" s="1"/>
  <c r="L11" i="6"/>
  <c r="L7" i="6"/>
  <c r="M9" i="6"/>
  <c r="M15" i="6"/>
  <c r="M16" i="6"/>
  <c r="M29" i="6"/>
  <c r="K2" i="6"/>
  <c r="P2" i="6" s="1"/>
  <c r="K4" i="6"/>
  <c r="O4" i="6" s="1"/>
  <c r="L14" i="6"/>
  <c r="K18" i="6"/>
  <c r="O18" i="6" s="1"/>
  <c r="K21" i="6"/>
  <c r="P21" i="6" s="1"/>
  <c r="K26" i="6"/>
  <c r="N26" i="6" s="1"/>
  <c r="K24" i="6"/>
  <c r="N24" i="6" s="1"/>
  <c r="L30" i="6"/>
  <c r="L6" i="6"/>
  <c r="L17" i="6"/>
  <c r="L2" i="6"/>
  <c r="M11" i="6"/>
  <c r="M10" i="6"/>
  <c r="M7" i="6"/>
  <c r="M13" i="6"/>
  <c r="B5" i="7"/>
  <c r="K6" i="6"/>
  <c r="P6" i="6" s="1"/>
  <c r="K17" i="6"/>
  <c r="O17" i="6" s="1"/>
  <c r="L28" i="6"/>
  <c r="K23" i="6"/>
  <c r="N23" i="6" s="1"/>
  <c r="L4" i="6"/>
  <c r="L3" i="6"/>
  <c r="L5" i="6"/>
  <c r="M28" i="6"/>
  <c r="M20" i="6"/>
  <c r="M27" i="6"/>
  <c r="M8" i="6"/>
  <c r="M14" i="6"/>
  <c r="M31" i="6"/>
  <c r="L18" i="6"/>
  <c r="L21" i="6"/>
  <c r="L26" i="6"/>
  <c r="L24" i="6"/>
  <c r="M30" i="6"/>
  <c r="M6" i="6"/>
  <c r="M17" i="6"/>
  <c r="M2" i="6"/>
  <c r="B4" i="7"/>
  <c r="L10" i="6"/>
  <c r="L13" i="6"/>
  <c r="K3" i="6"/>
  <c r="O3" i="6" s="1"/>
  <c r="L27" i="6"/>
  <c r="M22" i="6"/>
  <c r="M12" i="6"/>
  <c r="K9" i="6"/>
  <c r="N9" i="6" s="1"/>
  <c r="K15" i="6"/>
  <c r="O15" i="6" s="1"/>
  <c r="K29" i="6"/>
  <c r="P29" i="6" s="1"/>
  <c r="K22" i="6"/>
  <c r="O22" i="6" s="1"/>
  <c r="K25" i="6"/>
  <c r="N25" i="6" s="1"/>
  <c r="K31" i="6"/>
  <c r="N31" i="6" s="1"/>
  <c r="K19" i="6"/>
  <c r="N19" i="6" s="1"/>
  <c r="K12" i="6"/>
  <c r="P12" i="6" s="1"/>
  <c r="L23" i="6"/>
  <c r="M4" i="6"/>
  <c r="M3" i="6"/>
  <c r="M5" i="6"/>
  <c r="L20" i="6"/>
  <c r="M25" i="6"/>
  <c r="K10" i="6"/>
  <c r="O10" i="6" s="1"/>
  <c r="K13" i="6"/>
  <c r="O13" i="6" s="1"/>
  <c r="L15" i="6"/>
  <c r="L16" i="6"/>
  <c r="L29" i="6"/>
  <c r="M18" i="6"/>
  <c r="M21" i="6"/>
  <c r="M26" i="6"/>
  <c r="M24" i="6"/>
  <c r="K5" i="6"/>
  <c r="P5" i="6" s="1"/>
  <c r="L8" i="6"/>
  <c r="M19" i="6"/>
  <c r="K16" i="6"/>
  <c r="N16" i="6" s="1"/>
  <c r="K11" i="6"/>
  <c r="P11" i="6" s="1"/>
  <c r="K7" i="6"/>
  <c r="P7" i="6" s="1"/>
  <c r="L9" i="6"/>
  <c r="K28" i="6"/>
  <c r="P28" i="6" s="1"/>
  <c r="K20" i="6"/>
  <c r="P20" i="6" s="1"/>
  <c r="K27" i="6"/>
  <c r="N27" i="6" s="1"/>
  <c r="K8" i="6"/>
  <c r="N8" i="6" s="1"/>
  <c r="K14" i="6"/>
  <c r="O14" i="6" s="1"/>
  <c r="L22" i="6"/>
  <c r="L25" i="6"/>
  <c r="L31" i="6"/>
  <c r="L19" i="6"/>
  <c r="L12" i="6"/>
  <c r="M23" i="6"/>
  <c r="B6" i="7"/>
  <c r="P4" i="6"/>
  <c r="N4" i="6"/>
  <c r="N18" i="6"/>
  <c r="O26" i="6"/>
  <c r="P26" i="6"/>
  <c r="P30" i="6"/>
  <c r="N30" i="6"/>
  <c r="P17" i="6" l="1"/>
  <c r="N17" i="6"/>
  <c r="O21" i="6"/>
  <c r="O23" i="6"/>
  <c r="P18" i="6"/>
  <c r="P23" i="6"/>
  <c r="N21" i="6"/>
  <c r="P9" i="6"/>
  <c r="O9" i="6"/>
  <c r="N10" i="6"/>
  <c r="O19" i="6"/>
  <c r="O20" i="6"/>
  <c r="N5" i="6"/>
  <c r="N12" i="6"/>
  <c r="O12" i="6"/>
  <c r="P13" i="6"/>
  <c r="O5" i="6"/>
  <c r="N20" i="6"/>
  <c r="O29" i="6"/>
  <c r="N13" i="6"/>
  <c r="P19" i="6"/>
  <c r="N22" i="6"/>
  <c r="O2" i="6"/>
  <c r="O28" i="6"/>
  <c r="P22" i="6"/>
  <c r="O6" i="6"/>
  <c r="N2" i="6"/>
  <c r="P10" i="6"/>
  <c r="O11" i="6"/>
  <c r="P16" i="6"/>
  <c r="O16" i="6"/>
  <c r="N15" i="6"/>
  <c r="P24" i="6"/>
  <c r="P14" i="6"/>
  <c r="N14" i="6"/>
  <c r="O24" i="6"/>
  <c r="N6" i="6"/>
  <c r="N29" i="6"/>
  <c r="P27" i="6"/>
  <c r="P15" i="6"/>
  <c r="N3" i="6"/>
  <c r="P3" i="6"/>
  <c r="P8" i="6"/>
  <c r="N11" i="6"/>
  <c r="O8" i="6"/>
  <c r="P25" i="6"/>
  <c r="O7" i="6"/>
  <c r="O25" i="6"/>
  <c r="N7" i="6"/>
  <c r="P31" i="6"/>
  <c r="O31" i="6"/>
  <c r="N28" i="6"/>
  <c r="O27" i="6"/>
  <c r="B8" i="7" l="1"/>
  <c r="B2" i="7"/>
  <c r="B7" i="7"/>
</calcChain>
</file>

<file path=xl/sharedStrings.xml><?xml version="1.0" encoding="utf-8"?>
<sst xmlns="http://schemas.openxmlformats.org/spreadsheetml/2006/main" count="11630" uniqueCount="2579">
  <si>
    <t>Transaction ID</t>
  </si>
  <si>
    <t>Transaction Date</t>
  </si>
  <si>
    <t>Product ID</t>
  </si>
  <si>
    <t>Transaction Type</t>
  </si>
  <si>
    <t>Quantity</t>
  </si>
  <si>
    <t>Warehouse</t>
  </si>
  <si>
    <t>Supplier</t>
  </si>
  <si>
    <t>Supplier Country</t>
  </si>
  <si>
    <t>Unit Cost</t>
  </si>
  <si>
    <t>Unit Price</t>
  </si>
  <si>
    <t>Purchase Order</t>
  </si>
  <si>
    <t>INV-01067</t>
  </si>
  <si>
    <t>P008</t>
  </si>
  <si>
    <t>Sale</t>
  </si>
  <si>
    <t>Central Warehouse</t>
  </si>
  <si>
    <t>BrightHome</t>
  </si>
  <si>
    <t>China</t>
  </si>
  <si>
    <t>INV-00742</t>
  </si>
  <si>
    <t>P011</t>
  </si>
  <si>
    <t>South Warehouse</t>
  </si>
  <si>
    <t>PaperMate</t>
  </si>
  <si>
    <t>Germany</t>
  </si>
  <si>
    <t>INV-00128</t>
  </si>
  <si>
    <t>P028</t>
  </si>
  <si>
    <t>North Warehouse</t>
  </si>
  <si>
    <t>PackRight</t>
  </si>
  <si>
    <t>Poland</t>
  </si>
  <si>
    <t>INV-01061</t>
  </si>
  <si>
    <t>INV-01015</t>
  </si>
  <si>
    <t>P023</t>
  </si>
  <si>
    <t>DeskWorks</t>
  </si>
  <si>
    <t>INV-00334</t>
  </si>
  <si>
    <t>P004</t>
  </si>
  <si>
    <t>SoundMax</t>
  </si>
  <si>
    <t>Vietnam</t>
  </si>
  <si>
    <t>INV-01350</t>
  </si>
  <si>
    <t>P001</t>
  </si>
  <si>
    <t>TechGear</t>
  </si>
  <si>
    <t>INV-00089</t>
  </si>
  <si>
    <t>INV-00898</t>
  </si>
  <si>
    <t>Purchase</t>
  </si>
  <si>
    <t>PO-58135</t>
  </si>
  <si>
    <t>INV-00725</t>
  </si>
  <si>
    <t>P018</t>
  </si>
  <si>
    <t>DataStore</t>
  </si>
  <si>
    <t>South Korea</t>
  </si>
  <si>
    <t>INV-00503</t>
  </si>
  <si>
    <t>INV-00781</t>
  </si>
  <si>
    <t>P022</t>
  </si>
  <si>
    <t>HydroLife</t>
  </si>
  <si>
    <t>PO-72744</t>
  </si>
  <si>
    <t>INV-00421</t>
  </si>
  <si>
    <t>P025</t>
  </si>
  <si>
    <t>INV-01652</t>
  </si>
  <si>
    <t>INV-01010</t>
  </si>
  <si>
    <t>P016</t>
  </si>
  <si>
    <t>ConnectX</t>
  </si>
  <si>
    <t>INV-01438</t>
  </si>
  <si>
    <t>Adjustment</t>
  </si>
  <si>
    <t>INV-01604</t>
  </si>
  <si>
    <t>P012</t>
  </si>
  <si>
    <t>WriteWell</t>
  </si>
  <si>
    <t>France</t>
  </si>
  <si>
    <t>PO-96274</t>
  </si>
  <si>
    <t>INV-01592</t>
  </si>
  <si>
    <t>P030</t>
  </si>
  <si>
    <t>Return</t>
  </si>
  <si>
    <t>StoreMax</t>
  </si>
  <si>
    <t>INV-00581</t>
  </si>
  <si>
    <t>P015</t>
  </si>
  <si>
    <t>VoltPro</t>
  </si>
  <si>
    <t>INV-01056</t>
  </si>
  <si>
    <t>INV-01732</t>
  </si>
  <si>
    <t>P020</t>
  </si>
  <si>
    <t>PrintTech</t>
  </si>
  <si>
    <t>Japan</t>
  </si>
  <si>
    <t>INV-01677</t>
  </si>
  <si>
    <t>P002</t>
  </si>
  <si>
    <t>KeyPro</t>
  </si>
  <si>
    <t>INV-00341</t>
  </si>
  <si>
    <t>INV-01128</t>
  </si>
  <si>
    <t>P013</t>
  </si>
  <si>
    <t>INV-01691</t>
  </si>
  <si>
    <t>P006</t>
  </si>
  <si>
    <t>ViewPlus</t>
  </si>
  <si>
    <t>PO-10319</t>
  </si>
  <si>
    <t>INV-00297</t>
  </si>
  <si>
    <t>P024</t>
  </si>
  <si>
    <t>CalcPlus</t>
  </si>
  <si>
    <t>INV-00931</t>
  </si>
  <si>
    <t>INV-00133</t>
  </si>
  <si>
    <t>INV-00090</t>
  </si>
  <si>
    <t>INV-00456</t>
  </si>
  <si>
    <t>INV-01711</t>
  </si>
  <si>
    <t>P005</t>
  </si>
  <si>
    <t>VisionTech</t>
  </si>
  <si>
    <t>PO-54078</t>
  </si>
  <si>
    <t>INV-01708</t>
  </si>
  <si>
    <t>P007</t>
  </si>
  <si>
    <t>INV-01116</t>
  </si>
  <si>
    <t>INV-01543</t>
  </si>
  <si>
    <t>INV-00326</t>
  </si>
  <si>
    <t>INV-00006</t>
  </si>
  <si>
    <t>INV-01366</t>
  </si>
  <si>
    <t>INV-00425</t>
  </si>
  <si>
    <t>PO-17887</t>
  </si>
  <si>
    <t>INV-00153</t>
  </si>
  <si>
    <t>INV-00822</t>
  </si>
  <si>
    <t>INV-00310</t>
  </si>
  <si>
    <t>P009</t>
  </si>
  <si>
    <t>ComfortPro</t>
  </si>
  <si>
    <t>INV-00989</t>
  </si>
  <si>
    <t>INV-00190</t>
  </si>
  <si>
    <t>INV-00681</t>
  </si>
  <si>
    <t>PO-16869</t>
  </si>
  <si>
    <t>INV-01521</t>
  </si>
  <si>
    <t>INV-00087</t>
  </si>
  <si>
    <t>PO-66151</t>
  </si>
  <si>
    <t>INV-01038</t>
  </si>
  <si>
    <t>PO-91614</t>
  </si>
  <si>
    <t>INV-01440</t>
  </si>
  <si>
    <t>INV-00437</t>
  </si>
  <si>
    <t>INV-00871</t>
  </si>
  <si>
    <t>INV-01383</t>
  </si>
  <si>
    <t>PO-97363</t>
  </si>
  <si>
    <t>INV-00664</t>
  </si>
  <si>
    <t>INV-00754</t>
  </si>
  <si>
    <t>INV-01426</t>
  </si>
  <si>
    <t>INV-01325</t>
  </si>
  <si>
    <t>INV-01237</t>
  </si>
  <si>
    <t>INV-00008</t>
  </si>
  <si>
    <t>PO-37659</t>
  </si>
  <si>
    <t>INV-00275</t>
  </si>
  <si>
    <t>INV-00374</t>
  </si>
  <si>
    <t>INV-00667</t>
  </si>
  <si>
    <t>INV-00634</t>
  </si>
  <si>
    <t>P017</t>
  </si>
  <si>
    <t>PO-65032</t>
  </si>
  <si>
    <t>INV-00284</t>
  </si>
  <si>
    <t>P003</t>
  </si>
  <si>
    <t>INV-00325</t>
  </si>
  <si>
    <t>P029</t>
  </si>
  <si>
    <t>INV-00578</t>
  </si>
  <si>
    <t>INV-01790</t>
  </si>
  <si>
    <t>PO-49328</t>
  </si>
  <si>
    <t>INV-01356</t>
  </si>
  <si>
    <t>INV-00350</t>
  </si>
  <si>
    <t>INV-00907</t>
  </si>
  <si>
    <t>PO-62136</t>
  </si>
  <si>
    <t>INV-01090</t>
  </si>
  <si>
    <t>INV-01443</t>
  </si>
  <si>
    <t>INV-01519</t>
  </si>
  <si>
    <t>INV-01637</t>
  </si>
  <si>
    <t>PO-61364</t>
  </si>
  <si>
    <t>INV-01725</t>
  </si>
  <si>
    <t>PO-15703</t>
  </si>
  <si>
    <t>INV-01757</t>
  </si>
  <si>
    <t>PO-84716</t>
  </si>
  <si>
    <t>INV-01469</t>
  </si>
  <si>
    <t>INV-01290</t>
  </si>
  <si>
    <t>PO-75350</t>
  </si>
  <si>
    <t>INV-01563</t>
  </si>
  <si>
    <t>INV-00629</t>
  </si>
  <si>
    <t>PO-35146</t>
  </si>
  <si>
    <t>INV-01472</t>
  </si>
  <si>
    <t>PO-75587</t>
  </si>
  <si>
    <t>INV-00381</t>
  </si>
  <si>
    <t>PO-70071</t>
  </si>
  <si>
    <t>INV-01194</t>
  </si>
  <si>
    <t>INV-01219</t>
  </si>
  <si>
    <t>P021</t>
  </si>
  <si>
    <t>TravelPro</t>
  </si>
  <si>
    <t>PO-53484</t>
  </si>
  <si>
    <t>INV-01362</t>
  </si>
  <si>
    <t>PO-56104</t>
  </si>
  <si>
    <t>INV-01458</t>
  </si>
  <si>
    <t>PO-20537</t>
  </si>
  <si>
    <t>INV-00945</t>
  </si>
  <si>
    <t>INV-00457</t>
  </si>
  <si>
    <t>INV-00707</t>
  </si>
  <si>
    <t>INV-00111</t>
  </si>
  <si>
    <t>PO-48333</t>
  </si>
  <si>
    <t>INV-01220</t>
  </si>
  <si>
    <t>INV-00519</t>
  </si>
  <si>
    <t>INV-01065</t>
  </si>
  <si>
    <t>P014</t>
  </si>
  <si>
    <t>INV-01165</t>
  </si>
  <si>
    <t>INV-01297</t>
  </si>
  <si>
    <t>INV-01129</t>
  </si>
  <si>
    <t>WRITEWELL</t>
  </si>
  <si>
    <t>INV-01283</t>
  </si>
  <si>
    <t>PO-14746</t>
  </si>
  <si>
    <t>INV-00900</t>
  </si>
  <si>
    <t>INV-00602</t>
  </si>
  <si>
    <t>P010</t>
  </si>
  <si>
    <t>ErgoSpace</t>
  </si>
  <si>
    <t>PO-17283</t>
  </si>
  <si>
    <t>INV-00974</t>
  </si>
  <si>
    <t>INV-01180</t>
  </si>
  <si>
    <t>INV-01344</t>
  </si>
  <si>
    <t>INV-01761</t>
  </si>
  <si>
    <t>PO-69622</t>
  </si>
  <si>
    <t>INV-01121</t>
  </si>
  <si>
    <t>PO-50639</t>
  </si>
  <si>
    <t>INV-00142</t>
  </si>
  <si>
    <t>PO-65063</t>
  </si>
  <si>
    <t>INV-01160</t>
  </si>
  <si>
    <t>INV-00125</t>
  </si>
  <si>
    <t>INV-01267</t>
  </si>
  <si>
    <t>PO-41127</t>
  </si>
  <si>
    <t>INV-01072</t>
  </si>
  <si>
    <t>INV-01476</t>
  </si>
  <si>
    <t>INV-00568</t>
  </si>
  <si>
    <t>INV-01359</t>
  </si>
  <si>
    <t>INV-00715</t>
  </si>
  <si>
    <t>INV-01680</t>
  </si>
  <si>
    <t>INV-01092</t>
  </si>
  <si>
    <t>INV-01624</t>
  </si>
  <si>
    <t>PO-19004</t>
  </si>
  <si>
    <t>INV-01054</t>
  </si>
  <si>
    <t>INV-00897</t>
  </si>
  <si>
    <t>INV-00372</t>
  </si>
  <si>
    <t>PO-93707</t>
  </si>
  <si>
    <t>INV-00451</t>
  </si>
  <si>
    <t>PO-92494</t>
  </si>
  <si>
    <t>INV-00829</t>
  </si>
  <si>
    <t>INV-00166</t>
  </si>
  <si>
    <t>P026</t>
  </si>
  <si>
    <t>ScanPro</t>
  </si>
  <si>
    <t>INV-01620</t>
  </si>
  <si>
    <t>PO-85706</t>
  </si>
  <si>
    <t>INV-00410</t>
  </si>
  <si>
    <t>INV-00661</t>
  </si>
  <si>
    <t>INV-00588</t>
  </si>
  <si>
    <t>INV-00487</t>
  </si>
  <si>
    <t>INV-01001</t>
  </si>
  <si>
    <t>INV-01571</t>
  </si>
  <si>
    <t>PO-33880</t>
  </si>
  <si>
    <t>INV-00919</t>
  </si>
  <si>
    <t>INV-00127</t>
  </si>
  <si>
    <t>INV-00559</t>
  </si>
  <si>
    <t>INV-00110</t>
  </si>
  <si>
    <t>PO-50004</t>
  </si>
  <si>
    <t>INV-00103</t>
  </si>
  <si>
    <t>INV-00764</t>
  </si>
  <si>
    <t>PO-31213</t>
  </si>
  <si>
    <t>INV-00572</t>
  </si>
  <si>
    <t>INV-00218</t>
  </si>
  <si>
    <t>INV-01027</t>
  </si>
  <si>
    <t>INV-00909</t>
  </si>
  <si>
    <t>PO-99796</t>
  </si>
  <si>
    <t>INV-01181</t>
  </si>
  <si>
    <t>INV-01768</t>
  </si>
  <si>
    <t>INV-00702</t>
  </si>
  <si>
    <t>INV-00952</t>
  </si>
  <si>
    <t>INV-01561</t>
  </si>
  <si>
    <t>INV-00603</t>
  </si>
  <si>
    <t>INV-00936</t>
  </si>
  <si>
    <t>INV-00857</t>
  </si>
  <si>
    <t>INV-00215</t>
  </si>
  <si>
    <t>INV-01057</t>
  </si>
  <si>
    <t>PO-58268</t>
  </si>
  <si>
    <t>INV-01242</t>
  </si>
  <si>
    <t>INV-00542</t>
  </si>
  <si>
    <t>PO-92735</t>
  </si>
  <si>
    <t>INV-00281</t>
  </si>
  <si>
    <t>PO-93127</t>
  </si>
  <si>
    <t>INV-00921</t>
  </si>
  <si>
    <t>INV-00363</t>
  </si>
  <si>
    <t>INV-01265</t>
  </si>
  <si>
    <t>INV-01776</t>
  </si>
  <si>
    <t>INV-00858</t>
  </si>
  <si>
    <t>INV-00785</t>
  </si>
  <si>
    <t>INV-00027</t>
  </si>
  <si>
    <t>PO-24633</t>
  </si>
  <si>
    <t>INV-01154</t>
  </si>
  <si>
    <t>INV-01263</t>
  </si>
  <si>
    <t>INV-01484</t>
  </si>
  <si>
    <t>INV-01714</t>
  </si>
  <si>
    <t>INV-01598</t>
  </si>
  <si>
    <t>INV-00075</t>
  </si>
  <si>
    <t>INV-00587</t>
  </si>
  <si>
    <t>INV-00645</t>
  </si>
  <si>
    <t>INV-01069</t>
  </si>
  <si>
    <t>PO-50761</t>
  </si>
  <si>
    <t>INV-00005</t>
  </si>
  <si>
    <t>INV-00141</t>
  </si>
  <si>
    <t>PO-82887</t>
  </si>
  <si>
    <t>INV-01718</t>
  </si>
  <si>
    <t>INV-00798</t>
  </si>
  <si>
    <t>INV-00370</t>
  </si>
  <si>
    <t>PO-10036</t>
  </si>
  <si>
    <t>INV-00382</t>
  </si>
  <si>
    <t>PO-83601</t>
  </si>
  <si>
    <t>INV-00828</t>
  </si>
  <si>
    <t>INV-00683</t>
  </si>
  <si>
    <t>INV-01415</t>
  </si>
  <si>
    <t>PO-90983</t>
  </si>
  <si>
    <t>INV-00633</t>
  </si>
  <si>
    <t>INV-00419</t>
  </si>
  <si>
    <t>INV-00972</t>
  </si>
  <si>
    <t>PO-21244</t>
  </si>
  <si>
    <t>INV-01353</t>
  </si>
  <si>
    <t>INV-00606</t>
  </si>
  <si>
    <t>INV-01184</t>
  </si>
  <si>
    <t>INV-01003</t>
  </si>
  <si>
    <t>INV-00100</t>
  </si>
  <si>
    <t>INV-01615</t>
  </si>
  <si>
    <t>INV-01103</t>
  </si>
  <si>
    <t>PO-50318</t>
  </si>
  <si>
    <t>INV-00533</t>
  </si>
  <si>
    <t>INV-01503</t>
  </si>
  <si>
    <t>INV-01404</t>
  </si>
  <si>
    <t>INV-00074</t>
  </si>
  <si>
    <t>INV-01771</t>
  </si>
  <si>
    <t>PO-90146</t>
  </si>
  <si>
    <t>INV-00575</t>
  </si>
  <si>
    <t>INV-01169</t>
  </si>
  <si>
    <t>INV-01143</t>
  </si>
  <si>
    <t>PO-13065</t>
  </si>
  <si>
    <t>INV-01588</t>
  </si>
  <si>
    <t>INV-00511</t>
  </si>
  <si>
    <t>INV-00899</t>
  </si>
  <si>
    <t>INV-01302</t>
  </si>
  <si>
    <t>INV-00077</t>
  </si>
  <si>
    <t>INV-00038</t>
  </si>
  <si>
    <t>PO-69900</t>
  </si>
  <si>
    <t>INV-01699</t>
  </si>
  <si>
    <t>PO-14791</t>
  </si>
  <si>
    <t>INV-00841</t>
  </si>
  <si>
    <t>PO-28812</t>
  </si>
  <si>
    <t>INV-00910</t>
  </si>
  <si>
    <t>PO-56733</t>
  </si>
  <si>
    <t>INV-01449</t>
  </si>
  <si>
    <t>INV-01089</t>
  </si>
  <si>
    <t>INV-00809</t>
  </si>
  <si>
    <t>INV-01541</t>
  </si>
  <si>
    <t>INV-01009</t>
  </si>
  <si>
    <t>INV-00738</t>
  </si>
  <si>
    <t>PO-94390</t>
  </si>
  <si>
    <t>INV-00246</t>
  </si>
  <si>
    <t>INV-00025</t>
  </si>
  <si>
    <t>INV-01082</t>
  </si>
  <si>
    <t>INV-00469</t>
  </si>
  <si>
    <t>PO-94787</t>
  </si>
  <si>
    <t>INV-00605</t>
  </si>
  <si>
    <t>INV-01529</t>
  </si>
  <si>
    <t>PO-89400</t>
  </si>
  <si>
    <t>INV-00115</t>
  </si>
  <si>
    <t>INV-00521</t>
  </si>
  <si>
    <t>P019</t>
  </si>
  <si>
    <t>INV-00289</t>
  </si>
  <si>
    <t>INV-01375</t>
  </si>
  <si>
    <t>PO-69945</t>
  </si>
  <si>
    <t>INV-01124</t>
  </si>
  <si>
    <t>PO-33482</t>
  </si>
  <si>
    <t>INV-01338</t>
  </si>
  <si>
    <t>INV-01334</t>
  </si>
  <si>
    <t>INV-01249</t>
  </si>
  <si>
    <t>INV-00369</t>
  </si>
  <si>
    <t>INV-00842</t>
  </si>
  <si>
    <t>PO-65309</t>
  </si>
  <si>
    <t>INV-00852</t>
  </si>
  <si>
    <t>INV-00018</t>
  </si>
  <si>
    <t>INV-00620</t>
  </si>
  <si>
    <t>INV-01190</t>
  </si>
  <si>
    <t>INV-00282</t>
  </si>
  <si>
    <t>PO-78232</t>
  </si>
  <si>
    <t>INV-00235</t>
  </si>
  <si>
    <t>INV-00491</t>
  </si>
  <si>
    <t>INV-01230</t>
  </si>
  <si>
    <t>INV-01246</t>
  </si>
  <si>
    <t>INV-01425</t>
  </si>
  <si>
    <t>PO-33446</t>
  </si>
  <si>
    <t>INV-00993</t>
  </si>
  <si>
    <t>INV-01005</t>
  </si>
  <si>
    <t>INV-00189</t>
  </si>
  <si>
    <t>INV-01097</t>
  </si>
  <si>
    <t>INV-01629</t>
  </si>
  <si>
    <t>CONNECTX</t>
  </si>
  <si>
    <t>INV-00139</t>
  </si>
  <si>
    <t>INV-00774</t>
  </si>
  <si>
    <t>INV-01122</t>
  </si>
  <si>
    <t>INV-00159</t>
  </si>
  <si>
    <t>INV-01517</t>
  </si>
  <si>
    <t>INV-00486</t>
  </si>
  <si>
    <t>PO-97412</t>
  </si>
  <si>
    <t>INV-01047</t>
  </si>
  <si>
    <t>INV-01141</t>
  </si>
  <si>
    <t>PO-40048</t>
  </si>
  <si>
    <t>INV-01328</t>
  </si>
  <si>
    <t>PO-20265</t>
  </si>
  <si>
    <t>INV-00697</t>
  </si>
  <si>
    <t>INV-00933</t>
  </si>
  <si>
    <t>PO-89876</t>
  </si>
  <si>
    <t>INV-00600</t>
  </si>
  <si>
    <t>INV-00768</t>
  </si>
  <si>
    <t>PO-20411</t>
  </si>
  <si>
    <t>INV-00267</t>
  </si>
  <si>
    <t>PO-19244</t>
  </si>
  <si>
    <t>INV-01262</t>
  </si>
  <si>
    <t>PO-76320</t>
  </si>
  <si>
    <t>INV-00255</t>
  </si>
  <si>
    <t>INV-01686</t>
  </si>
  <si>
    <t>INV-01410</t>
  </si>
  <si>
    <t>INV-00015</t>
  </si>
  <si>
    <t>PO-66697</t>
  </si>
  <si>
    <t>INV-00200</t>
  </si>
  <si>
    <t>PO-70839</t>
  </si>
  <si>
    <t>INV-00119</t>
  </si>
  <si>
    <t>INV-01724</t>
  </si>
  <si>
    <t>PO-71901</t>
  </si>
  <si>
    <t>INV-00545</t>
  </si>
  <si>
    <t>INV-00625</t>
  </si>
  <si>
    <t>PO-71596</t>
  </si>
  <si>
    <t>INV-00093</t>
  </si>
  <si>
    <t>INV-00672</t>
  </si>
  <si>
    <t>INV-00327</t>
  </si>
  <si>
    <t>INV-00709</t>
  </si>
  <si>
    <t>INV-01014</t>
  </si>
  <si>
    <t>PO-90219</t>
  </si>
  <si>
    <t>INV-00187</t>
  </si>
  <si>
    <t>INV-00868</t>
  </si>
  <si>
    <t>INV-01137</t>
  </si>
  <si>
    <t>INV-01221</t>
  </si>
  <si>
    <t>PO-73869</t>
  </si>
  <si>
    <t>INV-00044</t>
  </si>
  <si>
    <t>INV-00285</t>
  </si>
  <si>
    <t>INV-00821</t>
  </si>
  <si>
    <t>INV-01497</t>
  </si>
  <si>
    <t>INV-00562</t>
  </si>
  <si>
    <t>INV-00980</t>
  </si>
  <si>
    <t>PO-73230</t>
  </si>
  <si>
    <t>INV-00935</t>
  </si>
  <si>
    <t>INV-01760</t>
  </si>
  <si>
    <t>INV-00320</t>
  </si>
  <si>
    <t>INV-01336</t>
  </si>
  <si>
    <t>INV-00601</t>
  </si>
  <si>
    <t>INV-00358</t>
  </si>
  <si>
    <t>INV-01523</t>
  </si>
  <si>
    <t>INV-01482</t>
  </si>
  <si>
    <t>PO-85720</t>
  </si>
  <si>
    <t>INV-00254</t>
  </si>
  <si>
    <t>INV-00869</t>
  </si>
  <si>
    <t>INV-00435</t>
  </si>
  <si>
    <t>INV-00397</t>
  </si>
  <si>
    <t>INV-00740</t>
  </si>
  <si>
    <t>INV-00238</t>
  </si>
  <si>
    <t>PO-71606</t>
  </si>
  <si>
    <t>INV-00134</t>
  </si>
  <si>
    <t>INV-00428</t>
  </si>
  <si>
    <t>INV-00527</t>
  </si>
  <si>
    <t>INV-00959</t>
  </si>
  <si>
    <t>INV-01402</t>
  </si>
  <si>
    <t>INV-01735</t>
  </si>
  <si>
    <t>PO-70077</t>
  </si>
  <si>
    <t>INV-01282</t>
  </si>
  <si>
    <t>INV-00851</t>
  </si>
  <si>
    <t>PO-51628</t>
  </si>
  <si>
    <t>INV-00623</t>
  </si>
  <si>
    <t>INV-00207</t>
  </si>
  <si>
    <t>INV-00878</t>
  </si>
  <si>
    <t>PO-12347</t>
  </si>
  <si>
    <t>INV-01593</t>
  </si>
  <si>
    <t>INV-01153</t>
  </si>
  <si>
    <t>INV-00777</t>
  </si>
  <si>
    <t>INV-01749</t>
  </si>
  <si>
    <t>PO-78147</t>
  </si>
  <si>
    <t>INV-01728</t>
  </si>
  <si>
    <t>INV-00985</t>
  </si>
  <si>
    <t>INV-00300</t>
  </si>
  <si>
    <t>INV-00180</t>
  </si>
  <si>
    <t>INV-00618</t>
  </si>
  <si>
    <t>PO-29346</t>
  </si>
  <si>
    <t>INV-01537</t>
  </si>
  <si>
    <t>INV-00704</t>
  </si>
  <si>
    <t>INV-00903</t>
  </si>
  <si>
    <t>PO-29199</t>
  </si>
  <si>
    <t>INV-00112</t>
  </si>
  <si>
    <t>INV-00138</t>
  </si>
  <si>
    <t>INV-00104</t>
  </si>
  <si>
    <t>PO-84527</t>
  </si>
  <si>
    <t>INV-01156</t>
  </si>
  <si>
    <t>INV-01104</t>
  </si>
  <si>
    <t>INV-01767</t>
  </si>
  <si>
    <t>INV-00480</t>
  </si>
  <si>
    <t>PO-95464</t>
  </si>
  <si>
    <t>DESKWORKS</t>
  </si>
  <si>
    <t>INV-01253</t>
  </si>
  <si>
    <t>PO-13017</t>
  </si>
  <si>
    <t>INV-01488</t>
  </si>
  <si>
    <t>INV-01581</t>
  </si>
  <si>
    <t>INV-01127</t>
  </si>
  <si>
    <t>INV-01204</t>
  </si>
  <si>
    <t>INV-00494</t>
  </si>
  <si>
    <t>INV-00186</t>
  </si>
  <si>
    <t>PO-99595</t>
  </si>
  <si>
    <t>INV-01351</t>
  </si>
  <si>
    <t>INV-01453</t>
  </si>
  <si>
    <t>INV-00161</t>
  </si>
  <si>
    <t>PO-20638</t>
  </si>
  <si>
    <t>INV-01534</t>
  </si>
  <si>
    <t>PO-17043</t>
  </si>
  <si>
    <t>INV-00507</t>
  </si>
  <si>
    <t>PO-58817</t>
  </si>
  <si>
    <t>INV-01099</t>
  </si>
  <si>
    <t>INV-01145</t>
  </si>
  <si>
    <t>INV-00908</t>
  </si>
  <si>
    <t>PO-46575</t>
  </si>
  <si>
    <t>INV-01018</t>
  </si>
  <si>
    <t>PO-88616</t>
  </si>
  <si>
    <t>INV-00705</t>
  </si>
  <si>
    <t>PO-45613</t>
  </si>
  <si>
    <t>INV-01730</t>
  </si>
  <si>
    <t>INV-00132</t>
  </si>
  <si>
    <t>INV-01587</t>
  </si>
  <si>
    <t>PO-80966</t>
  </si>
  <si>
    <t>INV-01452</t>
  </si>
  <si>
    <t>PO-38208</t>
  </si>
  <si>
    <t>INV-01049</t>
  </si>
  <si>
    <t>INV-01377</t>
  </si>
  <si>
    <t>INV-01256</t>
  </si>
  <si>
    <t>INV-01655</t>
  </si>
  <si>
    <t>INV-00492</t>
  </si>
  <si>
    <t>PO-24179</t>
  </si>
  <si>
    <t>INV-01638</t>
  </si>
  <si>
    <t>INV-00513</t>
  </si>
  <si>
    <t>INV-01025</t>
  </si>
  <si>
    <t>PO-47805</t>
  </si>
  <si>
    <t>INV-01231</t>
  </si>
  <si>
    <t>PO-88497</t>
  </si>
  <si>
    <t>INV-01243</t>
  </si>
  <si>
    <t>PO-59410</t>
  </si>
  <si>
    <t>INV-00319</t>
  </si>
  <si>
    <t>PO-30092</t>
  </si>
  <si>
    <t>INV-01120</t>
  </si>
  <si>
    <t>PO-99900</t>
  </si>
  <si>
    <t>INV-01185</t>
  </si>
  <si>
    <t>INV-00815</t>
  </si>
  <si>
    <t>PO-87502</t>
  </si>
  <si>
    <t>INV-00197</t>
  </si>
  <si>
    <t>INV-00752</t>
  </si>
  <si>
    <t>PO-30044</t>
  </si>
  <si>
    <t>INV-00083</t>
  </si>
  <si>
    <t>INV-00431</t>
  </si>
  <si>
    <t>INV-00700</t>
  </si>
  <si>
    <t>INV-00647</t>
  </si>
  <si>
    <t>PO-31976</t>
  </si>
  <si>
    <t>INV-01470</t>
  </si>
  <si>
    <t>INV-01772</t>
  </si>
  <si>
    <t>INV-01077</t>
  </si>
  <si>
    <t>INV-00063</t>
  </si>
  <si>
    <t>PO-76793</t>
  </si>
  <si>
    <t>INV-00378</t>
  </si>
  <si>
    <t>INV-00912</t>
  </si>
  <si>
    <t>INV-00055</t>
  </si>
  <si>
    <t>INV-01149</t>
  </si>
  <si>
    <t>INV-01070</t>
  </si>
  <si>
    <t>INV-00420</t>
  </si>
  <si>
    <t>PO-50741</t>
  </si>
  <si>
    <t>INV-01602</t>
  </si>
  <si>
    <t>PO-15806</t>
  </si>
  <si>
    <t>INV-00340</t>
  </si>
  <si>
    <t>INV-00009</t>
  </si>
  <si>
    <t>PO-34976</t>
  </si>
  <si>
    <t>INV-01693</t>
  </si>
  <si>
    <t>INV-00932</t>
  </si>
  <si>
    <t>INV-00151</t>
  </si>
  <si>
    <t>PO-72781</t>
  </si>
  <si>
    <t>INV-01163</t>
  </si>
  <si>
    <t>PO-26924</t>
  </si>
  <si>
    <t>INV-01789</t>
  </si>
  <si>
    <t>PO-34028</t>
  </si>
  <si>
    <t>INV-00555</t>
  </si>
  <si>
    <t>INV-00067</t>
  </si>
  <si>
    <t>PO-83786</t>
  </si>
  <si>
    <t>INV-01130</t>
  </si>
  <si>
    <t>INV-01212</t>
  </si>
  <si>
    <t>PO-12419</t>
  </si>
  <si>
    <t>INV-01042</t>
  </si>
  <si>
    <t>INV-01697</t>
  </si>
  <si>
    <t>INV-01342</t>
  </si>
  <si>
    <t>INV-01618</t>
  </si>
  <si>
    <t>INV-01570</t>
  </si>
  <si>
    <t>INV-00837</t>
  </si>
  <si>
    <t>INV-00178</t>
  </si>
  <si>
    <t>INV-01238</t>
  </si>
  <si>
    <t>INV-00164</t>
  </si>
  <si>
    <t>INV-00583</t>
  </si>
  <si>
    <t>INV-01023</t>
  </si>
  <si>
    <t>INV-01511</t>
  </si>
  <si>
    <t>INV-00660</t>
  </si>
  <si>
    <t>INV-01719</t>
  </si>
  <si>
    <t>PO-85700</t>
  </si>
  <si>
    <t>INV-00225</t>
  </si>
  <si>
    <t>INV-01576</t>
  </si>
  <si>
    <t>INV-01773</t>
  </si>
  <si>
    <t>INV-00761</t>
  </si>
  <si>
    <t>INV-01625</t>
  </si>
  <si>
    <t>INV-00312</t>
  </si>
  <si>
    <t>PO-12693</t>
  </si>
  <si>
    <t>INV-00826</t>
  </si>
  <si>
    <t>INV-00171</t>
  </si>
  <si>
    <t>PO-98356</t>
  </si>
  <si>
    <t>INV-00367</t>
  </si>
  <si>
    <t>INV-00243</t>
  </si>
  <si>
    <t>INV-01459</t>
  </si>
  <si>
    <t>INV-00322</t>
  </si>
  <si>
    <t>INV-01698</t>
  </si>
  <si>
    <t>INV-01279</t>
  </si>
  <si>
    <t>PO-41921</t>
  </si>
  <si>
    <t>INV-00057</t>
  </si>
  <si>
    <t>INV-00753</t>
  </si>
  <si>
    <t>INV-00914</t>
  </si>
  <si>
    <t>INV-01109</t>
  </si>
  <si>
    <t>PO-26498</t>
  </si>
  <si>
    <t>INV-00948</t>
  </si>
  <si>
    <t>PO-79374</t>
  </si>
  <si>
    <t>INV-00278</t>
  </si>
  <si>
    <t>INV-01505</t>
  </si>
  <si>
    <t>PO-16057</t>
  </si>
  <si>
    <t>INV-01008</t>
  </si>
  <si>
    <t>PO-37180</t>
  </si>
  <si>
    <t>INV-00092</t>
  </si>
  <si>
    <t>INV-00923</t>
  </si>
  <si>
    <t>INV-00136</t>
  </si>
  <si>
    <t>INV-01196</t>
  </si>
  <si>
    <t>INV-00049</t>
  </si>
  <si>
    <t>INV-00624</t>
  </si>
  <si>
    <t>INV-01654</t>
  </si>
  <si>
    <t>INV-00884</t>
  </si>
  <si>
    <t>INV-00035</t>
  </si>
  <si>
    <t>INV-00596</t>
  </si>
  <si>
    <t>INV-01006</t>
  </si>
  <si>
    <t>INV-01281</t>
  </si>
  <si>
    <t>INV-00222</t>
  </si>
  <si>
    <t>INV-00097</t>
  </si>
  <si>
    <t>INV-00353</t>
  </si>
  <si>
    <t>INV-01348</t>
  </si>
  <si>
    <t>INV-01287</t>
  </si>
  <si>
    <t>INV-00173</t>
  </si>
  <si>
    <t>PO-42642</t>
  </si>
  <si>
    <t>INV-00149</t>
  </si>
  <si>
    <t>PO-29340</t>
  </si>
  <si>
    <t>INV-00261</t>
  </si>
  <si>
    <t>PO-24026</t>
  </si>
  <si>
    <t>INV-00116</t>
  </si>
  <si>
    <t>INV-01182</t>
  </si>
  <si>
    <t>PO-31518</t>
  </si>
  <si>
    <t>INV-01746</t>
  </si>
  <si>
    <t>PO-70162</t>
  </si>
  <si>
    <t>INV-01496</t>
  </si>
  <si>
    <t>PO-98938</t>
  </si>
  <si>
    <t>INV-00211</t>
  </si>
  <si>
    <t>PO-81838</t>
  </si>
  <si>
    <t>INV-01268</t>
  </si>
  <si>
    <t>INV-00323</t>
  </si>
  <si>
    <t>INV-00531</t>
  </si>
  <si>
    <t>PO-90212</t>
  </si>
  <si>
    <t>INV-00193</t>
  </si>
  <si>
    <t>INV-01233</t>
  </si>
  <si>
    <t>INV-00861</t>
  </si>
  <si>
    <t>INV-01278</t>
  </si>
  <si>
    <t>PO-59714</t>
  </si>
  <si>
    <t>INV-00746</t>
  </si>
  <si>
    <t>INV-00232</t>
  </si>
  <si>
    <t>INV-00271</t>
  </si>
  <si>
    <t>INV-01446</t>
  </si>
  <si>
    <t>PO-77965</t>
  </si>
  <si>
    <t>INV-00352</t>
  </si>
  <si>
    <t>PO-82788</t>
  </si>
  <si>
    <t>INV-00743</t>
  </si>
  <si>
    <t>INV-01782</t>
  </si>
  <si>
    <t>INV-01681</t>
  </si>
  <si>
    <t>PO-15913</t>
  </si>
  <si>
    <t>INV-01477</t>
  </si>
  <si>
    <t>INV-01664</t>
  </si>
  <si>
    <t>INV-00782</t>
  </si>
  <si>
    <t>INV-00403</t>
  </si>
  <si>
    <t>INV-01507</t>
  </si>
  <si>
    <t>INV-01294</t>
  </si>
  <si>
    <t>INV-00416</t>
  </si>
  <si>
    <t>PO-80603</t>
  </si>
  <si>
    <t>INV-01112</t>
  </si>
  <si>
    <t>PO-76577</t>
  </si>
  <si>
    <t>INV-00251</t>
  </si>
  <si>
    <t>INV-01755</t>
  </si>
  <si>
    <t>PO-92015</t>
  </si>
  <si>
    <t>INV-00745</t>
  </si>
  <si>
    <t>PO-41815</t>
  </si>
  <si>
    <t>INV-01747</t>
  </si>
  <si>
    <t>PO-75169</t>
  </si>
  <si>
    <t>INV-01173</t>
  </si>
  <si>
    <t>INV-01528</t>
  </si>
  <si>
    <t>INV-00803</t>
  </si>
  <si>
    <t>INV-00455</t>
  </si>
  <si>
    <t>INV-00291</t>
  </si>
  <si>
    <t>INV-01132</t>
  </si>
  <si>
    <t>INV-00466</t>
  </si>
  <si>
    <t>INV-01239</t>
  </si>
  <si>
    <t>PO-41110</t>
  </si>
  <si>
    <t>INV-00227</t>
  </si>
  <si>
    <t>INV-00567</t>
  </si>
  <si>
    <t>PO-33086</t>
  </si>
  <si>
    <t>INV-00604</t>
  </si>
  <si>
    <t>PO-91481</t>
  </si>
  <si>
    <t>INV-01792</t>
  </si>
  <si>
    <t>PO-37301</t>
  </si>
  <si>
    <t>INV-00706</t>
  </si>
  <si>
    <t>PO-67016</t>
  </si>
  <si>
    <t>INV-00682</t>
  </si>
  <si>
    <t>INV-00020</t>
  </si>
  <si>
    <t>INV-01400</t>
  </si>
  <si>
    <t>INV-00611</t>
  </si>
  <si>
    <t>INV-01632</t>
  </si>
  <si>
    <t>INV-00893</t>
  </si>
  <si>
    <t>PO-91147</t>
  </si>
  <si>
    <t>INV-00233</t>
  </si>
  <si>
    <t>INV-00304</t>
  </si>
  <si>
    <t>INV-01524</t>
  </si>
  <si>
    <t>INV-01316</t>
  </si>
  <si>
    <t>INV-00956</t>
  </si>
  <si>
    <t>PO-85783</t>
  </si>
  <si>
    <t>INV-01250</t>
  </si>
  <si>
    <t>PO-93038</t>
  </si>
  <si>
    <t>INV-00530</t>
  </si>
  <si>
    <t>PO-24193</t>
  </si>
  <si>
    <t>INV-00733</t>
  </si>
  <si>
    <t>PO-86695</t>
  </si>
  <si>
    <t>INV-00095</t>
  </si>
  <si>
    <t>INV-00564</t>
  </si>
  <si>
    <t>INV-01527</t>
  </si>
  <si>
    <t>INV-00438</t>
  </si>
  <si>
    <t>PO-71762</t>
  </si>
  <si>
    <t>INV-00183</t>
  </si>
  <si>
    <t>INV-00791</t>
  </si>
  <si>
    <t>INV-01674</t>
  </si>
  <si>
    <t>INV-00643</t>
  </si>
  <si>
    <t>INV-01412</t>
  </si>
  <si>
    <t>INV-00205</t>
  </si>
  <si>
    <t>PO-15492</t>
  </si>
  <si>
    <t>INV-00206</t>
  </si>
  <si>
    <t>INV-00302</t>
  </si>
  <si>
    <t>INV-00118</t>
  </si>
  <si>
    <t>INV-00891</t>
  </si>
  <si>
    <t>INV-00286</t>
  </si>
  <si>
    <t>INV-00958</t>
  </si>
  <si>
    <t>INV-01657</t>
  </si>
  <si>
    <t>INV-01549</t>
  </si>
  <si>
    <t>PO-88065</t>
  </si>
  <si>
    <t>INV-00630</t>
  </si>
  <si>
    <t>INV-00192</t>
  </si>
  <si>
    <t>PO-93729</t>
  </si>
  <si>
    <t>INV-01134</t>
  </si>
  <si>
    <t>INV-00230</t>
  </si>
  <si>
    <t>INV-00724</t>
  </si>
  <si>
    <t>INV-01333</t>
  </si>
  <si>
    <t>INV-00054</t>
  </si>
  <si>
    <t>INV-01551</t>
  </si>
  <si>
    <t>PO-36309</t>
  </si>
  <si>
    <t>INV-01418</t>
  </si>
  <si>
    <t>PO-70422</t>
  </si>
  <si>
    <t>INV-00734</t>
  </si>
  <si>
    <t>PO-12274</t>
  </si>
  <si>
    <t>INV-00988</t>
  </si>
  <si>
    <t>PO-38878</t>
  </si>
  <si>
    <t>INV-00408</t>
  </si>
  <si>
    <t>INV-01688</t>
  </si>
  <si>
    <t>PO-48379</t>
  </si>
  <si>
    <t>INV-01059</t>
  </si>
  <si>
    <t>PO-41159</t>
  </si>
  <si>
    <t>INV-00241</t>
  </si>
  <si>
    <t>INV-01378</t>
  </si>
  <si>
    <t>INV-00084</t>
  </si>
  <si>
    <t>INV-00712</t>
  </si>
  <si>
    <t>INV-01188</t>
  </si>
  <si>
    <t>INV-00838</t>
  </si>
  <si>
    <t>INV-00873</t>
  </si>
  <si>
    <t>INV-00407</t>
  </si>
  <si>
    <t>PO-16333</t>
  </si>
  <si>
    <t>INV-01713</t>
  </si>
  <si>
    <t>INV-00911</t>
  </si>
  <si>
    <t>INV-00566</t>
  </si>
  <si>
    <t>PO-71807</t>
  </si>
  <si>
    <t>INV-01304</t>
  </si>
  <si>
    <t>INV-00165</t>
  </si>
  <si>
    <t>INV-00853</t>
  </si>
  <si>
    <t>INV-01502</t>
  </si>
  <si>
    <t>INV-00862</t>
  </si>
  <si>
    <t>INV-01797</t>
  </si>
  <si>
    <t>PO-48015</t>
  </si>
  <si>
    <t>INV-00523</t>
  </si>
  <si>
    <t>INV-01223</t>
  </si>
  <si>
    <t>INV-00726</t>
  </si>
  <si>
    <t>P027</t>
  </si>
  <si>
    <t>PO-55213</t>
  </si>
  <si>
    <t>INV-00181</t>
  </si>
  <si>
    <t>PO-83686</t>
  </si>
  <si>
    <t>INV-00795</t>
  </si>
  <si>
    <t>PO-45053</t>
  </si>
  <si>
    <t>INV-00541</t>
  </si>
  <si>
    <t>INV-00447</t>
  </si>
  <si>
    <t>PO-47338</t>
  </si>
  <si>
    <t>INV-00315</t>
  </si>
  <si>
    <t>INV-00122</t>
  </si>
  <si>
    <t>PO-93029</t>
  </si>
  <si>
    <t>INV-01396</t>
  </si>
  <si>
    <t>INV-01224</t>
  </si>
  <si>
    <t>PO-55210</t>
  </si>
  <si>
    <t>INV-00526</t>
  </si>
  <si>
    <t>INV-00811</t>
  </si>
  <si>
    <t>INV-01520</t>
  </si>
  <si>
    <t>INV-00011</t>
  </si>
  <si>
    <t>INV-00078</t>
  </si>
  <si>
    <t>INV-01123</t>
  </si>
  <si>
    <t>INV-00610</t>
  </si>
  <si>
    <t>INV-01179</t>
  </si>
  <si>
    <t>INV-01387</t>
  </si>
  <si>
    <t>INV-01139</t>
  </si>
  <si>
    <t>INV-01621</t>
  </si>
  <si>
    <t>INV-01289</t>
  </si>
  <si>
    <t>INV-00831</t>
  </si>
  <si>
    <t>INV-01341</t>
  </si>
  <si>
    <t>INV-00961</t>
  </si>
  <si>
    <t>PO-41655</t>
  </si>
  <si>
    <t>INV-01296</t>
  </si>
  <si>
    <t>INV-01101</t>
  </si>
  <si>
    <t>PO-51190</t>
  </si>
  <si>
    <t>INV-00162</t>
  </si>
  <si>
    <t>INV-01060</t>
  </si>
  <si>
    <t>PO-52039</t>
  </si>
  <si>
    <t>INV-00402</t>
  </si>
  <si>
    <t>PO-75129</t>
  </si>
  <si>
    <t>INV-01709</t>
  </si>
  <si>
    <t>INV-00214</t>
  </si>
  <si>
    <t>PO-58697</t>
  </si>
  <si>
    <t>INV-00449</t>
  </si>
  <si>
    <t>INV-01051</t>
  </si>
  <si>
    <t>INV-00747</t>
  </si>
  <si>
    <t>PO-86018</t>
  </si>
  <si>
    <t>INV-00721</t>
  </si>
  <si>
    <t>INV-00766</t>
  </si>
  <si>
    <t>PO-11950</t>
  </si>
  <si>
    <t>INV-00896</t>
  </si>
  <si>
    <t>INV-00070</t>
  </si>
  <si>
    <t>INV-00379</t>
  </si>
  <si>
    <t>INV-00130</t>
  </si>
  <si>
    <t>PO-27634</t>
  </si>
  <si>
    <t>INV-00808</t>
  </si>
  <si>
    <t>PO-22026</t>
  </si>
  <si>
    <t>INV-00277</t>
  </si>
  <si>
    <t>PO-11746</t>
  </si>
  <si>
    <t>INV-01721</t>
  </si>
  <si>
    <t>PO-65609</t>
  </si>
  <si>
    <t>INV-01080</t>
  </si>
  <si>
    <t>PO-53663</t>
  </si>
  <si>
    <t>INV-00879</t>
  </si>
  <si>
    <t>PO-57650</t>
  </si>
  <si>
    <t>INV-01084</t>
  </si>
  <si>
    <t>PO-45367</t>
  </si>
  <si>
    <t>INV-00489</t>
  </si>
  <si>
    <t>INV-01798</t>
  </si>
  <si>
    <t>INV-01481</t>
  </si>
  <si>
    <t>INV-00424</t>
  </si>
  <si>
    <t>PO-52770</t>
  </si>
  <si>
    <t>INV-01461</t>
  </si>
  <si>
    <t>PO-82683</t>
  </si>
  <si>
    <t>INV-00016</t>
  </si>
  <si>
    <t>INV-00895</t>
  </si>
  <si>
    <t>INV-00499</t>
  </si>
  <si>
    <t>PO-26116</t>
  </si>
  <si>
    <t>INV-01650</t>
  </si>
  <si>
    <t>PO-74912</t>
  </si>
  <si>
    <t>INV-00263</t>
  </si>
  <si>
    <t>INV-00836</t>
  </si>
  <si>
    <t>INV-00648</t>
  </si>
  <si>
    <t>PO-72863</t>
  </si>
  <si>
    <t>INV-00114</t>
  </si>
  <si>
    <t>INV-01416</t>
  </si>
  <si>
    <t>PO-37370</t>
  </si>
  <si>
    <t>INV-01248</t>
  </si>
  <si>
    <t>INV-00405</t>
  </si>
  <si>
    <t>INV-01266</t>
  </si>
  <si>
    <t>PO-91301</t>
  </si>
  <si>
    <t>INV-00887</t>
  </si>
  <si>
    <t>PO-72771</t>
  </si>
  <si>
    <t>INV-00146</t>
  </si>
  <si>
    <t>INV-01473</t>
  </si>
  <si>
    <t>INV-00440</t>
  </si>
  <si>
    <t>PO-38546</t>
  </si>
  <si>
    <t>INV-01199</t>
  </si>
  <si>
    <t>PO-18680</t>
  </si>
  <si>
    <t>INV-00927</t>
  </si>
  <si>
    <t>PO-10634</t>
  </si>
  <si>
    <t>INV-01068</t>
  </si>
  <si>
    <t>INV-01095</t>
  </si>
  <si>
    <t>PO-61444</t>
  </si>
  <si>
    <t>INV-00013</t>
  </si>
  <si>
    <t>PO-77865</t>
  </si>
  <si>
    <t>INV-00221</t>
  </si>
  <si>
    <t>INV-00881</t>
  </si>
  <si>
    <t>PO-27110</t>
  </si>
  <si>
    <t>INV-00929</t>
  </si>
  <si>
    <t>PO-28298</t>
  </si>
  <si>
    <t>INV-00467</t>
  </si>
  <si>
    <t>INV-01594</t>
  </si>
  <si>
    <t>PO-62328</t>
  </si>
  <si>
    <t>INV-01630</t>
  </si>
  <si>
    <t>INV-00140</t>
  </si>
  <si>
    <t>PO-28033</t>
  </si>
  <si>
    <t>INV-01729</t>
  </si>
  <si>
    <t>INV-01301</t>
  </si>
  <si>
    <t>PO-32063</t>
  </si>
  <si>
    <t>INV-00292</t>
  </si>
  <si>
    <t>INV-00272</t>
  </si>
  <si>
    <t>INV-00636</t>
  </si>
  <si>
    <t>INV-00024</t>
  </si>
  <si>
    <t>INV-00599</t>
  </si>
  <si>
    <t>INV-00731</t>
  </si>
  <si>
    <t>INV-00404</t>
  </si>
  <si>
    <t>PO-18328</t>
  </si>
  <si>
    <t>INV-01308</t>
  </si>
  <si>
    <t>PO-98913</t>
  </si>
  <si>
    <t>INV-01707</t>
  </si>
  <si>
    <t>INV-00755</t>
  </si>
  <si>
    <t>PO-31975</t>
  </si>
  <si>
    <t>INV-00679</t>
  </si>
  <si>
    <t>PO-51542</t>
  </si>
  <si>
    <t>INV-00677</t>
  </si>
  <si>
    <t>PO-47211</t>
  </si>
  <si>
    <t>INV-01605</t>
  </si>
  <si>
    <t>INV-00324</t>
  </si>
  <si>
    <t>INV-00481</t>
  </si>
  <si>
    <t>PO-91991</t>
  </si>
  <si>
    <t>INV-01696</t>
  </si>
  <si>
    <t>PO-96120</t>
  </si>
  <si>
    <t>INV-00101</t>
  </si>
  <si>
    <t>INV-00650</t>
  </si>
  <si>
    <t>INV-01198</t>
  </si>
  <si>
    <t>PO-99572</t>
  </si>
  <si>
    <t>INV-01321</t>
  </si>
  <si>
    <t>PO-69940</t>
  </si>
  <si>
    <t>INV-01454</t>
  </si>
  <si>
    <t>PO-82980</t>
  </si>
  <si>
    <t>INV-00034</t>
  </si>
  <si>
    <t>INV-00534</t>
  </si>
  <si>
    <t>INV-00152</t>
  </si>
  <si>
    <t>PO-24901</t>
  </si>
  <si>
    <t>INV-01668</t>
  </si>
  <si>
    <t>INV-00964</t>
  </si>
  <si>
    <t>INV-00240</t>
  </si>
  <si>
    <t>PO-62115</t>
  </si>
  <si>
    <t>INV-00493</t>
  </si>
  <si>
    <t>PO-68726</t>
  </si>
  <si>
    <t>INV-00229</t>
  </si>
  <si>
    <t>PO-70011</t>
  </si>
  <si>
    <t>INV-01379</t>
  </si>
  <si>
    <t>INV-00967</t>
  </si>
  <si>
    <t>INV-00719</t>
  </si>
  <si>
    <t>INV-00654</t>
  </si>
  <si>
    <t>INV-01430</t>
  </si>
  <si>
    <t>PO-13823</t>
  </si>
  <si>
    <t>INV-00905</t>
  </si>
  <si>
    <t>INV-01016</t>
  </si>
  <si>
    <t>INV-00730</t>
  </si>
  <si>
    <t>INV-00436</t>
  </si>
  <si>
    <t>INV-01164</t>
  </si>
  <si>
    <t>INV-01779</t>
  </si>
  <si>
    <t>INV-00676</t>
  </si>
  <si>
    <t>STOREMAX</t>
  </si>
  <si>
    <t>INV-01694</t>
  </si>
  <si>
    <t>INV-00256</t>
  </si>
  <si>
    <t>INV-01371</t>
  </si>
  <si>
    <t>INV-00199</t>
  </si>
  <si>
    <t>PO-74303</t>
  </si>
  <si>
    <t>INV-00086</t>
  </si>
  <si>
    <t>INV-01573</t>
  </si>
  <si>
    <t>PO-94579</t>
  </si>
  <si>
    <t>INV-00574</t>
  </si>
  <si>
    <t>INV-01040</t>
  </si>
  <si>
    <t>INV-00062</t>
  </si>
  <si>
    <t>INV-00563</t>
  </si>
  <si>
    <t>PO-92336</t>
  </si>
  <si>
    <t>INV-00518</t>
  </si>
  <si>
    <t>INV-00954</t>
  </si>
  <si>
    <t>INV-01395</t>
  </si>
  <si>
    <t>INV-01793</t>
  </si>
  <si>
    <t>INV-00137</t>
  </si>
  <si>
    <t>PO-34561</t>
  </si>
  <si>
    <t>INV-00688</t>
  </si>
  <si>
    <t>INV-01022</t>
  </si>
  <si>
    <t>PO-66363</t>
  </si>
  <si>
    <t>INV-00411</t>
  </si>
  <si>
    <t>INV-00684</t>
  </si>
  <si>
    <t>PO-97616</t>
  </si>
  <si>
    <t>INV-01274</t>
  </si>
  <si>
    <t>PO-51300</t>
  </si>
  <si>
    <t>INV-00922</t>
  </si>
  <si>
    <t>INV-01619</t>
  </si>
  <si>
    <t>PO-81326</t>
  </si>
  <si>
    <t>INV-00658</t>
  </si>
  <si>
    <t>INV-01218</t>
  </si>
  <si>
    <t>INV-01522</t>
  </si>
  <si>
    <t>PO-63583</t>
  </si>
  <si>
    <t>INV-00695</t>
  </si>
  <si>
    <t>INV-00102</t>
  </si>
  <si>
    <t>PO-78447</t>
  </si>
  <si>
    <t>INV-01108</t>
  </si>
  <si>
    <t>PO-49759</t>
  </si>
  <si>
    <t>INV-01381</t>
  </si>
  <si>
    <t>PO-41323</t>
  </si>
  <si>
    <t>INV-00048</t>
  </si>
  <si>
    <t>PO-83177</t>
  </si>
  <si>
    <t>INV-01021</t>
  </si>
  <si>
    <t>INV-00339</t>
  </si>
  <si>
    <t>PO-83228</t>
  </si>
  <si>
    <t>INV-01634</t>
  </si>
  <si>
    <t>INV-00390</t>
  </si>
  <si>
    <t>INV-00553</t>
  </si>
  <si>
    <t>INV-00321</t>
  </si>
  <si>
    <t>INV-01394</t>
  </si>
  <si>
    <t>PO-57968</t>
  </si>
  <si>
    <t>INV-00773</t>
  </si>
  <si>
    <t>PO-97231</t>
  </si>
  <si>
    <t>INV-00854</t>
  </si>
  <si>
    <t>PO-50581</t>
  </si>
  <si>
    <t>INV-01540</t>
  </si>
  <si>
    <t>INV-01501</t>
  </si>
  <si>
    <t>INV-01562</t>
  </si>
  <si>
    <t>PO-94179</t>
  </si>
  <si>
    <t>INV-01332</t>
  </si>
  <si>
    <t>INV-00535</t>
  </si>
  <si>
    <t>PO-53225</t>
  </si>
  <si>
    <t>INV-00155</t>
  </si>
  <si>
    <t>INV-00505</t>
  </si>
  <si>
    <t>INV-01052</t>
  </si>
  <si>
    <t>PO-91072</t>
  </si>
  <si>
    <t>INV-01303</t>
  </si>
  <si>
    <t>INV-01244</t>
  </si>
  <si>
    <t>INV-01380</t>
  </si>
  <si>
    <t>INV-00996</t>
  </si>
  <si>
    <t>INV-01029</t>
  </si>
  <si>
    <t>INV-00351</t>
  </si>
  <si>
    <t>PO-81934</t>
  </si>
  <si>
    <t>INV-00962</t>
  </si>
  <si>
    <t>PO-53039</t>
  </si>
  <si>
    <t>INV-01710</t>
  </si>
  <si>
    <t>PO-71032</t>
  </si>
  <si>
    <t>INV-00741</t>
  </si>
  <si>
    <t>INV-00406</t>
  </si>
  <si>
    <t>INV-00940</t>
  </si>
  <si>
    <t>PO-45999</t>
  </si>
  <si>
    <t>INV-01434</t>
  </si>
  <si>
    <t>PO-13932</t>
  </si>
  <si>
    <t>INV-01715</t>
  </si>
  <si>
    <t>INV-00621</t>
  </si>
  <si>
    <t>PO-18744</t>
  </si>
  <si>
    <t>INV-00113</t>
  </si>
  <si>
    <t>INV-00071</t>
  </si>
  <si>
    <t>INV-00463</t>
  </si>
  <si>
    <t>INV-01683</t>
  </si>
  <si>
    <t>PO-20567</t>
  </si>
  <si>
    <t>INV-01343</t>
  </si>
  <si>
    <t>INV-00998</t>
  </si>
  <si>
    <t>INV-00999</t>
  </si>
  <si>
    <t>INV-00615</t>
  </si>
  <si>
    <t>INV-01642</t>
  </si>
  <si>
    <t>INV-00459</t>
  </si>
  <si>
    <t>PO-88170</t>
  </si>
  <si>
    <t>INV-00498</t>
  </si>
  <si>
    <t>PO-33949</t>
  </si>
  <si>
    <t>INV-01436</t>
  </si>
  <si>
    <t>PO-20220</t>
  </si>
  <si>
    <t>INV-01548</t>
  </si>
  <si>
    <t>PO-50642</t>
  </si>
  <si>
    <t>INV-01644</t>
  </si>
  <si>
    <t>INV-01751</t>
  </si>
  <si>
    <t>INV-00890</t>
  </si>
  <si>
    <t>INV-00991</t>
  </si>
  <si>
    <t>INV-00870</t>
  </si>
  <si>
    <t>PO-79157</t>
  </si>
  <si>
    <t>INV-01648</t>
  </si>
  <si>
    <t>INV-00394</t>
  </si>
  <si>
    <t>INV-00512</t>
  </si>
  <si>
    <t>INV-01538</t>
  </si>
  <si>
    <t>INV-00135</t>
  </si>
  <si>
    <t>INV-00483</t>
  </si>
  <si>
    <t>INV-01455</t>
  </si>
  <si>
    <t>PO-20510</t>
  </si>
  <si>
    <t>INV-01264</t>
  </si>
  <si>
    <t>INV-00817</t>
  </si>
  <si>
    <t>INV-00641</t>
  </si>
  <si>
    <t>INV-01407</t>
  </si>
  <si>
    <t>INV-01479</t>
  </si>
  <si>
    <t>PO-92238</t>
  </si>
  <si>
    <t>INV-01444</t>
  </si>
  <si>
    <t>INV-00001</t>
  </si>
  <si>
    <t>INV-00393</t>
  </si>
  <si>
    <t>INV-00010</t>
  </si>
  <si>
    <t>PO-92643</t>
  </si>
  <si>
    <t>INV-00172</t>
  </si>
  <si>
    <t>INV-01110</t>
  </si>
  <si>
    <t>PO-35989</t>
  </si>
  <si>
    <t>INV-01558</t>
  </si>
  <si>
    <t>INV-01508</t>
  </si>
  <si>
    <t>PO-40916</t>
  </si>
  <si>
    <t>INV-01225</t>
  </si>
  <si>
    <t>PO-67600</t>
  </si>
  <si>
    <t>INV-00928</t>
  </si>
  <si>
    <t>PO-22771</t>
  </si>
  <si>
    <t>INV-00942</t>
  </si>
  <si>
    <t>PO-81887</t>
  </si>
  <si>
    <t>INV-00590</t>
  </si>
  <si>
    <t>INV-01733</t>
  </si>
  <si>
    <t>PO-37676</t>
  </si>
  <si>
    <t>INV-01140</t>
  </si>
  <si>
    <t>PO-97317</t>
  </si>
  <si>
    <t>INV-00783</t>
  </si>
  <si>
    <t>INV-01329</t>
  </si>
  <si>
    <t>INV-01465</t>
  </si>
  <si>
    <t>INV-01306</t>
  </si>
  <si>
    <t>INV-01736</t>
  </si>
  <si>
    <t>PO-99340</t>
  </si>
  <si>
    <t>INV-00384</t>
  </si>
  <si>
    <t>PO-46648</t>
  </si>
  <si>
    <t>INV-00388</t>
  </si>
  <si>
    <t>INV-01738</t>
  </si>
  <si>
    <t>INV-01706</t>
  </si>
  <si>
    <t>INV-00236</t>
  </si>
  <si>
    <t>INV-01257</t>
  </si>
  <si>
    <t>INV-01159</t>
  </si>
  <si>
    <t>PO-45814</t>
  </si>
  <si>
    <t>INV-01622</t>
  </si>
  <si>
    <t>INV-01485</t>
  </si>
  <si>
    <t>INV-01678</t>
  </si>
  <si>
    <t>INV-00732</t>
  </si>
  <si>
    <t>INV-01723</t>
  </si>
  <si>
    <t>PO-70562</t>
  </si>
  <si>
    <t>INV-01659</t>
  </si>
  <si>
    <t>INV-01653</t>
  </si>
  <si>
    <t>INV-01649</t>
  </si>
  <si>
    <t>INV-01157</t>
  </si>
  <si>
    <t>INV-00944</t>
  </si>
  <si>
    <t>PO-72668</t>
  </si>
  <si>
    <t>INV-00347</t>
  </si>
  <si>
    <t>INV-01577</t>
  </si>
  <si>
    <t>INV-00461</t>
  </si>
  <si>
    <t>INV-00644</t>
  </si>
  <si>
    <t>INV-00637</t>
  </si>
  <si>
    <t>INV-00840</t>
  </si>
  <si>
    <t>INV-01544</t>
  </si>
  <si>
    <t>PO-60430</t>
  </si>
  <si>
    <t>INV-01457</t>
  </si>
  <si>
    <t>INV-00462</t>
  </si>
  <si>
    <t>INV-01780</t>
  </si>
  <si>
    <t>INV-00270</t>
  </si>
  <si>
    <t>PO-68031</t>
  </si>
  <si>
    <t>INV-00313</t>
  </si>
  <si>
    <t>PO-25858</t>
  </si>
  <si>
    <t>INV-01102</t>
  </si>
  <si>
    <t>INV-00626</t>
  </si>
  <si>
    <t>INV-00539</t>
  </si>
  <si>
    <t>PO-70010</t>
  </si>
  <si>
    <t>INV-01701</t>
  </si>
  <si>
    <t>PO-10329</t>
  </si>
  <si>
    <t>INV-00860</t>
  </si>
  <si>
    <t>INV-01734</t>
  </si>
  <si>
    <t>PO-71710</t>
  </si>
  <si>
    <t>INV-01608</t>
  </si>
  <si>
    <t>INV-01762</t>
  </si>
  <si>
    <t>INV-00806</t>
  </si>
  <si>
    <t>INV-00039</t>
  </si>
  <si>
    <t>INV-00364</t>
  </si>
  <si>
    <t>INV-01039</t>
  </si>
  <si>
    <t>INV-01096</t>
  </si>
  <si>
    <t>INV-01535</t>
  </si>
  <si>
    <t>INV-01499</t>
  </si>
  <si>
    <t>INV-01251</t>
  </si>
  <si>
    <t>PO-83167</t>
  </si>
  <si>
    <t>INV-00357</t>
  </si>
  <si>
    <t>PO-21825</t>
  </si>
  <si>
    <t>INV-00279</t>
  </si>
  <si>
    <t>INV-00561</t>
  </si>
  <si>
    <t>PO-31209</t>
  </si>
  <si>
    <t>INV-00202</t>
  </si>
  <si>
    <t>PO-88343</t>
  </si>
  <si>
    <t>INV-00537</t>
  </si>
  <si>
    <t>INV-01330</t>
  </si>
  <si>
    <t>INV-00019</t>
  </si>
  <si>
    <t>INV-00368</t>
  </si>
  <si>
    <t>PO-34151</t>
  </si>
  <si>
    <t>INV-00970</t>
  </si>
  <si>
    <t>INV-00994</t>
  </si>
  <si>
    <t>PO-46157</t>
  </si>
  <si>
    <t>INV-00976</t>
  </si>
  <si>
    <t>INV-01607</t>
  </si>
  <si>
    <t>INV-00429</t>
  </si>
  <si>
    <t>PO-45497</t>
  </si>
  <si>
    <t>INV-00414</t>
  </si>
  <si>
    <t>INV-00525</t>
  </si>
  <si>
    <t>INV-01260</t>
  </si>
  <si>
    <t>INV-00691</t>
  </si>
  <si>
    <t>PO-74732</t>
  </si>
  <si>
    <t>INV-00759</t>
  </si>
  <si>
    <t>PO-15974</t>
  </si>
  <si>
    <t>INV-00344</t>
  </si>
  <si>
    <t>PO-38555</t>
  </si>
  <si>
    <t>INV-01720</t>
  </si>
  <si>
    <t>PO-60945</t>
  </si>
  <si>
    <t>INV-01167</t>
  </si>
  <si>
    <t>INV-00258</t>
  </si>
  <si>
    <t>INV-01787</t>
  </si>
  <si>
    <t>INV-00439</t>
  </si>
  <si>
    <t>PO-89099</t>
  </si>
  <si>
    <t>INV-00454</t>
  </si>
  <si>
    <t>INV-00515</t>
  </si>
  <si>
    <t>INV-00943</t>
  </si>
  <si>
    <t>PO-69648</t>
  </si>
  <si>
    <t>INV-01207</t>
  </si>
  <si>
    <t>INV-01357</t>
  </si>
  <si>
    <t>INV-00430</t>
  </si>
  <si>
    <t>PO-71009</t>
  </si>
  <si>
    <t>INV-01147</t>
  </si>
  <si>
    <t>INV-00720</t>
  </si>
  <si>
    <t>INV-00468</t>
  </si>
  <si>
    <t>INV-00474</t>
  </si>
  <si>
    <t>INV-01386</t>
  </si>
  <si>
    <t>INV-01658</t>
  </si>
  <si>
    <t>INV-00949</t>
  </si>
  <si>
    <t>INV-00926</t>
  </si>
  <si>
    <t>PO-97493</t>
  </si>
  <si>
    <t>INV-01645</t>
  </si>
  <si>
    <t>INV-00433</t>
  </si>
  <si>
    <t>INV-00666</t>
  </si>
  <si>
    <t>PO-12260</t>
  </si>
  <si>
    <t>INV-00391</t>
  </si>
  <si>
    <t>PO-81468</t>
  </si>
  <si>
    <t>INV-00427</t>
  </si>
  <si>
    <t>PO-34918</t>
  </si>
  <si>
    <t>INV-00951</t>
  </si>
  <si>
    <t>INV-01451</t>
  </si>
  <si>
    <t>INV-01055</t>
  </si>
  <si>
    <t>PO-91462</t>
  </si>
  <si>
    <t>INV-00832</t>
  </si>
  <si>
    <t>INV-00793</t>
  </si>
  <si>
    <t>INV-01530</t>
  </si>
  <si>
    <t>INV-01136</t>
  </si>
  <si>
    <t>PO-65261</t>
  </si>
  <si>
    <t>INV-00946</t>
  </si>
  <si>
    <t>INV-01370</t>
  </si>
  <si>
    <t>INV-01582</t>
  </si>
  <si>
    <t>INV-01556</t>
  </si>
  <si>
    <t>PO-79000</t>
  </si>
  <si>
    <t>INV-00619</t>
  </si>
  <si>
    <t>PO-45050</t>
  </si>
  <si>
    <t>INV-00804</t>
  </si>
  <si>
    <t>PO-44386</t>
  </si>
  <si>
    <t>INV-00971</t>
  </si>
  <si>
    <t>PO-64989</t>
  </si>
  <si>
    <t>INV-01210</t>
  </si>
  <si>
    <t>PO-30043</t>
  </si>
  <si>
    <t>INV-00692</t>
  </si>
  <si>
    <t>PO-29422</t>
  </si>
  <si>
    <t>INV-00198</t>
  </si>
  <si>
    <t>PO-64691</t>
  </si>
  <si>
    <t>INV-00366</t>
  </si>
  <si>
    <t>INV-00617</t>
  </si>
  <si>
    <t>INV-00224</t>
  </si>
  <si>
    <t>PO-69567</t>
  </si>
  <si>
    <t>INV-00331</t>
  </si>
  <si>
    <t>PO-58700</t>
  </si>
  <si>
    <t>INV-01337</t>
  </si>
  <si>
    <t>INV-00305</t>
  </si>
  <si>
    <t>INV-00264</t>
  </si>
  <si>
    <t>INV-00824</t>
  </si>
  <si>
    <t>INV-00779</t>
  </si>
  <si>
    <t>INV-01235</t>
  </si>
  <si>
    <t>PO-70692</t>
  </si>
  <si>
    <t>INV-00129</t>
  </si>
  <si>
    <t>INV-01115</t>
  </si>
  <si>
    <t>PO-40099</t>
  </si>
  <si>
    <t>INV-01142</t>
  </si>
  <si>
    <t>INV-01758</t>
  </si>
  <si>
    <t>INV-01041</t>
  </si>
  <si>
    <t>INV-00693</t>
  </si>
  <si>
    <t>INV-00977</t>
  </si>
  <si>
    <t>PO-68595</t>
  </si>
  <si>
    <t>INV-00298</t>
  </si>
  <si>
    <t>INV-00154</t>
  </si>
  <si>
    <t>INV-00947</t>
  </si>
  <si>
    <t>INV-01498</t>
  </si>
  <si>
    <t>PO-82746</t>
  </si>
  <si>
    <t>INV-01439</t>
  </si>
  <si>
    <t>INV-00213</t>
  </si>
  <si>
    <t>INV-00177</t>
  </si>
  <si>
    <t>PO-60867</t>
  </si>
  <si>
    <t>INV-00079</t>
  </si>
  <si>
    <t>PO-80394</t>
  </si>
  <si>
    <t>INV-01464</t>
  </si>
  <si>
    <t>PO-79134</t>
  </si>
  <si>
    <t>INV-00058</t>
  </si>
  <si>
    <t>INV-01687</t>
  </si>
  <si>
    <t>INV-00184</t>
  </si>
  <si>
    <t>INV-01509</t>
  </si>
  <si>
    <t>INV-01565</t>
  </si>
  <si>
    <t>INV-00412</t>
  </si>
  <si>
    <t>INV-01216</t>
  </si>
  <si>
    <t>PO-27140</t>
  </si>
  <si>
    <t>INV-00657</t>
  </si>
  <si>
    <t>INV-00262</t>
  </si>
  <si>
    <t>INV-01754</t>
  </si>
  <si>
    <t>INV-01213</t>
  </si>
  <si>
    <t>PO-66892</t>
  </si>
  <si>
    <t>INV-01700</t>
  </si>
  <si>
    <t>INV-01063</t>
  </si>
  <si>
    <t>INV-00787</t>
  </si>
  <si>
    <t>PO-27771</t>
  </si>
  <si>
    <t>INV-00640</t>
  </si>
  <si>
    <t>PO-52687</t>
  </si>
  <si>
    <t>INV-00065</t>
  </si>
  <si>
    <t>INV-01254</t>
  </si>
  <si>
    <t>PO-96261</t>
  </si>
  <si>
    <t>INV-00274</t>
  </si>
  <si>
    <t>INV-01676</t>
  </si>
  <si>
    <t>INV-01205</t>
  </si>
  <si>
    <t>INV-00687</t>
  </si>
  <si>
    <t>INV-01414</t>
  </si>
  <si>
    <t>INV-00735</t>
  </si>
  <si>
    <t>INV-00105</t>
  </si>
  <si>
    <t>INV-00413</t>
  </si>
  <si>
    <t>PO-21268</t>
  </si>
  <si>
    <t>INV-01559</t>
  </si>
  <si>
    <t>INV-01398</t>
  </si>
  <si>
    <t>INV-01575</t>
  </si>
  <si>
    <t>INV-01215</t>
  </si>
  <si>
    <t>INV-00504</t>
  </si>
  <si>
    <t>PO-61369</t>
  </si>
  <si>
    <t>INV-01672</t>
  </si>
  <si>
    <t>INV-00918</t>
  </si>
  <si>
    <t>INV-00252</t>
  </si>
  <si>
    <t>INV-01589</t>
  </si>
  <si>
    <t>PO-51366</t>
  </si>
  <si>
    <t>INV-00434</t>
  </si>
  <si>
    <t>INV-01232</t>
  </si>
  <si>
    <t>INV-00377</t>
  </si>
  <si>
    <t>PO-83596</t>
  </si>
  <si>
    <t>INV-01318</t>
  </si>
  <si>
    <t>PO-20564</t>
  </si>
  <si>
    <t>INV-01447</t>
  </si>
  <si>
    <t>INV-01002</t>
  </si>
  <si>
    <t>INV-01557</t>
  </si>
  <si>
    <t>INV-00665</t>
  </si>
  <si>
    <t>INV-01750</t>
  </si>
  <si>
    <t>INV-00144</t>
  </si>
  <si>
    <t>INV-01633</t>
  </si>
  <si>
    <t>HYDROLIFE</t>
  </si>
  <si>
    <t>INV-00478</t>
  </si>
  <si>
    <t>INV-01093</t>
  </si>
  <si>
    <t>INV-00678</t>
  </si>
  <si>
    <t>INV-01189</t>
  </si>
  <si>
    <t>INV-01585</t>
  </si>
  <si>
    <t>PO-85838</t>
  </si>
  <si>
    <t>INV-00250</t>
  </si>
  <si>
    <t>PO-46723</t>
  </si>
  <si>
    <t>INV-00045</t>
  </si>
  <si>
    <t>INV-00126</t>
  </si>
  <si>
    <t>PO-49697</t>
  </si>
  <si>
    <t>INV-01474</t>
  </si>
  <si>
    <t>INV-01445</t>
  </si>
  <si>
    <t>INV-00690</t>
  </si>
  <si>
    <t>INV-01161</t>
  </si>
  <si>
    <t>PO-69694</t>
  </si>
  <si>
    <t>INV-00389</t>
  </si>
  <si>
    <t>INV-01661</t>
  </si>
  <si>
    <t>PO-17232</t>
  </si>
  <si>
    <t>INV-01777</t>
  </si>
  <si>
    <t>PO-83973</t>
  </si>
  <si>
    <t>INV-00859</t>
  </si>
  <si>
    <t>PO-56628</t>
  </si>
  <si>
    <t>INV-01560</t>
  </si>
  <si>
    <t>INV-01613</t>
  </si>
  <si>
    <t>PO-92533</t>
  </si>
  <si>
    <t>INV-01368</t>
  </si>
  <si>
    <t>PO-53952</t>
  </si>
  <si>
    <t>INV-00916</t>
  </si>
  <si>
    <t>PO-32553</t>
  </si>
  <si>
    <t>INV-00150</t>
  </si>
  <si>
    <t>INV-01743</t>
  </si>
  <si>
    <t>PO-72904</t>
  </si>
  <si>
    <t>INV-01083</t>
  </si>
  <si>
    <t>PO-50412</t>
  </si>
  <si>
    <t>INV-00296</t>
  </si>
  <si>
    <t>INV-01591</t>
  </si>
  <si>
    <t>PO-37425</t>
  </si>
  <si>
    <t>INV-01288</t>
  </si>
  <si>
    <t>PO-78535</t>
  </si>
  <si>
    <t>INV-00356</t>
  </si>
  <si>
    <t>PO-27939</t>
  </si>
  <si>
    <t>INV-00529</t>
  </si>
  <si>
    <t>INV-00059</t>
  </si>
  <si>
    <t>INV-00365</t>
  </si>
  <si>
    <t>INV-01518</t>
  </si>
  <si>
    <t>PO-33259</t>
  </si>
  <si>
    <t>INV-00012</t>
  </si>
  <si>
    <t>INV-00021</t>
  </si>
  <si>
    <t>PO-26651</t>
  </si>
  <si>
    <t>INV-00609</t>
  </si>
  <si>
    <t>INV-00800</t>
  </si>
  <si>
    <t>PO-67623</t>
  </si>
  <si>
    <t>INV-01050</t>
  </si>
  <si>
    <t>INV-00589</t>
  </si>
  <si>
    <t>INV-01286</t>
  </si>
  <si>
    <t>INV-01107</t>
  </si>
  <si>
    <t>INV-01663</t>
  </si>
  <si>
    <t>INV-00376</t>
  </si>
  <si>
    <t>INV-00032</t>
  </si>
  <si>
    <t>INV-01043</t>
  </si>
  <si>
    <t>INV-01300</t>
  </si>
  <si>
    <t>INV-01765</t>
  </si>
  <si>
    <t>INV-00867</t>
  </si>
  <si>
    <t>PO-89830</t>
  </si>
  <si>
    <t>INV-01174</t>
  </si>
  <si>
    <t>INV-00472</t>
  </si>
  <si>
    <t>INV-00580</t>
  </si>
  <si>
    <t>INV-00244</t>
  </si>
  <si>
    <t>PO-70719</t>
  </si>
  <si>
    <t>INV-00880</t>
  </si>
  <si>
    <t>INV-00219</t>
  </si>
  <si>
    <t>PO-80283</t>
  </si>
  <si>
    <t>INV-01679</t>
  </si>
  <si>
    <t>INV-00973</t>
  </si>
  <si>
    <t>INV-01675</t>
  </si>
  <si>
    <t>INV-01702</t>
  </si>
  <si>
    <t>INV-01331</t>
  </si>
  <si>
    <t>DATASTORE</t>
  </si>
  <si>
    <t>INV-00259</t>
  </si>
  <si>
    <t>INV-01311</t>
  </si>
  <si>
    <t>INV-01617</t>
  </si>
  <si>
    <t>PO-42599</t>
  </si>
  <si>
    <t>INV-01399</t>
  </si>
  <si>
    <t>PO-36519</t>
  </si>
  <si>
    <t>INV-01583</t>
  </si>
  <si>
    <t>PO-80192</t>
  </si>
  <si>
    <t>INV-00613</t>
  </si>
  <si>
    <t>INV-00348</t>
  </si>
  <si>
    <t>INV-00680</t>
  </si>
  <si>
    <t>INV-00500</t>
  </si>
  <si>
    <t>PO-61052</t>
  </si>
  <si>
    <t>INV-01075</t>
  </si>
  <si>
    <t>INV-00330</t>
  </si>
  <si>
    <t>INV-00495</t>
  </si>
  <si>
    <t>PO-20222</t>
  </si>
  <si>
    <t>INV-01689</t>
  </si>
  <si>
    <t>PO-84968</t>
  </si>
  <si>
    <t>INV-00217</t>
  </si>
  <si>
    <t>INV-01578</t>
  </si>
  <si>
    <t>PO-10255</t>
  </si>
  <si>
    <t>INV-00509</t>
  </si>
  <si>
    <t>PO-93203</t>
  </si>
  <si>
    <t>INV-00399</t>
  </si>
  <si>
    <t>INV-00336</t>
  </si>
  <si>
    <t>INV-01671</t>
  </si>
  <si>
    <t>PO-58542</t>
  </si>
  <si>
    <t>INV-00415</t>
  </si>
  <si>
    <t>INV-00796</t>
  </si>
  <si>
    <t>INV-01071</t>
  </si>
  <si>
    <t>INV-00557</t>
  </si>
  <si>
    <t>INV-00955</t>
  </si>
  <si>
    <t>INV-01405</t>
  </si>
  <si>
    <t>INV-00737</t>
  </si>
  <si>
    <t>INV-01175</t>
  </si>
  <si>
    <t>INV-00479</t>
  </si>
  <si>
    <t>INV-01195</t>
  </si>
  <si>
    <t>PO-79803</t>
  </si>
  <si>
    <t>INV-01150</t>
  </si>
  <si>
    <t>INV-01566</t>
  </si>
  <si>
    <t>INV-00882</t>
  </si>
  <si>
    <t>INV-00765</t>
  </si>
  <si>
    <t>INV-01011</t>
  </si>
  <si>
    <t>PO-13688</t>
  </si>
  <si>
    <t>INV-00124</t>
  </si>
  <si>
    <t>INV-01463</t>
  </si>
  <si>
    <t>INV-00662</t>
  </si>
  <si>
    <t>INV-01053</t>
  </si>
  <si>
    <t>PO-17410</t>
  </si>
  <si>
    <t>INV-01358</t>
  </si>
  <si>
    <t>PO-72979</t>
  </si>
  <si>
    <t>INV-00175</t>
  </si>
  <si>
    <t>PO-35378</t>
  </si>
  <si>
    <t>INV-00002</t>
  </si>
  <si>
    <t>INV-00757</t>
  </si>
  <si>
    <t>INV-01480</t>
  </si>
  <si>
    <t>INV-01144</t>
  </si>
  <si>
    <t>INV-00069</t>
  </si>
  <si>
    <t>PO-73310</t>
  </si>
  <si>
    <t>INV-01564</t>
  </si>
  <si>
    <t>PO-72107</t>
  </si>
  <si>
    <t>INV-00698</t>
  </si>
  <si>
    <t>INV-00265</t>
  </si>
  <si>
    <t>PO-30422</t>
  </si>
  <si>
    <t>INV-00656</t>
  </si>
  <si>
    <t>PO-71860</t>
  </si>
  <si>
    <t>INV-01364</t>
  </si>
  <si>
    <t>INV-01273</t>
  </si>
  <si>
    <t>PO-85088</t>
  </si>
  <si>
    <t>INV-01673</t>
  </si>
  <si>
    <t>INV-01313</t>
  </si>
  <si>
    <t>INV-00642</t>
  </si>
  <si>
    <t>INV-00794</t>
  </si>
  <si>
    <t>INV-01631</t>
  </si>
  <si>
    <t>INV-00802</t>
  </si>
  <si>
    <t>PO-39714</t>
  </si>
  <si>
    <t>INV-01074</t>
  </si>
  <si>
    <t>INV-00786</t>
  </si>
  <si>
    <t>INV-01393</t>
  </si>
  <si>
    <t>INV-00586</t>
  </si>
  <si>
    <t>INV-01428</t>
  </si>
  <si>
    <t>PACKRIGHT</t>
  </si>
  <si>
    <t>INV-00769</t>
  </si>
  <si>
    <t>INV-01012</t>
  </si>
  <si>
    <t>INV-01553</t>
  </si>
  <si>
    <t>INV-00850</t>
  </si>
  <si>
    <t>INV-00088</t>
  </si>
  <si>
    <t>PO-59272</t>
  </si>
  <si>
    <t>INV-00756</t>
  </si>
  <si>
    <t>INV-00082</t>
  </si>
  <si>
    <t>INV-01217</t>
  </si>
  <si>
    <t>INV-01586</t>
  </si>
  <si>
    <t>INV-01275</t>
  </si>
  <si>
    <t>INV-01211</t>
  </si>
  <si>
    <t>INV-00441</t>
  </si>
  <si>
    <t>INV-00663</t>
  </si>
  <si>
    <t>INV-00328</t>
  </si>
  <si>
    <t>PO-98779</t>
  </si>
  <si>
    <t>INV-01186</t>
  </si>
  <si>
    <t>INV-00446</t>
  </si>
  <si>
    <t>INV-01397</t>
  </si>
  <si>
    <t>INV-01028</t>
  </si>
  <si>
    <t>PO-23453</t>
  </si>
  <si>
    <t>INV-01385</t>
  </si>
  <si>
    <t>INV-01369</t>
  </si>
  <si>
    <t>INV-01800</t>
  </si>
  <si>
    <t>INV-00776</t>
  </si>
  <si>
    <t>INV-01740</t>
  </si>
  <si>
    <t>PO-46923</t>
  </si>
  <si>
    <t>INV-01066</t>
  </si>
  <si>
    <t>INV-01759</t>
  </si>
  <si>
    <t>PO-19304</t>
  </si>
  <si>
    <t>INV-00569</t>
  </si>
  <si>
    <t>INV-01285</t>
  </si>
  <si>
    <t>INV-00117</t>
  </si>
  <si>
    <t>INV-01310</t>
  </si>
  <si>
    <t>INV-00239</t>
  </si>
  <si>
    <t>PO-28891</t>
  </si>
  <si>
    <t>INV-00237</t>
  </si>
  <si>
    <t>PO-47449</t>
  </si>
  <si>
    <t>INV-00855</t>
  </si>
  <si>
    <t>INV-01135</t>
  </si>
  <si>
    <t>INV-01626</t>
  </si>
  <si>
    <t>INV-00689</t>
  </si>
  <si>
    <t>INV-00234</t>
  </si>
  <si>
    <t>INV-00470</t>
  </si>
  <si>
    <t>INV-01627</t>
  </si>
  <si>
    <t>INV-00520</t>
  </si>
  <si>
    <t>INV-00830</t>
  </si>
  <si>
    <t>INV-01094</t>
  </si>
  <si>
    <t>INV-01118</t>
  </si>
  <si>
    <t>INV-00257</t>
  </si>
  <si>
    <t>INV-00176</t>
  </si>
  <si>
    <t>INV-01778</t>
  </si>
  <si>
    <t>INV-00194</t>
  </si>
  <si>
    <t>PO-74377</t>
  </si>
  <si>
    <t>INV-00209</t>
  </si>
  <si>
    <t>PO-41357</t>
  </si>
  <si>
    <t>INV-00913</t>
  </si>
  <si>
    <t>INV-01475</t>
  </si>
  <si>
    <t>INV-00426</t>
  </si>
  <si>
    <t>INV-01636</t>
  </si>
  <si>
    <t>INV-00268</t>
  </si>
  <si>
    <t>PO-43481</t>
  </si>
  <si>
    <t>INV-00096</t>
  </si>
  <si>
    <t>INV-01355</t>
  </si>
  <si>
    <t>INV-00182</t>
  </si>
  <si>
    <t>INV-00982</t>
  </si>
  <si>
    <t>INV-00400</t>
  </si>
  <si>
    <t>INV-00385</t>
  </si>
  <si>
    <t>INV-01346</t>
  </si>
  <si>
    <t>INV-01555</t>
  </si>
  <si>
    <t>PO-33284</t>
  </si>
  <si>
    <t>INV-00686</t>
  </si>
  <si>
    <t>INV-01431</t>
  </si>
  <si>
    <t>INV-00168</t>
  </si>
  <si>
    <t>INV-01744</t>
  </si>
  <si>
    <t>INV-00941</t>
  </si>
  <si>
    <t>INV-01339</t>
  </si>
  <si>
    <t>INV-00810</t>
  </si>
  <si>
    <t>PO-41589</t>
  </si>
  <si>
    <t>INV-01684</t>
  </si>
  <si>
    <t>INV-01647</t>
  </si>
  <si>
    <t>INV-00894</t>
  </si>
  <si>
    <t>INV-00875</t>
  </si>
  <si>
    <t>INV-01299</t>
  </si>
  <si>
    <t>PO-91131</t>
  </si>
  <si>
    <t>INV-00744</t>
  </si>
  <si>
    <t>INV-00892</t>
  </si>
  <si>
    <t>INV-01183</t>
  </si>
  <si>
    <t>INV-00174</t>
  </si>
  <si>
    <t>INV-00375</t>
  </si>
  <si>
    <t>PO-90738</t>
  </si>
  <si>
    <t>INV-00475</t>
  </si>
  <si>
    <t>INV-00827</t>
  </si>
  <si>
    <t>PO-80825</t>
  </si>
  <si>
    <t>INV-01584</t>
  </si>
  <si>
    <t>PO-75424</t>
  </si>
  <si>
    <t>INV-01203</t>
  </si>
  <si>
    <t>PO-77021</t>
  </si>
  <si>
    <t>INV-01739</t>
  </si>
  <si>
    <t>INV-00216</t>
  </si>
  <si>
    <t>INV-00453</t>
  </si>
  <si>
    <t>INV-00807</t>
  </si>
  <si>
    <t>PO-65048</t>
  </si>
  <si>
    <t>INV-01293</t>
  </si>
  <si>
    <t>INV-01081</t>
  </si>
  <si>
    <t>PO-90903</t>
  </si>
  <si>
    <t>INV-00273</t>
  </si>
  <si>
    <t>PO-18521</t>
  </si>
  <si>
    <t>INV-01322</t>
  </si>
  <si>
    <t>PO-72085</t>
  </si>
  <si>
    <t>INV-00770</t>
  </si>
  <si>
    <t>INV-01756</t>
  </si>
  <si>
    <t>INV-01079</t>
  </si>
  <si>
    <t>INV-00287</t>
  </si>
  <si>
    <t>PO-22012</t>
  </si>
  <si>
    <t>INV-00473</t>
  </si>
  <si>
    <t>INV-00748</t>
  </si>
  <si>
    <t>INV-00594</t>
  </si>
  <si>
    <t>PO-73083</t>
  </si>
  <si>
    <t>INV-00960</t>
  </si>
  <si>
    <t>PO-54440</t>
  </si>
  <si>
    <t>INV-00872</t>
  </si>
  <si>
    <t>INV-01419</t>
  </si>
  <si>
    <t>INV-01716</t>
  </si>
  <si>
    <t>INV-01125</t>
  </si>
  <si>
    <t>INV-01785</t>
  </si>
  <si>
    <t>INV-00450</t>
  </si>
  <si>
    <t>PO-44283</t>
  </si>
  <si>
    <t>INV-01319</t>
  </si>
  <si>
    <t>PO-59725</t>
  </si>
  <si>
    <t>INV-01763</t>
  </si>
  <si>
    <t>PO-64215</t>
  </si>
  <si>
    <t>INV-00028</t>
  </si>
  <si>
    <t>INV-01567</t>
  </si>
  <si>
    <t>PO-75049</t>
  </si>
  <si>
    <t>INV-00311</t>
  </si>
  <si>
    <t>PO-17910</t>
  </si>
  <si>
    <t>INV-01495</t>
  </si>
  <si>
    <t>INV-01601</t>
  </si>
  <si>
    <t>PO-81694</t>
  </si>
  <si>
    <t>INV-00981</t>
  </si>
  <si>
    <t>PO-38371</t>
  </si>
  <si>
    <t>INV-00484</t>
  </si>
  <si>
    <t>PO-38013</t>
  </si>
  <si>
    <t>INV-00696</t>
  </si>
  <si>
    <t>INV-00579</t>
  </si>
  <si>
    <t>INV-00170</t>
  </si>
  <si>
    <t>PO-54324</t>
  </si>
  <si>
    <t>INV-01612</t>
  </si>
  <si>
    <t>PO-85010</t>
  </si>
  <si>
    <t>INV-00448</t>
  </si>
  <si>
    <t>INV-00814</t>
  </si>
  <si>
    <t>INV-01606</t>
  </si>
  <si>
    <t>INV-00540</t>
  </si>
  <si>
    <t>INV-01646</t>
  </si>
  <si>
    <t>INV-01226</t>
  </si>
  <si>
    <t>INV-00546</t>
  </si>
  <si>
    <t>INV-00179</t>
  </si>
  <si>
    <t>INV-01020</t>
  </si>
  <si>
    <t>INV-00649</t>
  </si>
  <si>
    <t>PO-10591</t>
  </si>
  <si>
    <t>INV-00524</t>
  </si>
  <si>
    <t>PO-67802</t>
  </si>
  <si>
    <t>INV-00485</t>
  </si>
  <si>
    <t>PO-62132</t>
  </si>
  <si>
    <t>INV-00554</t>
  </si>
  <si>
    <t>INV-00040</t>
  </si>
  <si>
    <t>PO-77509</t>
  </si>
  <si>
    <t>INV-01705</t>
  </si>
  <si>
    <t>INV-01241</t>
  </si>
  <si>
    <t>PO-26360</t>
  </si>
  <si>
    <t>INV-00856</t>
  </si>
  <si>
    <t>INV-00968</t>
  </si>
  <si>
    <t>PO-82219</t>
  </si>
  <si>
    <t>INV-00651</t>
  </si>
  <si>
    <t>PO-16277</t>
  </si>
  <si>
    <t>INV-01367</t>
  </si>
  <si>
    <t>INV-01766</t>
  </si>
  <si>
    <t>INV-01554</t>
  </si>
  <si>
    <t>INV-01532</t>
  </si>
  <si>
    <t>INV-00901</t>
  </si>
  <si>
    <t>INV-01078</t>
  </si>
  <si>
    <t>PO-96103</t>
  </si>
  <si>
    <t>INV-01525</t>
  </si>
  <si>
    <t>INV-00627</t>
  </si>
  <si>
    <t>PO-93397</t>
  </si>
  <si>
    <t>INV-01276</t>
  </si>
  <si>
    <t>INV-00280</t>
  </si>
  <si>
    <t>INV-00990</t>
  </si>
  <si>
    <t>INV-00864</t>
  </si>
  <si>
    <t>INV-00652</t>
  </si>
  <si>
    <t>INV-00671</t>
  </si>
  <si>
    <t>PO-34741</t>
  </si>
  <si>
    <t>INV-00863</t>
  </si>
  <si>
    <t>PO-98628</t>
  </si>
  <si>
    <t>INV-01158</t>
  </si>
  <si>
    <t>INV-01690</t>
  </si>
  <si>
    <t>INV-00877</t>
  </si>
  <si>
    <t>INV-00359</t>
  </si>
  <si>
    <t>INV-01742</t>
  </si>
  <si>
    <t>INV-00196</t>
  </si>
  <si>
    <t>INV-00780</t>
  </si>
  <si>
    <t>INV-01665</t>
  </si>
  <si>
    <t>PO-64766</t>
  </si>
  <si>
    <t>INV-01795</t>
  </si>
  <si>
    <t>INV-01347</t>
  </si>
  <si>
    <t>INV-00496</t>
  </si>
  <si>
    <t>PO-69965</t>
  </si>
  <si>
    <t>INV-00361</t>
  </si>
  <si>
    <t>INV-00616</t>
  </si>
  <si>
    <t>INV-00294</t>
  </si>
  <si>
    <t>INV-01326</t>
  </si>
  <si>
    <t>INV-01572</t>
  </si>
  <si>
    <t>INV-01643</t>
  </si>
  <si>
    <t>PO-35792</t>
  </si>
  <si>
    <t>INV-01320</t>
  </si>
  <si>
    <t>PO-96134</t>
  </si>
  <si>
    <t>INV-00703</t>
  </si>
  <si>
    <t>INV-01609</t>
  </si>
  <si>
    <t>PO-27106</t>
  </si>
  <si>
    <t>INV-00749</t>
  </si>
  <si>
    <t>INV-01568</t>
  </si>
  <si>
    <t>PO-39265</t>
  </si>
  <si>
    <t>INV-00543</t>
  </si>
  <si>
    <t>PO-75451</t>
  </si>
  <si>
    <t>INV-00260</t>
  </si>
  <si>
    <t>INV-01208</t>
  </si>
  <si>
    <t>PO-90249</t>
  </si>
  <si>
    <t>INV-01786</t>
  </si>
  <si>
    <t>PO-22521</t>
  </si>
  <si>
    <t>INV-00538</t>
  </si>
  <si>
    <t>INV-01781</t>
  </si>
  <si>
    <t>INV-01774</t>
  </si>
  <si>
    <t>INV-00371</t>
  </si>
  <si>
    <t>INV-01437</t>
  </si>
  <si>
    <t>PO-84090</t>
  </si>
  <si>
    <t>INV-01187</t>
  </si>
  <si>
    <t>PO-27059</t>
  </si>
  <si>
    <t>INV-01390</t>
  </si>
  <si>
    <t>INV-00635</t>
  </si>
  <si>
    <t>INV-01091</t>
  </si>
  <si>
    <t>PO-69894</t>
  </si>
  <si>
    <t>INV-00042</t>
  </si>
  <si>
    <t>INV-01717</t>
  </si>
  <si>
    <t>PO-31300</t>
  </si>
  <si>
    <t>INV-01361</t>
  </si>
  <si>
    <t>INV-01168</t>
  </si>
  <si>
    <t>INV-00299</t>
  </si>
  <si>
    <t>INV-00293</t>
  </si>
  <si>
    <t>PO-90224</t>
  </si>
  <si>
    <t>INV-00938</t>
  </si>
  <si>
    <t>INV-00638</t>
  </si>
  <si>
    <t>INV-01372</t>
  </si>
  <si>
    <t>PO-96570</t>
  </si>
  <si>
    <t>INV-01500</t>
  </si>
  <si>
    <t>INV-00675</t>
  </si>
  <si>
    <t>INV-01111</t>
  </si>
  <si>
    <t>PO-35568</t>
  </si>
  <si>
    <t>INV-01354</t>
  </si>
  <si>
    <t>INV-00722</t>
  </si>
  <si>
    <t>PO-87922</t>
  </si>
  <si>
    <t>INV-01117</t>
  </si>
  <si>
    <t>INV-01000</t>
  </si>
  <si>
    <t>PO-93700</t>
  </si>
  <si>
    <t>INV-01764</t>
  </si>
  <si>
    <t>INV-00939</t>
  </si>
  <si>
    <t>INV-00362</t>
  </si>
  <si>
    <t>INV-01133</t>
  </si>
  <si>
    <t>PO-79212</t>
  </si>
  <si>
    <t>INV-01114</t>
  </si>
  <si>
    <t>INV-00081</t>
  </si>
  <si>
    <t>INV-00109</t>
  </si>
  <si>
    <t>PO-53066</t>
  </si>
  <si>
    <t>INV-01703</t>
  </si>
  <si>
    <t>INV-01775</t>
  </si>
  <si>
    <t>INV-00598</t>
  </si>
  <si>
    <t>PO-88506</t>
  </si>
  <si>
    <t>INV-00329</t>
  </si>
  <si>
    <t>INV-01177</t>
  </si>
  <si>
    <t>INV-01315</t>
  </si>
  <si>
    <t>PO-13598</t>
  </si>
  <si>
    <t>INV-00717</t>
  </si>
  <si>
    <t>PO-98529</t>
  </si>
  <si>
    <t>INV-01335</t>
  </si>
  <si>
    <t>PO-19705</t>
  </si>
  <si>
    <t>INV-01635</t>
  </si>
  <si>
    <t>INV-00592</t>
  </si>
  <si>
    <t>PO-30897</t>
  </si>
  <si>
    <t>INV-01258</t>
  </si>
  <si>
    <t>PO-70124</t>
  </si>
  <si>
    <t>INV-01046</t>
  </si>
  <si>
    <t>INV-00978</t>
  </si>
  <si>
    <t>PO-49551</t>
  </si>
  <si>
    <t>INV-00849</t>
  </si>
  <si>
    <t>INV-01513</t>
  </si>
  <si>
    <t>INV-01490</t>
  </si>
  <si>
    <t>PO-32072</t>
  </si>
  <si>
    <t>INV-01731</t>
  </si>
  <si>
    <t>PO-98090</t>
  </si>
  <si>
    <t>INV-00820</t>
  </si>
  <si>
    <t>PO-73925</t>
  </si>
  <si>
    <t>INV-01542</t>
  </si>
  <si>
    <t>INV-00848</t>
  </si>
  <si>
    <t>INV-00502</t>
  </si>
  <si>
    <t>INV-00318</t>
  </si>
  <si>
    <t>INV-01192</t>
  </si>
  <si>
    <t>INV-01045</t>
  </si>
  <si>
    <t>INV-00443</t>
  </si>
  <si>
    <t>INV-01417</t>
  </si>
  <si>
    <t>PO-72695</t>
  </si>
  <si>
    <t>INV-00060</t>
  </si>
  <si>
    <t>INV-00249</t>
  </si>
  <si>
    <t>INV-00723</t>
  </si>
  <si>
    <t>PO-44033</t>
  </si>
  <si>
    <t>INV-01545</t>
  </si>
  <si>
    <t>INV-00497</t>
  </si>
  <si>
    <t>PO-74068</t>
  </si>
  <si>
    <t>INV-01433</t>
  </si>
  <si>
    <t>PO-23454</t>
  </si>
  <si>
    <t>INV-01413</t>
  </si>
  <si>
    <t>PO-13869</t>
  </si>
  <si>
    <t>INV-00056</t>
  </si>
  <si>
    <t>PO-82216</t>
  </si>
  <si>
    <t>INV-00573</t>
  </si>
  <si>
    <t>INV-00396</t>
  </si>
  <si>
    <t>INV-00713</t>
  </si>
  <si>
    <t>INV-01489</t>
  </si>
  <si>
    <t>INV-00570</t>
  </si>
  <si>
    <t>INV-01614</t>
  </si>
  <si>
    <t>INV-01623</t>
  </si>
  <si>
    <t>INV-01272</t>
  </si>
  <si>
    <t>INV-00736</t>
  </si>
  <si>
    <t>INV-01448</t>
  </si>
  <si>
    <t>INV-01017</t>
  </si>
  <si>
    <t>INV-00195</t>
  </si>
  <si>
    <t>INV-01695</t>
  </si>
  <si>
    <t>INV-00303</t>
  </si>
  <si>
    <t>PO-80572</t>
  </si>
  <si>
    <t>INV-01317</t>
  </si>
  <si>
    <t>INV-00597</t>
  </si>
  <si>
    <t>PO-76957</t>
  </si>
  <si>
    <t>INV-01292</t>
  </si>
  <si>
    <t>INV-01546</t>
  </si>
  <si>
    <t>INV-00983</t>
  </si>
  <si>
    <t>INV-01783</t>
  </si>
  <si>
    <t>INV-00220</t>
  </si>
  <si>
    <t>INV-01197</t>
  </si>
  <si>
    <t>PO-81524</t>
  </si>
  <si>
    <t>INV-00471</t>
  </si>
  <si>
    <t>PO-56566</t>
  </si>
  <si>
    <t>INV-00728</t>
  </si>
  <si>
    <t>INV-01603</t>
  </si>
  <si>
    <t>INV-00354</t>
  </si>
  <si>
    <t>INV-00422</t>
  </si>
  <si>
    <t>INV-00107</t>
  </si>
  <si>
    <t>INV-00906</t>
  </si>
  <si>
    <t>INV-00037</t>
  </si>
  <si>
    <t>PO-10569</t>
  </si>
  <si>
    <t>INV-00986</t>
  </si>
  <si>
    <t>PO-79358</t>
  </si>
  <si>
    <t>INV-01236</t>
  </si>
  <si>
    <t>PO-72112</t>
  </si>
  <si>
    <t>INV-00729</t>
  </si>
  <si>
    <t>PO-22938</t>
  </si>
  <si>
    <t>INV-01516</t>
  </si>
  <si>
    <t>INV-00917</t>
  </si>
  <si>
    <t>INV-01222</t>
  </si>
  <si>
    <t>INV-01506</t>
  </si>
  <si>
    <t>INV-00120</t>
  </si>
  <si>
    <t>INV-00050</t>
  </si>
  <si>
    <t>INV-00423</t>
  </si>
  <si>
    <t>PO-98306</t>
  </si>
  <si>
    <t>INV-00571</t>
  </si>
  <si>
    <t>INV-01492</t>
  </si>
  <si>
    <t>INV-01722</t>
  </si>
  <si>
    <t>INV-01748</t>
  </si>
  <si>
    <t>INV-00560</t>
  </si>
  <si>
    <t>PO-75782</t>
  </si>
  <si>
    <t>INV-01374</t>
  </si>
  <si>
    <t>PO-72648</t>
  </si>
  <si>
    <t>INV-00930</t>
  </si>
  <si>
    <t>INV-01552</t>
  </si>
  <si>
    <t>INV-00844</t>
  </si>
  <si>
    <t>INV-00771</t>
  </si>
  <si>
    <t>INV-00452</t>
  </si>
  <si>
    <t>INV-00767</t>
  </si>
  <si>
    <t>PO-95013</t>
  </si>
  <si>
    <t>INV-00694</t>
  </si>
  <si>
    <t>INV-01533</t>
  </si>
  <si>
    <t>PO-44293</t>
  </si>
  <si>
    <t>INV-01667</t>
  </si>
  <si>
    <t>INV-00805</t>
  </si>
  <si>
    <t>PO-18562</t>
  </si>
  <si>
    <t>INV-00552</t>
  </si>
  <si>
    <t>INV-00576</t>
  </si>
  <si>
    <t>PO-95637</t>
  </si>
  <si>
    <t>INV-00506</t>
  </si>
  <si>
    <t>INV-01466</t>
  </si>
  <si>
    <t>PO-82254</t>
  </si>
  <si>
    <t>INV-01682</t>
  </si>
  <si>
    <t>INV-00950</t>
  </si>
  <si>
    <t>INV-00458</t>
  </si>
  <si>
    <t>INV-00306</t>
  </si>
  <si>
    <t>PO-39960</t>
  </si>
  <si>
    <t>INV-01240</t>
  </si>
  <si>
    <t>INV-00355</t>
  </si>
  <si>
    <t>PO-87257</t>
  </si>
  <si>
    <t>INV-00488</t>
  </si>
  <si>
    <t>PO-38084</t>
  </si>
  <si>
    <t>INV-01769</t>
  </si>
  <si>
    <t>INV-01340</t>
  </si>
  <si>
    <t>PO-65279</t>
  </si>
  <si>
    <t>INV-00669</t>
  </si>
  <si>
    <t>INV-01441</t>
  </si>
  <si>
    <t>INV-00673</t>
  </si>
  <si>
    <t>INV-00169</t>
  </si>
  <si>
    <t>PO-96914</t>
  </si>
  <si>
    <t>INV-00514</t>
  </si>
  <si>
    <t>INV-00052</t>
  </si>
  <si>
    <t>INV-01245</t>
  </si>
  <si>
    <t>INV-00984</t>
  </si>
  <si>
    <t>INV-00014</t>
  </si>
  <si>
    <t>PO-78306</t>
  </si>
  <si>
    <t>INV-00639</t>
  </si>
  <si>
    <t>COMFORTPRO</t>
  </si>
  <si>
    <t>INV-00886</t>
  </si>
  <si>
    <t>PO-61801</t>
  </si>
  <si>
    <t>INV-01007</t>
  </si>
  <si>
    <t>INV-00163</t>
  </si>
  <si>
    <t>INV-00710</t>
  </si>
  <si>
    <t>INV-00582</t>
  </si>
  <si>
    <t>INV-01745</t>
  </si>
  <si>
    <t>INV-01550</t>
  </si>
  <si>
    <t>PO-40868</t>
  </si>
  <si>
    <t>INV-00167</t>
  </si>
  <si>
    <t>PO-48596</t>
  </si>
  <si>
    <t>INV-00674</t>
  </si>
  <si>
    <t>INV-01146</t>
  </si>
  <si>
    <t>PO-12036</t>
  </si>
  <si>
    <t>INV-00516</t>
  </si>
  <si>
    <t>PO-84311</t>
  </si>
  <si>
    <t>INV-01324</t>
  </si>
  <si>
    <t>INV-01171</t>
  </si>
  <si>
    <t>INV-00031</t>
  </si>
  <si>
    <t>INV-00043</t>
  </si>
  <si>
    <t>INV-01270</t>
  </si>
  <si>
    <t>INV-00987</t>
  </si>
  <si>
    <t>INV-01641</t>
  </si>
  <si>
    <t>INV-01411</t>
  </si>
  <si>
    <t>PO-65781</t>
  </si>
  <si>
    <t>INV-00532</t>
  </si>
  <si>
    <t>PO-40776</t>
  </si>
  <si>
    <t>INV-00699</t>
  </si>
  <si>
    <t>INV-00208</t>
  </si>
  <si>
    <t>INV-01126</t>
  </si>
  <si>
    <t>INV-00191</t>
  </si>
  <si>
    <t>INV-01486</t>
  </si>
  <si>
    <t>PO-88004</t>
  </si>
  <si>
    <t>INV-01086</t>
  </si>
  <si>
    <t>INV-00091</t>
  </si>
  <si>
    <t>PO-16908</t>
  </si>
  <si>
    <t>INV-00517</t>
  </si>
  <si>
    <t>PO-39655</t>
  </si>
  <si>
    <t>INV-00395</t>
  </si>
  <si>
    <t>PO-36470</t>
  </si>
  <si>
    <t>INV-00033</t>
  </si>
  <si>
    <t>INV-00401</t>
  </si>
  <si>
    <t>INV-00245</t>
  </si>
  <si>
    <t>INV-00646</t>
  </si>
  <si>
    <t>PO-56103</t>
  </si>
  <si>
    <t>INV-01312</t>
  </si>
  <si>
    <t>PO-88946</t>
  </si>
  <si>
    <t>INV-01670</t>
  </si>
  <si>
    <t>PO-91588</t>
  </si>
  <si>
    <t>INV-01450</t>
  </si>
  <si>
    <t>INV-00957</t>
  </si>
  <si>
    <t>INV-00346</t>
  </si>
  <si>
    <t>INV-00098</t>
  </si>
  <si>
    <t>PO-61455</t>
  </si>
  <si>
    <t>INV-01741</t>
  </si>
  <si>
    <t>PO-39802</t>
  </si>
  <si>
    <t>INV-01073</t>
  </si>
  <si>
    <t>INV-01510</t>
  </si>
  <si>
    <t>INV-00816</t>
  </si>
  <si>
    <t>PO-93268</t>
  </si>
  <si>
    <t>INV-00007</t>
  </si>
  <si>
    <t>INV-00064</t>
  </si>
  <si>
    <t>INV-01727</t>
  </si>
  <si>
    <t>INV-01420</t>
  </si>
  <si>
    <t>INV-01138</t>
  </si>
  <si>
    <t>INV-00846</t>
  </si>
  <si>
    <t>INV-00333</t>
  </si>
  <si>
    <t>INV-01590</t>
  </si>
  <si>
    <t>INV-00904</t>
  </si>
  <si>
    <t>PO-19066</t>
  </si>
  <si>
    <t>INV-00228</t>
  </si>
  <si>
    <t>INV-01467</t>
  </si>
  <si>
    <t>INV-00148</t>
  </si>
  <si>
    <t>PO-35921</t>
  </si>
  <si>
    <t>INV-00819</t>
  </si>
  <si>
    <t>INV-00373</t>
  </si>
  <si>
    <t>PO-49051</t>
  </si>
  <si>
    <t>INV-00288</t>
  </si>
  <si>
    <t>INV-01269</t>
  </si>
  <si>
    <t>PO-13196</t>
  </si>
  <si>
    <t>INV-01651</t>
  </si>
  <si>
    <t>INV-00156</t>
  </si>
  <si>
    <t>INV-01692</t>
  </si>
  <si>
    <t>INV-01799</t>
  </si>
  <si>
    <t>INV-00595</t>
  </si>
  <si>
    <t>INV-00818</t>
  </si>
  <si>
    <t>PO-64708</t>
  </si>
  <si>
    <t>INV-01178</t>
  </si>
  <si>
    <t>PO-91943</t>
  </si>
  <si>
    <t>INV-00608</t>
  </si>
  <si>
    <t>INV-01435</t>
  </si>
  <si>
    <t>INV-01712</t>
  </si>
  <si>
    <t>PO-98662</t>
  </si>
  <si>
    <t>INV-00614</t>
  </si>
  <si>
    <t>PO-25487</t>
  </si>
  <si>
    <t>INV-00360</t>
  </si>
  <si>
    <t>INV-01247</t>
  </si>
  <si>
    <t>INV-00528</t>
  </si>
  <si>
    <t>PO-57632</t>
  </si>
  <si>
    <t>INV-01422</t>
  </si>
  <si>
    <t>PO-17971</t>
  </si>
  <si>
    <t>INV-00158</t>
  </si>
  <si>
    <t>INV-00332</t>
  </si>
  <si>
    <t>PO-68105</t>
  </si>
  <si>
    <t>INV-00843</t>
  </si>
  <si>
    <t>INV-00915</t>
  </si>
  <si>
    <t>PO-26991</t>
  </si>
  <si>
    <t>INV-00969</t>
  </si>
  <si>
    <t>INV-01031</t>
  </si>
  <si>
    <t>INV-00750</t>
  </si>
  <si>
    <t>PO-28961</t>
  </si>
  <si>
    <t>INV-01201</t>
  </si>
  <si>
    <t>INV-00212</t>
  </si>
  <si>
    <t>PO-42314</t>
  </si>
  <si>
    <t>INV-00549</t>
  </si>
  <si>
    <t>INV-01280</t>
  </si>
  <si>
    <t>INV-00085</t>
  </si>
  <si>
    <t>PO-89027</t>
  </si>
  <si>
    <t>INV-00888</t>
  </si>
  <si>
    <t>INV-01403</t>
  </si>
  <si>
    <t>PO-19107</t>
  </si>
  <si>
    <t>INV-00591</t>
  </si>
  <si>
    <t>INV-01191</t>
  </si>
  <si>
    <t>PO-33052</t>
  </si>
  <si>
    <t>INV-01363</t>
  </si>
  <si>
    <t>PO-50934</t>
  </si>
  <si>
    <t>INV-01062</t>
  </si>
  <si>
    <t>PO-57800</t>
  </si>
  <si>
    <t>INV-01611</t>
  </si>
  <si>
    <t>INV-01255</t>
  </si>
  <si>
    <t>INV-00387</t>
  </si>
  <si>
    <t>INV-01579</t>
  </si>
  <si>
    <t>PO-11502</t>
  </si>
  <si>
    <t>INV-00963</t>
  </si>
  <si>
    <t>INV-01737</t>
  </si>
  <si>
    <t>PO-55440</t>
  </si>
  <si>
    <t>INV-00253</t>
  </si>
  <si>
    <t>PO-39877</t>
  </si>
  <si>
    <t>INV-01034</t>
  </si>
  <si>
    <t>PO-84176</t>
  </si>
  <si>
    <t>INV-00047</t>
  </si>
  <si>
    <t>PO-59088</t>
  </si>
  <si>
    <t>INV-01640</t>
  </si>
  <si>
    <t>INV-00445</t>
  </si>
  <si>
    <t>INV-00247</t>
  </si>
  <si>
    <t>PO-83030</t>
  </si>
  <si>
    <t>INV-01277</t>
  </si>
  <si>
    <t>INV-00343</t>
  </si>
  <si>
    <t>INV-01514</t>
  </si>
  <si>
    <t>PO-37268</t>
  </si>
  <si>
    <t>INV-00547</t>
  </si>
  <si>
    <t>INV-01151</t>
  </si>
  <si>
    <t>INV-00801</t>
  </si>
  <si>
    <t>INV-00465</t>
  </si>
  <si>
    <t>INV-00108</t>
  </si>
  <si>
    <t>INV-01152</t>
  </si>
  <si>
    <t>INV-01131</t>
  </si>
  <si>
    <t>INV-01597</t>
  </si>
  <si>
    <t>INV-00751</t>
  </si>
  <si>
    <t>INV-01456</t>
  </si>
  <si>
    <t>PO-54045</t>
  </si>
  <si>
    <t>INV-01752</t>
  </si>
  <si>
    <t>PO-32075</t>
  </si>
  <si>
    <t>INV-01493</t>
  </si>
  <si>
    <t>INV-00739</t>
  </si>
  <si>
    <t>INV-01669</t>
  </si>
  <si>
    <t>INV-00550</t>
  </si>
  <si>
    <t>PO-58812</t>
  </si>
  <si>
    <t>INV-00226</t>
  </si>
  <si>
    <t>PO-57006</t>
  </si>
  <si>
    <t>INV-01087</t>
  </si>
  <si>
    <t>INV-00847</t>
  </si>
  <si>
    <t>INV-00876</t>
  </si>
  <si>
    <t>PO-97235</t>
  </si>
  <si>
    <t>INV-00003</t>
  </si>
  <si>
    <t>INV-00670</t>
  </si>
  <si>
    <t>INV-01639</t>
  </si>
  <si>
    <t>INV-01574</t>
  </si>
  <si>
    <t>INV-01085</t>
  </si>
  <si>
    <t>PO-15813</t>
  </si>
  <si>
    <t>INV-01421</t>
  </si>
  <si>
    <t>INV-01483</t>
  </si>
  <si>
    <t>INV-01373</t>
  </si>
  <si>
    <t>PO-18484</t>
  </si>
  <si>
    <t>INV-00727</t>
  </si>
  <si>
    <t>PO-71993</t>
  </si>
  <si>
    <t>INV-00577</t>
  </si>
  <si>
    <t>PO-92027</t>
  </si>
  <si>
    <t>INV-00338</t>
  </si>
  <si>
    <t>INV-00558</t>
  </si>
  <si>
    <t>PO-28895</t>
  </si>
  <si>
    <t>INV-01569</t>
  </si>
  <si>
    <t>PO-91490</t>
  </si>
  <si>
    <t>INV-00022</t>
  </si>
  <si>
    <t>PO-59044</t>
  </si>
  <si>
    <t>INV-01389</t>
  </si>
  <si>
    <t>INV-00061</t>
  </si>
  <si>
    <t>INV-01610</t>
  </si>
  <si>
    <t>PO-66731</t>
  </si>
  <si>
    <t>INV-01176</t>
  </si>
  <si>
    <t>PO-42844</t>
  </si>
  <si>
    <t>INV-00889</t>
  </si>
  <si>
    <t>INV-00004</t>
  </si>
  <si>
    <t>PO-52235</t>
  </si>
  <si>
    <t>INV-00536</t>
  </si>
  <si>
    <t>INV-01376</t>
  </si>
  <si>
    <t>PO-63678</t>
  </si>
  <si>
    <t>INV-00307</t>
  </si>
  <si>
    <t>INV-00799</t>
  </si>
  <si>
    <t>PO-17045</t>
  </si>
  <si>
    <t>INV-00029</t>
  </si>
  <si>
    <t>INV-00812</t>
  </si>
  <si>
    <t>PO-36844</t>
  </si>
  <si>
    <t>INV-01166</t>
  </si>
  <si>
    <t>INV-00544</t>
  </si>
  <si>
    <t>INV-01408</t>
  </si>
  <si>
    <t>INV-01580</t>
  </si>
  <si>
    <t>INV-00342</t>
  </si>
  <si>
    <t>INV-00068</t>
  </si>
  <si>
    <t>PO-48138</t>
  </si>
  <si>
    <t>INV-01726</t>
  </si>
  <si>
    <t>PO-73115</t>
  </si>
  <si>
    <t>INV-01788</t>
  </si>
  <si>
    <t>INV-00386</t>
  </si>
  <si>
    <t>INV-00551</t>
  </si>
  <si>
    <t>INV-00865</t>
  </si>
  <si>
    <t>INV-00349</t>
  </si>
  <si>
    <t>INV-01024</t>
  </si>
  <si>
    <t>PO-37360</t>
  </si>
  <si>
    <t>INV-00607</t>
  </si>
  <si>
    <t>INV-00758</t>
  </si>
  <si>
    <t>PO-24706</t>
  </si>
  <si>
    <t>INV-00797</t>
  </si>
  <si>
    <t>PO-62076</t>
  </si>
  <si>
    <t>INV-00711</t>
  </si>
  <si>
    <t>PO-70110</t>
  </si>
  <si>
    <t>INV-01098</t>
  </si>
  <si>
    <t>PO-44269</t>
  </si>
  <si>
    <t>INV-00866</t>
  </si>
  <si>
    <t>PO-35105</t>
  </si>
  <si>
    <t>INV-01656</t>
  </si>
  <si>
    <t>PO-64645</t>
  </si>
  <si>
    <t>INV-01526</t>
  </si>
  <si>
    <t>INV-01770</t>
  </si>
  <si>
    <t>INV-01547</t>
  </si>
  <si>
    <t>PO-48893</t>
  </si>
  <si>
    <t>INV-00283</t>
  </si>
  <si>
    <t>INV-00210</t>
  </si>
  <si>
    <t>INV-01048</t>
  </si>
  <si>
    <t>PO-98919</t>
  </si>
  <si>
    <t>INV-00066</t>
  </si>
  <si>
    <t>INV-00482</t>
  </si>
  <si>
    <t>INV-01512</t>
  </si>
  <si>
    <t>INV-01044</t>
  </si>
  <si>
    <t>INV-00792</t>
  </si>
  <si>
    <t>INV-01200</t>
  </si>
  <si>
    <t>INV-01037</t>
  </si>
  <si>
    <t>INV-00612</t>
  </si>
  <si>
    <t>PO-86555</t>
  </si>
  <si>
    <t>INV-00094</t>
  </si>
  <si>
    <t>PO-20844</t>
  </si>
  <si>
    <t>INV-00432</t>
  </si>
  <si>
    <t>PO-21929</t>
  </si>
  <si>
    <t>INV-00965</t>
  </si>
  <si>
    <t>PO-65255</t>
  </si>
  <si>
    <t>INV-00628</t>
  </si>
  <si>
    <t>INV-00789</t>
  </si>
  <si>
    <t>PO-79810</t>
  </si>
  <si>
    <t>INV-01599</t>
  </si>
  <si>
    <t>PO-77396</t>
  </si>
  <si>
    <t>INV-00763</t>
  </si>
  <si>
    <t>PO-86464</t>
  </si>
  <si>
    <t>INV-00920</t>
  </si>
  <si>
    <t>PO-99710</t>
  </si>
  <si>
    <t>INV-00231</t>
  </si>
  <si>
    <t>PO-20686</t>
  </si>
  <si>
    <t>INV-00464</t>
  </si>
  <si>
    <t>INV-01423</t>
  </si>
  <si>
    <t>PO-35651</t>
  </si>
  <si>
    <t>INV-01214</t>
  </si>
  <si>
    <t>INV-01600</t>
  </si>
  <si>
    <t>INV-01206</t>
  </si>
  <si>
    <t>INV-00924</t>
  </si>
  <si>
    <t>INV-01030</t>
  </si>
  <si>
    <t>PO-32703</t>
  </si>
  <si>
    <t>INV-00073</t>
  </si>
  <si>
    <t>INV-00823</t>
  </si>
  <si>
    <t>INV-00883</t>
  </si>
  <si>
    <t>PO-72170</t>
  </si>
  <si>
    <t>INV-00718</t>
  </si>
  <si>
    <t>INV-00145</t>
  </si>
  <si>
    <t>INV-00026</t>
  </si>
  <si>
    <t>INV-01026</t>
  </si>
  <si>
    <t>INV-00937</t>
  </si>
  <si>
    <t>INV-01105</t>
  </si>
  <si>
    <t>INV-00185</t>
  </si>
  <si>
    <t>PO-52875</t>
  </si>
  <si>
    <t>INV-00460</t>
  </si>
  <si>
    <t>INV-01298</t>
  </si>
  <si>
    <t>PO-59220</t>
  </si>
  <si>
    <t>INV-01468</t>
  </si>
  <si>
    <t>INV-01487</t>
  </si>
  <si>
    <t>INV-01271</t>
  </si>
  <si>
    <t>INV-00653</t>
  </si>
  <si>
    <t>INV-01388</t>
  </si>
  <si>
    <t>INV-01384</t>
  </si>
  <si>
    <t>PO-45361</t>
  </si>
  <si>
    <t>INV-01064</t>
  </si>
  <si>
    <t>INV-00975</t>
  </si>
  <si>
    <t>INV-00762</t>
  </si>
  <si>
    <t>INV-00147</t>
  </si>
  <si>
    <t>INV-00051</t>
  </si>
  <si>
    <t>PO-84466</t>
  </si>
  <si>
    <t>INV-00017</t>
  </si>
  <si>
    <t>PO-80382</t>
  </si>
  <si>
    <t>INV-01660</t>
  </si>
  <si>
    <t>INV-00099</t>
  </si>
  <si>
    <t>INV-01259</t>
  </si>
  <si>
    <t>PO-60949</t>
  </si>
  <si>
    <t>INV-00934</t>
  </si>
  <si>
    <t>INV-00979</t>
  </si>
  <si>
    <t>INV-01471</t>
  </si>
  <si>
    <t>PO-23782</t>
  </si>
  <si>
    <t>INV-01314</t>
  </si>
  <si>
    <t>PO-55971</t>
  </si>
  <si>
    <t>INV-00309</t>
  </si>
  <si>
    <t>PO-97695</t>
  </si>
  <si>
    <t>INV-01295</t>
  </si>
  <si>
    <t>PO-60345</t>
  </si>
  <si>
    <t>INV-00556</t>
  </si>
  <si>
    <t>PO-90602</t>
  </si>
  <si>
    <t>INV-00760</t>
  </si>
  <si>
    <t>INV-01504</t>
  </si>
  <si>
    <t>PO-55702</t>
  </si>
  <si>
    <t>INV-00659</t>
  </si>
  <si>
    <t>INV-01796</t>
  </si>
  <si>
    <t>INV-00992</t>
  </si>
  <si>
    <t>INV-01013</t>
  </si>
  <si>
    <t>INV-01119</t>
  </si>
  <si>
    <t>INV-01309</t>
  </si>
  <si>
    <t>INV-01460</t>
  </si>
  <si>
    <t>INV-00023</t>
  </si>
  <si>
    <t>INV-01327</t>
  </si>
  <si>
    <t>INV-00584</t>
  </si>
  <si>
    <t>INV-01391</t>
  </si>
  <si>
    <t>BRIGHTHOME</t>
  </si>
  <si>
    <t>PO-20315</t>
  </si>
  <si>
    <t>INV-01382</t>
  </si>
  <si>
    <t>PO-96332</t>
  </si>
  <si>
    <t>INV-01784</t>
  </si>
  <si>
    <t>INV-01478</t>
  </si>
  <si>
    <t>INV-00714</t>
  </si>
  <si>
    <t>INV-00925</t>
  </si>
  <si>
    <t>INV-00269</t>
  </si>
  <si>
    <t>PO-99180</t>
  </si>
  <si>
    <t>INV-00775</t>
  </si>
  <si>
    <t>PO-56156</t>
  </si>
  <si>
    <t>INV-00655</t>
  </si>
  <si>
    <t>INV-01662</t>
  </si>
  <si>
    <t>PO-88210</t>
  </si>
  <si>
    <t>INV-00510</t>
  </si>
  <si>
    <t>INV-01033</t>
  </si>
  <si>
    <t>PO-69021</t>
  </si>
  <si>
    <t>INV-00995</t>
  </si>
  <si>
    <t>INV-01596</t>
  </si>
  <si>
    <t>INV-00716</t>
  </si>
  <si>
    <t>INV-00157</t>
  </si>
  <si>
    <t>INV-00266</t>
  </si>
  <si>
    <t>INV-01536</t>
  </si>
  <si>
    <t>INV-01365</t>
  </si>
  <si>
    <t>PO-16050</t>
  </si>
  <si>
    <t>INV-00522</t>
  </si>
  <si>
    <t>INV-01100</t>
  </si>
  <si>
    <t>PO-71748</t>
  </si>
  <si>
    <t>INV-01106</t>
  </si>
  <si>
    <t>PO-47018</t>
  </si>
  <si>
    <t>INV-00874</t>
  </si>
  <si>
    <t>PO-42442</t>
  </si>
  <si>
    <t>INV-00248</t>
  </si>
  <si>
    <t>INV-01193</t>
  </si>
  <si>
    <t>INV-00772</t>
  </si>
  <si>
    <t>INV-01170</t>
  </si>
  <si>
    <t>INV-00123</t>
  </si>
  <si>
    <t>INV-00317</t>
  </si>
  <si>
    <t>INV-01401</t>
  </si>
  <si>
    <t>INV-00790</t>
  </si>
  <si>
    <t>INV-00833</t>
  </si>
  <si>
    <t>PO-61574</t>
  </si>
  <si>
    <t>INV-00631</t>
  </si>
  <si>
    <t>INV-00444</t>
  </si>
  <si>
    <t>INV-01539</t>
  </si>
  <si>
    <t>INV-00131</t>
  </si>
  <si>
    <t>INV-00885</t>
  </si>
  <si>
    <t>PO-14923</t>
  </si>
  <si>
    <t>INV-00778</t>
  </si>
  <si>
    <t>INV-01155</t>
  </si>
  <si>
    <t>INV-00335</t>
  </si>
  <si>
    <t>INV-00476</t>
  </si>
  <si>
    <t>INV-00030</t>
  </si>
  <si>
    <t>PO-89164</t>
  </si>
  <si>
    <t>INV-01616</t>
  </si>
  <si>
    <t>INV-00508</t>
  </si>
  <si>
    <t>SCANPRO</t>
  </si>
  <si>
    <t>INV-01261</t>
  </si>
  <si>
    <t>PO-68268</t>
  </si>
  <si>
    <t>INV-01531</t>
  </si>
  <si>
    <t>INV-01704</t>
  </si>
  <si>
    <t>PO-84387</t>
  </si>
  <si>
    <t>INV-00501</t>
  </si>
  <si>
    <t>INV-00701</t>
  </si>
  <si>
    <t>INV-00337</t>
  </si>
  <si>
    <t>PO-40505</t>
  </si>
  <si>
    <t>INV-00593</t>
  </si>
  <si>
    <t>INV-00316</t>
  </si>
  <si>
    <t>PO-38810</t>
  </si>
  <si>
    <t>INV-00834</t>
  </si>
  <si>
    <t>PO-95548</t>
  </si>
  <si>
    <t>INV-01345</t>
  </si>
  <si>
    <t>PO-72471</t>
  </si>
  <si>
    <t>INV-00902</t>
  </si>
  <si>
    <t>INV-01432</t>
  </si>
  <si>
    <t>INV-00290</t>
  </si>
  <si>
    <t>INV-01202</t>
  </si>
  <si>
    <t>INV-00477</t>
  </si>
  <si>
    <t>INV-00276</t>
  </si>
  <si>
    <t>INV-01442</t>
  </si>
  <si>
    <t>INV-01284</t>
  </si>
  <si>
    <t>INV-01229</t>
  </si>
  <si>
    <t>INV-00953</t>
  </si>
  <si>
    <t>INV-00409</t>
  </si>
  <si>
    <t>PO-56638</t>
  </si>
  <si>
    <t>INV-00825</t>
  </si>
  <si>
    <t>INV-00345</t>
  </si>
  <si>
    <t>INV-00308</t>
  </si>
  <si>
    <t>INV-00143</t>
  </si>
  <si>
    <t>INV-01491</t>
  </si>
  <si>
    <t>PO-91015</t>
  </si>
  <si>
    <t>INV-01392</t>
  </si>
  <si>
    <t>INV-00072</t>
  </si>
  <si>
    <t>PO-38757</t>
  </si>
  <si>
    <t>INV-01791</t>
  </si>
  <si>
    <t>INV-01227</t>
  </si>
  <si>
    <t>INV-01406</t>
  </si>
  <si>
    <t>INV-00565</t>
  </si>
  <si>
    <t>INV-00685</t>
  </si>
  <si>
    <t>INV-00301</t>
  </si>
  <si>
    <t>INV-00188</t>
  </si>
  <si>
    <t>INV-00668</t>
  </si>
  <si>
    <t>PO-75883</t>
  </si>
  <si>
    <t>INV-00784</t>
  </si>
  <si>
    <t>INV-00708</t>
  </si>
  <si>
    <t>INV-00632</t>
  </si>
  <si>
    <t>INV-00418</t>
  </si>
  <si>
    <t>PO-27045</t>
  </si>
  <si>
    <t>INV-01424</t>
  </si>
  <si>
    <t>PO-66974</t>
  </si>
  <si>
    <t>INV-00392</t>
  </si>
  <si>
    <t>INV-00203</t>
  </si>
  <si>
    <t>INV-01427</t>
  </si>
  <si>
    <t>PO-48108</t>
  </si>
  <si>
    <t>INV-01794</t>
  </si>
  <si>
    <t>INV-01148</t>
  </si>
  <si>
    <t>INV-00845</t>
  </si>
  <si>
    <t>PO-74230</t>
  </si>
  <si>
    <t>INV-00036</t>
  </si>
  <si>
    <t>INV-00622</t>
  </si>
  <si>
    <t>PO-34756</t>
  </si>
  <si>
    <t>INV-01352</t>
  </si>
  <si>
    <t>PO-89834</t>
  </si>
  <si>
    <t>INV-00966</t>
  </si>
  <si>
    <t>INV-01234</t>
  </si>
  <si>
    <t>PO-16487</t>
  </si>
  <si>
    <t>INV-00813</t>
  </si>
  <si>
    <t>PO-33447</t>
  </si>
  <si>
    <t>INV-01076</t>
  </si>
  <si>
    <t>INV-00046</t>
  </si>
  <si>
    <t>PO-43038</t>
  </si>
  <si>
    <t>INV-01088</t>
  </si>
  <si>
    <t>INV-00080</t>
  </si>
  <si>
    <t>INV-00295</t>
  </si>
  <si>
    <t>PO-33457</t>
  </si>
  <si>
    <t>INV-00106</t>
  </si>
  <si>
    <t>PO-87108</t>
  </si>
  <si>
    <t>INV-01019</t>
  </si>
  <si>
    <t>PO-19916</t>
  </si>
  <si>
    <t>INV-01032</t>
  </si>
  <si>
    <t>INV-00041</t>
  </si>
  <si>
    <t>INV-00788</t>
  </si>
  <si>
    <t>INV-01035</t>
  </si>
  <si>
    <t>INV-00223</t>
  </si>
  <si>
    <t>INV-00160</t>
  </si>
  <si>
    <t>INV-01172</t>
  </si>
  <si>
    <t>PO-70204</t>
  </si>
  <si>
    <t>INV-01360</t>
  </si>
  <si>
    <t>PO-65828</t>
  </si>
  <si>
    <t>INV-01004</t>
  </si>
  <si>
    <t>INV-01058</t>
  </si>
  <si>
    <t>PO-44248</t>
  </si>
  <si>
    <t>INV-00242</t>
  </si>
  <si>
    <t>INV-01228</t>
  </si>
  <si>
    <t>INV-00204</t>
  </si>
  <si>
    <t>PO-93071</t>
  </si>
  <si>
    <t>INV-01252</t>
  </si>
  <si>
    <t>INV-00076</t>
  </si>
  <si>
    <t>INV-01628</t>
  </si>
  <si>
    <t>INV-01349</t>
  </si>
  <si>
    <t>INV-00548</t>
  </si>
  <si>
    <t>INV-01323</t>
  </si>
  <si>
    <t>PO-27862</t>
  </si>
  <si>
    <t>INV-01036</t>
  </si>
  <si>
    <t>INV-00997</t>
  </si>
  <si>
    <t>PO-15914</t>
  </si>
  <si>
    <t>INV-01494</t>
  </si>
  <si>
    <t>INV-01307</t>
  </si>
  <si>
    <t>INV-01113</t>
  </si>
  <si>
    <t>INV-01409</t>
  </si>
  <si>
    <t>INV-01162</t>
  </si>
  <si>
    <t>INV-01209</t>
  </si>
  <si>
    <t>INV-00398</t>
  </si>
  <si>
    <t>INV-01462</t>
  </si>
  <si>
    <t>INV-00053</t>
  </si>
  <si>
    <t>INV-01305</t>
  </si>
  <si>
    <t>PO-81736</t>
  </si>
  <si>
    <t>INV-00839</t>
  </si>
  <si>
    <t>INV-00442</t>
  </si>
  <si>
    <t>PO-88424</t>
  </si>
  <si>
    <t>INV-00380</t>
  </si>
  <si>
    <t>INV-00490</t>
  </si>
  <si>
    <t>PO-31143</t>
  </si>
  <si>
    <t>INV-01753</t>
  </si>
  <si>
    <t>INV-00121</t>
  </si>
  <si>
    <t>INV-01429</t>
  </si>
  <si>
    <t>PO-85179</t>
  </si>
  <si>
    <t>INV-00585</t>
  </si>
  <si>
    <t>PO-37207</t>
  </si>
  <si>
    <t>INV-00314</t>
  </si>
  <si>
    <t>INV-01685</t>
  </si>
  <si>
    <t>INV-00417</t>
  </si>
  <si>
    <t>Product Name</t>
  </si>
  <si>
    <t>Category</t>
  </si>
  <si>
    <t>Reorder Level</t>
  </si>
  <si>
    <t>Safety Stock</t>
  </si>
  <si>
    <t>Lead Time Days</t>
  </si>
  <si>
    <t>Wireless Mouse</t>
  </si>
  <si>
    <t>Electronics</t>
  </si>
  <si>
    <t>Mechanical Keyboard</t>
  </si>
  <si>
    <t>USB-C Hub</t>
  </si>
  <si>
    <t>Bluetooth Speaker</t>
  </si>
  <si>
    <t>Webcam HD</t>
  </si>
  <si>
    <t>27-inch Monitor</t>
  </si>
  <si>
    <t>Laptop Stand</t>
  </si>
  <si>
    <t>Office Supplies</t>
  </si>
  <si>
    <t>Desk Lamp</t>
  </si>
  <si>
    <t>Office Chair</t>
  </si>
  <si>
    <t>Furniture</t>
  </si>
  <si>
    <t>Standing Desk</t>
  </si>
  <si>
    <t>Notebook A5</t>
  </si>
  <si>
    <t>Stationery</t>
  </si>
  <si>
    <t>Gel Pen Set</t>
  </si>
  <si>
    <t>Desk Organizer</t>
  </si>
  <si>
    <t>External SSD 1TB</t>
  </si>
  <si>
    <t>Power Bank 20000mAh</t>
  </si>
  <si>
    <t>HDMI Cable</t>
  </si>
  <si>
    <t>Wireless Headset</t>
  </si>
  <si>
    <t>USB Flash Drive 64GB</t>
  </si>
  <si>
    <t>Printer</t>
  </si>
  <si>
    <t>Toner Cartridge</t>
  </si>
  <si>
    <t>Backpack</t>
  </si>
  <si>
    <t>Accessories</t>
  </si>
  <si>
    <t>Water Bottle</t>
  </si>
  <si>
    <t>Desk Mat</t>
  </si>
  <si>
    <t>Calculator</t>
  </si>
  <si>
    <t>File Folder Pack</t>
  </si>
  <si>
    <t>Barcode Scanner</t>
  </si>
  <si>
    <t>Label Printer</t>
  </si>
  <si>
    <t>Packing Tape</t>
  </si>
  <si>
    <t>Packaging</t>
  </si>
  <si>
    <t>Shipping Labels</t>
  </si>
  <si>
    <t>Storage Bin</t>
  </si>
  <si>
    <t>Unknown</t>
  </si>
  <si>
    <t>Issue</t>
  </si>
  <si>
    <t>Count</t>
  </si>
  <si>
    <t>Action</t>
  </si>
  <si>
    <t>Reason</t>
  </si>
  <si>
    <t>Exact duplicates</t>
  </si>
  <si>
    <t>Removed</t>
  </si>
  <si>
    <t>Duplicate transaction records</t>
  </si>
  <si>
    <t>Missing Quantity</t>
  </si>
  <si>
    <t>Required for inventory movement</t>
  </si>
  <si>
    <t>Zero Quantity</t>
  </si>
  <si>
    <t>No inventory movement</t>
  </si>
  <si>
    <t>Missing Warehouse</t>
  </si>
  <si>
    <t>Set to Unknown</t>
  </si>
  <si>
    <t>Cannot reliably infer warehouse</t>
  </si>
  <si>
    <t>Missing Supplier</t>
  </si>
  <si>
    <t>Recovered</t>
  </si>
  <si>
    <t>Matched using Product Master</t>
  </si>
  <si>
    <t>Missing Unit Cost</t>
  </si>
  <si>
    <t>Missing Unit Price</t>
  </si>
  <si>
    <t>Blank Purchase Order</t>
  </si>
  <si>
    <t>Kept</t>
  </si>
  <si>
    <t>Expected for non-purchase transactions</t>
  </si>
  <si>
    <t>Stock Movement</t>
  </si>
  <si>
    <t>Inventory Value</t>
  </si>
  <si>
    <t>Sale Value</t>
  </si>
  <si>
    <t>Purchase Value</t>
  </si>
  <si>
    <t>Total Purchased</t>
  </si>
  <si>
    <t>Total Sold</t>
  </si>
  <si>
    <t>Total Returned</t>
  </si>
  <si>
    <t>Net Stock Movement</t>
  </si>
  <si>
    <t>Sales Value</t>
  </si>
  <si>
    <t>Stock Status</t>
  </si>
  <si>
    <t>Reorder Priority</t>
  </si>
  <si>
    <t>Current Stock</t>
  </si>
  <si>
    <t>Total Products</t>
  </si>
  <si>
    <t>Total Current Stock</t>
  </si>
  <si>
    <t>Total Inventory Value</t>
  </si>
  <si>
    <t>Total Units Purchased</t>
  </si>
  <si>
    <t>Total Units Sold</t>
  </si>
  <si>
    <t>Total Units Returned</t>
  </si>
  <si>
    <t>Low Stock Items</t>
  </si>
  <si>
    <t>Reorder Required Items</t>
  </si>
  <si>
    <t>Row Labels</t>
  </si>
  <si>
    <t>Grand Total</t>
  </si>
  <si>
    <t>Sum of Current Stock</t>
  </si>
  <si>
    <t>Sum of Inventory Value</t>
  </si>
  <si>
    <t>Current Stock by Category</t>
  </si>
  <si>
    <t>Inventory Value by Supplier</t>
  </si>
  <si>
    <t>Sum of Total Purchased</t>
  </si>
  <si>
    <t>Sum of Total Sold</t>
  </si>
  <si>
    <t>Sum of Stock Movement</t>
  </si>
  <si>
    <t>Current Stock by Warehouse</t>
  </si>
  <si>
    <t>Healthy Stock</t>
  </si>
  <si>
    <t>Count of Product ID</t>
  </si>
  <si>
    <t>Units Purchased vs Sold by Category</t>
  </si>
  <si>
    <t>Products by Current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</si>
</sst>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  <numFmt numFmtId="165" formatCode="_(* #,##0_);_(* \(#,##0\);_(* &quot;-&quot;??_);_(@_)"/>
    <numFmt numFmtId="166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10" xfId="0" applyBorder="1"/>
    <xf numFmtId="0" fontId="6" fillId="0" borderId="0" xfId="0" applyFont="1" applyBorder="1" applyAlignment="1"/>
    <xf numFmtId="0" fontId="5" fillId="0" borderId="0" xfId="0" applyFont="1" applyBorder="1" applyAlignment="1"/>
    <xf numFmtId="165" fontId="0" fillId="0" borderId="0" xfId="1" applyNumberFormat="1" applyFont="1"/>
    <xf numFmtId="0" fontId="0" fillId="0" borderId="0" xfId="0" applyBorder="1" applyAlignment="1"/>
    <xf numFmtId="166" fontId="0" fillId="0" borderId="0" xfId="0" applyNumberForma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Fill="1" applyBorder="1" applyAlignment="1">
      <alignment horizontal="center" vertical="top"/>
    </xf>
    <xf numFmtId="0" fontId="0" fillId="0" borderId="21" xfId="0" applyBorder="1"/>
    <xf numFmtId="44" fontId="0" fillId="0" borderId="0" xfId="2" applyFont="1"/>
    <xf numFmtId="44" fontId="0" fillId="0" borderId="0" xfId="2" applyNumberFormat="1" applyFont="1"/>
    <xf numFmtId="44" fontId="0" fillId="0" borderId="0" xfId="0" applyNumberFormat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55"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4" formatCode="_(&quot;$&quot;* #,##0.00_);_(&quot;$&quot;* \(#,##0.00\);_(&quot;$&quot;* &quot;-&quot;??_);_(@_)"/>
    </dxf>
    <dxf>
      <numFmt numFmtId="166" formatCode="_(&quot;$&quot;* #,##0_);_(&quot;$&quot;* \(#,##0\);_(&quot;$&quot;* &quot;-&quot;??_);_(@_)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[Inventory_Stock_Management.xlsx]PivotTables!PivotTable2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Current Stock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PivotTables!$A$5:$A$12</c:f>
              <c:strCache>
                <c:ptCount val="7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Packaging</c:v>
                </c:pt>
                <c:pt idx="5">
                  <c:v>Stationery</c:v>
                </c:pt>
                <c:pt idx="6">
                  <c:v>Warehouse</c:v>
                </c:pt>
              </c:strCache>
            </c:strRef>
          </c:cat>
          <c:val>
            <c:numRef>
              <c:f>PivotTables!$B$5:$B$12</c:f>
              <c:numCache>
                <c:formatCode>_(* #,##0_);_(* \(#,##0\);_(* "-"??_);_(@_)</c:formatCode>
                <c:ptCount val="7"/>
                <c:pt idx="0">
                  <c:v>3163</c:v>
                </c:pt>
                <c:pt idx="1">
                  <c:v>14858</c:v>
                </c:pt>
                <c:pt idx="2">
                  <c:v>552</c:v>
                </c:pt>
                <c:pt idx="3">
                  <c:v>4088</c:v>
                </c:pt>
                <c:pt idx="4">
                  <c:v>4485</c:v>
                </c:pt>
                <c:pt idx="5">
                  <c:v>5630</c:v>
                </c:pt>
                <c:pt idx="6">
                  <c:v>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B-4C05-839A-17ECAFB12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7301983"/>
        <c:axId val="1407298623"/>
      </c:barChart>
      <c:catAx>
        <c:axId val="140730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8623"/>
        <c:crosses val="autoZero"/>
        <c:auto val="1"/>
        <c:lblAlgn val="ctr"/>
        <c:lblOffset val="100"/>
        <c:noMultiLvlLbl val="0"/>
      </c:catAx>
      <c:valAx>
        <c:axId val="140729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30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[Inventory_Stock_Management.xlsx]PivotTables!PivotTable3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Inventory Value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PivotTables!$D$5:$D$26</c:f>
              <c:strCache>
                <c:ptCount val="21"/>
                <c:pt idx="0">
                  <c:v>WriteWell</c:v>
                </c:pt>
                <c:pt idx="1">
                  <c:v>CalcPlus</c:v>
                </c:pt>
                <c:pt idx="2">
                  <c:v>TechGear</c:v>
                </c:pt>
                <c:pt idx="3">
                  <c:v>PaperMate</c:v>
                </c:pt>
                <c:pt idx="4">
                  <c:v>HydroLife</c:v>
                </c:pt>
                <c:pt idx="5">
                  <c:v>PackRight</c:v>
                </c:pt>
                <c:pt idx="6">
                  <c:v>VisionTech</c:v>
                </c:pt>
                <c:pt idx="7">
                  <c:v>BrightHome</c:v>
                </c:pt>
                <c:pt idx="8">
                  <c:v>StoreMax</c:v>
                </c:pt>
                <c:pt idx="9">
                  <c:v>VoltPro</c:v>
                </c:pt>
                <c:pt idx="10">
                  <c:v>ConnectX</c:v>
                </c:pt>
                <c:pt idx="11">
                  <c:v>DeskWorks</c:v>
                </c:pt>
                <c:pt idx="12">
                  <c:v>TravelPro</c:v>
                </c:pt>
                <c:pt idx="13">
                  <c:v>ScanPro</c:v>
                </c:pt>
                <c:pt idx="14">
                  <c:v>DataStore</c:v>
                </c:pt>
                <c:pt idx="15">
                  <c:v>KeyPro</c:v>
                </c:pt>
                <c:pt idx="16">
                  <c:v>ComfortPro</c:v>
                </c:pt>
                <c:pt idx="17">
                  <c:v>ErgoSpace</c:v>
                </c:pt>
                <c:pt idx="18">
                  <c:v>SoundMax</c:v>
                </c:pt>
                <c:pt idx="19">
                  <c:v>ViewPlus</c:v>
                </c:pt>
                <c:pt idx="20">
                  <c:v>PrintTech</c:v>
                </c:pt>
              </c:strCache>
            </c:strRef>
          </c:cat>
          <c:val>
            <c:numRef>
              <c:f>PivotTables!$E$5:$E$26</c:f>
              <c:numCache>
                <c:formatCode>_("$"* #,##0_);_("$"* \(#,##0\);_("$"* "-"??_);_(@_)</c:formatCode>
                <c:ptCount val="21"/>
                <c:pt idx="0">
                  <c:v>8615.6</c:v>
                </c:pt>
                <c:pt idx="1">
                  <c:v>10806</c:v>
                </c:pt>
                <c:pt idx="2">
                  <c:v>18540.000000000007</c:v>
                </c:pt>
                <c:pt idx="3">
                  <c:v>18543</c:v>
                </c:pt>
                <c:pt idx="4">
                  <c:v>19397</c:v>
                </c:pt>
                <c:pt idx="5">
                  <c:v>23072</c:v>
                </c:pt>
                <c:pt idx="6">
                  <c:v>24235</c:v>
                </c:pt>
                <c:pt idx="7">
                  <c:v>24570</c:v>
                </c:pt>
                <c:pt idx="8">
                  <c:v>26411</c:v>
                </c:pt>
                <c:pt idx="9">
                  <c:v>32292</c:v>
                </c:pt>
                <c:pt idx="10">
                  <c:v>35842.5</c:v>
                </c:pt>
                <c:pt idx="11">
                  <c:v>39597.599999999999</c:v>
                </c:pt>
                <c:pt idx="12">
                  <c:v>50675</c:v>
                </c:pt>
                <c:pt idx="13">
                  <c:v>60060</c:v>
                </c:pt>
                <c:pt idx="14">
                  <c:v>67589.8</c:v>
                </c:pt>
                <c:pt idx="15">
                  <c:v>71875</c:v>
                </c:pt>
                <c:pt idx="16">
                  <c:v>82320</c:v>
                </c:pt>
                <c:pt idx="17">
                  <c:v>84040</c:v>
                </c:pt>
                <c:pt idx="18">
                  <c:v>106056</c:v>
                </c:pt>
                <c:pt idx="19">
                  <c:v>161850</c:v>
                </c:pt>
                <c:pt idx="20">
                  <c:v>190002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2-4E8A-B20F-C5BCEB8F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300543"/>
        <c:axId val="1407299583"/>
      </c:barChart>
      <c:catAx>
        <c:axId val="140730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99583"/>
        <c:crosses val="autoZero"/>
        <c:auto val="1"/>
        <c:lblAlgn val="ctr"/>
        <c:lblOffset val="100"/>
        <c:noMultiLvlLbl val="0"/>
      </c:catAx>
      <c:valAx>
        <c:axId val="140729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3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[Inventory_Stock_Management.xlsx]PivotTables!PivotTable4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Units Purchased vs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alpha val="92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PivotTables!$H$4</c:f>
              <c:strCache>
                <c:ptCount val="1"/>
                <c:pt idx="0">
                  <c:v>Sum of Total Purchased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92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PivotTables!$G$5:$G$12</c:f>
              <c:strCache>
                <c:ptCount val="7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Packaging</c:v>
                </c:pt>
                <c:pt idx="5">
                  <c:v>Stationery</c:v>
                </c:pt>
                <c:pt idx="6">
                  <c:v>Warehouse</c:v>
                </c:pt>
              </c:strCache>
            </c:strRef>
          </c:cat>
          <c:val>
            <c:numRef>
              <c:f>PivotTables!$H$5:$H$12</c:f>
              <c:numCache>
                <c:formatCode>_(* #,##0_);_(* \(#,##0\);_(* "-"??_);_(@_)</c:formatCode>
                <c:ptCount val="7"/>
                <c:pt idx="0">
                  <c:v>3646</c:v>
                </c:pt>
                <c:pt idx="1">
                  <c:v>18174</c:v>
                </c:pt>
                <c:pt idx="2">
                  <c:v>859</c:v>
                </c:pt>
                <c:pt idx="3">
                  <c:v>5381</c:v>
                </c:pt>
                <c:pt idx="4">
                  <c:v>5532</c:v>
                </c:pt>
                <c:pt idx="5">
                  <c:v>6952</c:v>
                </c:pt>
                <c:pt idx="6">
                  <c:v>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7-4DFC-9508-0ED631ADCB1B}"/>
            </c:ext>
          </c:extLst>
        </c:ser>
        <c:ser>
          <c:idx val="1"/>
          <c:order val="1"/>
          <c:tx>
            <c:strRef>
              <c:f>PivotTables!$I$4</c:f>
              <c:strCache>
                <c:ptCount val="1"/>
                <c:pt idx="0">
                  <c:v>Sum of Total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PivotTables!$G$5:$G$12</c:f>
              <c:strCache>
                <c:ptCount val="7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Packaging</c:v>
                </c:pt>
                <c:pt idx="5">
                  <c:v>Stationery</c:v>
                </c:pt>
                <c:pt idx="6">
                  <c:v>Warehouse</c:v>
                </c:pt>
              </c:strCache>
            </c:strRef>
          </c:cat>
          <c:val>
            <c:numRef>
              <c:f>PivotTables!$I$5:$I$12</c:f>
              <c:numCache>
                <c:formatCode>_(* #,##0_);_(* \(#,##0\);_(* "-"??_);_(@_)</c:formatCode>
                <c:ptCount val="7"/>
                <c:pt idx="0">
                  <c:v>533</c:v>
                </c:pt>
                <c:pt idx="1">
                  <c:v>3321</c:v>
                </c:pt>
                <c:pt idx="2">
                  <c:v>295</c:v>
                </c:pt>
                <c:pt idx="3">
                  <c:v>1341</c:v>
                </c:pt>
                <c:pt idx="4">
                  <c:v>1024</c:v>
                </c:pt>
                <c:pt idx="5">
                  <c:v>1428</c:v>
                </c:pt>
                <c:pt idx="6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7-4DFC-9508-0ED631ADCB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4437071"/>
        <c:axId val="1604420751"/>
      </c:barChart>
      <c:catAx>
        <c:axId val="160443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20751"/>
        <c:crosses val="autoZero"/>
        <c:auto val="1"/>
        <c:lblAlgn val="ctr"/>
        <c:lblOffset val="100"/>
        <c:noMultiLvlLbl val="0"/>
      </c:catAx>
      <c:valAx>
        <c:axId val="16044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3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[Inventory_Stock_Management.xlsx]PivotTables!PivotTable5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Current Stock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PivotTables!$G$18:$G$22</c:f>
              <c:strCache>
                <c:ptCount val="4"/>
                <c:pt idx="0">
                  <c:v>Central Warehouse</c:v>
                </c:pt>
                <c:pt idx="1">
                  <c:v>North Warehouse</c:v>
                </c:pt>
                <c:pt idx="2">
                  <c:v>South Warehouse</c:v>
                </c:pt>
                <c:pt idx="3">
                  <c:v>Unknown</c:v>
                </c:pt>
              </c:strCache>
            </c:strRef>
          </c:cat>
          <c:val>
            <c:numRef>
              <c:f>PivotTables!$H$18:$H$22</c:f>
              <c:numCache>
                <c:formatCode>General</c:formatCode>
                <c:ptCount val="4"/>
                <c:pt idx="0">
                  <c:v>17372</c:v>
                </c:pt>
                <c:pt idx="1">
                  <c:v>9505</c:v>
                </c:pt>
                <c:pt idx="2">
                  <c:v>7410</c:v>
                </c:pt>
                <c:pt idx="3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9-43F5-B848-C0E71F4D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424111"/>
        <c:axId val="1604420271"/>
      </c:barChart>
      <c:catAx>
        <c:axId val="160442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20271"/>
        <c:crosses val="autoZero"/>
        <c:auto val="1"/>
        <c:lblAlgn val="ctr"/>
        <c:lblOffset val="100"/>
        <c:noMultiLvlLbl val="0"/>
      </c:catAx>
      <c:valAx>
        <c:axId val="16044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2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[Inventory_Stock_Management.xlsx]PivotTables!PivotTable7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Top 10 Products by Current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PivotTables!$K$5:$K$15</c:f>
              <c:strCache>
                <c:ptCount val="10"/>
                <c:pt idx="0">
                  <c:v>Packing Tape</c:v>
                </c:pt>
                <c:pt idx="1">
                  <c:v>Mechanical Keyboard</c:v>
                </c:pt>
                <c:pt idx="2">
                  <c:v>Shipping Labels</c:v>
                </c:pt>
                <c:pt idx="3">
                  <c:v>Storage Bin</c:v>
                </c:pt>
                <c:pt idx="4">
                  <c:v>File Folder Pack</c:v>
                </c:pt>
                <c:pt idx="5">
                  <c:v>Gel Pen Set</c:v>
                </c:pt>
                <c:pt idx="6">
                  <c:v>Wireless Mouse</c:v>
                </c:pt>
                <c:pt idx="7">
                  <c:v>Bluetooth Speaker</c:v>
                </c:pt>
                <c:pt idx="8">
                  <c:v>Water Bottle</c:v>
                </c:pt>
                <c:pt idx="9">
                  <c:v>Backpack</c:v>
                </c:pt>
              </c:strCache>
            </c:strRef>
          </c:cat>
          <c:val>
            <c:numRef>
              <c:f>PivotTables!$L$5:$L$15</c:f>
              <c:numCache>
                <c:formatCode>_(* #,##0_);_(* \(#,##0\);_(* "-"??_);_(@_)</c:formatCode>
                <c:ptCount val="10"/>
                <c:pt idx="0">
                  <c:v>2562</c:v>
                </c:pt>
                <c:pt idx="1">
                  <c:v>2343</c:v>
                </c:pt>
                <c:pt idx="2">
                  <c:v>1923</c:v>
                </c:pt>
                <c:pt idx="3">
                  <c:v>1795</c:v>
                </c:pt>
                <c:pt idx="4">
                  <c:v>1786</c:v>
                </c:pt>
                <c:pt idx="5">
                  <c:v>1762</c:v>
                </c:pt>
                <c:pt idx="6">
                  <c:v>1733</c:v>
                </c:pt>
                <c:pt idx="7">
                  <c:v>1591</c:v>
                </c:pt>
                <c:pt idx="8">
                  <c:v>1582</c:v>
                </c:pt>
                <c:pt idx="9">
                  <c:v>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3-4B0F-96A9-AC6A282E0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939679"/>
        <c:axId val="1405935839"/>
      </c:barChart>
      <c:catAx>
        <c:axId val="140593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35839"/>
        <c:crosses val="autoZero"/>
        <c:auto val="1"/>
        <c:lblAlgn val="ctr"/>
        <c:lblOffset val="100"/>
        <c:noMultiLvlLbl val="0"/>
      </c:catAx>
      <c:valAx>
        <c:axId val="140593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3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0</xdr:rowOff>
    </xdr:from>
    <xdr:to>
      <xdr:col>39</xdr:col>
      <xdr:colOff>12700</xdr:colOff>
      <xdr:row>117</xdr:row>
      <xdr:rowOff>63500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BB4BE15-17BC-E2D8-77CD-2E4891837B1B}"/>
            </a:ext>
          </a:extLst>
        </xdr:cNvPr>
        <xdr:cNvSpPr/>
      </xdr:nvSpPr>
      <xdr:spPr>
        <a:xfrm>
          <a:off x="469900" y="190500"/>
          <a:ext cx="23012400" cy="23190200"/>
        </a:xfrm>
        <a:prstGeom prst="rect">
          <a:avLst/>
        </a:prstGeom>
        <a:solidFill>
          <a:schemeClr val="bg1">
            <a:lumMod val="85000"/>
          </a:schemeClr>
        </a:solidFill>
        <a:ln w="50800" cap="flat"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254000</xdr:colOff>
      <xdr:row>56</xdr:row>
      <xdr:rowOff>181339</xdr:rowOff>
    </xdr:from>
    <xdr:to>
      <xdr:col>29</xdr:col>
      <xdr:colOff>101600</xdr:colOff>
      <xdr:row>78</xdr:row>
      <xdr:rowOff>105139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546848C6-EA86-4902-8B74-348D586E6CA0}"/>
            </a:ext>
          </a:extLst>
        </xdr:cNvPr>
        <xdr:cNvSpPr/>
      </xdr:nvSpPr>
      <xdr:spPr>
        <a:xfrm>
          <a:off x="6197600" y="11878039"/>
          <a:ext cx="11430000" cy="4114800"/>
        </a:xfrm>
        <a:prstGeom prst="roundRect">
          <a:avLst>
            <a:gd name="adj" fmla="val 6482"/>
          </a:avLst>
        </a:prstGeom>
        <a:ln cap="rnd">
          <a:round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25400</xdr:colOff>
      <xdr:row>34</xdr:row>
      <xdr:rowOff>12700</xdr:rowOff>
    </xdr:from>
    <xdr:to>
      <xdr:col>38</xdr:col>
      <xdr:colOff>25400</xdr:colOff>
      <xdr:row>55</xdr:row>
      <xdr:rowOff>127000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1BE0DC05-4C34-43F5-AC29-4A46737559FB}"/>
            </a:ext>
          </a:extLst>
        </xdr:cNvPr>
        <xdr:cNvSpPr/>
      </xdr:nvSpPr>
      <xdr:spPr>
        <a:xfrm>
          <a:off x="12065000" y="7518400"/>
          <a:ext cx="10972800" cy="4114800"/>
        </a:xfrm>
        <a:prstGeom prst="roundRect">
          <a:avLst>
            <a:gd name="adj" fmla="val 6482"/>
          </a:avLst>
        </a:prstGeom>
        <a:ln cap="rnd">
          <a:round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25400</xdr:colOff>
      <xdr:row>10</xdr:row>
      <xdr:rowOff>114300</xdr:rowOff>
    </xdr:from>
    <xdr:to>
      <xdr:col>38</xdr:col>
      <xdr:colOff>25400</xdr:colOff>
      <xdr:row>32</xdr:row>
      <xdr:rowOff>38100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A970CE18-8D38-46BF-807F-37ED2A0A00E9}"/>
            </a:ext>
          </a:extLst>
        </xdr:cNvPr>
        <xdr:cNvSpPr/>
      </xdr:nvSpPr>
      <xdr:spPr>
        <a:xfrm>
          <a:off x="12065000" y="3048000"/>
          <a:ext cx="10972800" cy="4114800"/>
        </a:xfrm>
        <a:prstGeom prst="roundRect">
          <a:avLst>
            <a:gd name="adj" fmla="val 6482"/>
          </a:avLst>
        </a:prstGeom>
        <a:ln cap="rnd">
          <a:round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368300</xdr:colOff>
      <xdr:row>34</xdr:row>
      <xdr:rowOff>12700</xdr:rowOff>
    </xdr:from>
    <xdr:to>
      <xdr:col>19</xdr:col>
      <xdr:colOff>368300</xdr:colOff>
      <xdr:row>55</xdr:row>
      <xdr:rowOff>127000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66932A74-F082-48D5-B2BB-76D2237F6CD4}"/>
            </a:ext>
          </a:extLst>
        </xdr:cNvPr>
        <xdr:cNvSpPr/>
      </xdr:nvSpPr>
      <xdr:spPr>
        <a:xfrm>
          <a:off x="825500" y="7518400"/>
          <a:ext cx="10972800" cy="4114800"/>
        </a:xfrm>
        <a:prstGeom prst="roundRect">
          <a:avLst>
            <a:gd name="adj" fmla="val 6482"/>
          </a:avLst>
        </a:prstGeom>
        <a:ln cap="rnd">
          <a:round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368300</xdr:colOff>
      <xdr:row>10</xdr:row>
      <xdr:rowOff>152400</xdr:rowOff>
    </xdr:from>
    <xdr:to>
      <xdr:col>19</xdr:col>
      <xdr:colOff>368300</xdr:colOff>
      <xdr:row>32</xdr:row>
      <xdr:rowOff>76200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EC43B3E9-F483-16A5-A1DD-8B1194B7FBC7}"/>
            </a:ext>
          </a:extLst>
        </xdr:cNvPr>
        <xdr:cNvSpPr/>
      </xdr:nvSpPr>
      <xdr:spPr>
        <a:xfrm>
          <a:off x="825500" y="3086100"/>
          <a:ext cx="10972800" cy="4114800"/>
        </a:xfrm>
        <a:prstGeom prst="roundRect">
          <a:avLst>
            <a:gd name="adj" fmla="val 6482"/>
          </a:avLst>
        </a:prstGeom>
        <a:ln cap="rnd">
          <a:round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412750</xdr:colOff>
      <xdr:row>2</xdr:row>
      <xdr:rowOff>95250</xdr:rowOff>
    </xdr:from>
    <xdr:to>
      <xdr:col>38</xdr:col>
      <xdr:colOff>12700</xdr:colOff>
      <xdr:row>4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2480C2-0439-557B-FC8C-FE88EDAFD66A}"/>
            </a:ext>
          </a:extLst>
        </xdr:cNvPr>
        <xdr:cNvSpPr txBox="1"/>
      </xdr:nvSpPr>
      <xdr:spPr>
        <a:xfrm>
          <a:off x="1022350" y="95250"/>
          <a:ext cx="22155150" cy="6794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/>
              </a:solidFill>
            </a:rPr>
            <a:t>Inventory &amp; Stock Management Dashboard</a:t>
          </a:r>
        </a:p>
      </xdr:txBody>
    </xdr:sp>
    <xdr:clientData/>
  </xdr:twoCellAnchor>
  <xdr:twoCellAnchor>
    <xdr:from>
      <xdr:col>1</xdr:col>
      <xdr:colOff>413849</xdr:colOff>
      <xdr:row>4</xdr:row>
      <xdr:rowOff>4053</xdr:rowOff>
    </xdr:from>
    <xdr:to>
      <xdr:col>38</xdr:col>
      <xdr:colOff>12700</xdr:colOff>
      <xdr:row>5</xdr:row>
      <xdr:rowOff>92412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627CB1-ADEF-40CF-A59B-5D63816558A0}"/>
            </a:ext>
          </a:extLst>
        </xdr:cNvPr>
        <xdr:cNvSpPr txBox="1"/>
      </xdr:nvSpPr>
      <xdr:spPr>
        <a:xfrm>
          <a:off x="1023449" y="772403"/>
          <a:ext cx="22154051" cy="482059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Inventory Position, Stock Movement &amp; Supplier Overview</a:t>
          </a:r>
        </a:p>
      </xdr:txBody>
    </xdr:sp>
    <xdr:clientData/>
  </xdr:twoCellAnchor>
  <xdr:twoCellAnchor>
    <xdr:from>
      <xdr:col>1</xdr:col>
      <xdr:colOff>406400</xdr:colOff>
      <xdr:row>6</xdr:row>
      <xdr:rowOff>16125</xdr:rowOff>
    </xdr:from>
    <xdr:to>
      <xdr:col>5</xdr:col>
      <xdr:colOff>421341</xdr:colOff>
      <xdr:row>7</xdr:row>
      <xdr:rowOff>196621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0FCD92-1353-479D-8976-3FCAFD60F6BA}"/>
            </a:ext>
          </a:extLst>
        </xdr:cNvPr>
        <xdr:cNvSpPr txBox="1"/>
      </xdr:nvSpPr>
      <xdr:spPr>
        <a:xfrm>
          <a:off x="1016000" y="1578225"/>
          <a:ext cx="2453341" cy="48529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Total Products</a:t>
          </a:r>
        </a:p>
      </xdr:txBody>
    </xdr:sp>
    <xdr:clientData/>
  </xdr:twoCellAnchor>
  <xdr:twoCellAnchor>
    <xdr:from>
      <xdr:col>1</xdr:col>
      <xdr:colOff>409390</xdr:colOff>
      <xdr:row>7</xdr:row>
      <xdr:rowOff>195640</xdr:rowOff>
    </xdr:from>
    <xdr:to>
      <xdr:col>5</xdr:col>
      <xdr:colOff>424331</xdr:colOff>
      <xdr:row>9</xdr:row>
      <xdr:rowOff>182931</xdr:rowOff>
    </xdr:to>
    <xdr:sp macro="" textlink="'KPI Summary'!B1">
      <xdr:nvSpPr>
        <xdr:cNvPr id="5" name="TextBox 4">
          <a:extLst>
            <a:ext uri="{FF2B5EF4-FFF2-40B4-BE49-F238E27FC236}">
              <a16:creationId xmlns:a16="http://schemas.microsoft.com/office/drawing/2014/main" id="{DE799884-013E-4EB7-87DE-74BAE7185B64}"/>
            </a:ext>
          </a:extLst>
        </xdr:cNvPr>
        <xdr:cNvSpPr txBox="1"/>
      </xdr:nvSpPr>
      <xdr:spPr>
        <a:xfrm>
          <a:off x="1018990" y="2062540"/>
          <a:ext cx="2453341" cy="48259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9E2144A-6ECC-41DA-ABDB-433C0223D8A5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30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175238</xdr:colOff>
      <xdr:row>6</xdr:row>
      <xdr:rowOff>16125</xdr:rowOff>
    </xdr:from>
    <xdr:to>
      <xdr:col>10</xdr:col>
      <xdr:colOff>190178</xdr:colOff>
      <xdr:row>7</xdr:row>
      <xdr:rowOff>195431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8B35B9-DE12-4F2A-B71E-7A3971067BE1}"/>
            </a:ext>
          </a:extLst>
        </xdr:cNvPr>
        <xdr:cNvSpPr txBox="1"/>
      </xdr:nvSpPr>
      <xdr:spPr>
        <a:xfrm>
          <a:off x="3832838" y="1578225"/>
          <a:ext cx="2453340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Current</a:t>
          </a:r>
          <a:r>
            <a:rPr lang="en-US" sz="2400" baseline="0">
              <a:solidFill>
                <a:schemeClr val="bg1"/>
              </a:solidFill>
            </a:rPr>
            <a:t> Stock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173343</xdr:colOff>
      <xdr:row>7</xdr:row>
      <xdr:rowOff>194451</xdr:rowOff>
    </xdr:from>
    <xdr:to>
      <xdr:col>10</xdr:col>
      <xdr:colOff>188283</xdr:colOff>
      <xdr:row>9</xdr:row>
      <xdr:rowOff>182932</xdr:rowOff>
    </xdr:to>
    <xdr:sp macro="" textlink="'KPI Summary'!B2">
      <xdr:nvSpPr>
        <xdr:cNvPr id="7" name="TextBox 6">
          <a:extLst>
            <a:ext uri="{FF2B5EF4-FFF2-40B4-BE49-F238E27FC236}">
              <a16:creationId xmlns:a16="http://schemas.microsoft.com/office/drawing/2014/main" id="{3E8F3930-B48A-4993-AB2E-B13FDA303CA6}"/>
            </a:ext>
          </a:extLst>
        </xdr:cNvPr>
        <xdr:cNvSpPr txBox="1"/>
      </xdr:nvSpPr>
      <xdr:spPr>
        <a:xfrm>
          <a:off x="3830943" y="2061351"/>
          <a:ext cx="2453340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E09D76F-45F2-4A65-841C-91122E7E0F13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34,571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550685</xdr:colOff>
      <xdr:row>6</xdr:row>
      <xdr:rowOff>16125</xdr:rowOff>
    </xdr:from>
    <xdr:to>
      <xdr:col>14</xdr:col>
      <xdr:colOff>565625</xdr:colOff>
      <xdr:row>7</xdr:row>
      <xdr:rowOff>195431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57DC50-3310-4CFD-BA8A-6A0C7D71F42D}"/>
            </a:ext>
          </a:extLst>
        </xdr:cNvPr>
        <xdr:cNvSpPr txBox="1"/>
      </xdr:nvSpPr>
      <xdr:spPr>
        <a:xfrm>
          <a:off x="6646685" y="1578225"/>
          <a:ext cx="2453340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Inventory</a:t>
          </a:r>
          <a:r>
            <a:rPr lang="en-US" sz="2400" baseline="0">
              <a:solidFill>
                <a:schemeClr val="bg1"/>
              </a:solidFill>
            </a:rPr>
            <a:t> Value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548790</xdr:colOff>
      <xdr:row>7</xdr:row>
      <xdr:rowOff>194451</xdr:rowOff>
    </xdr:from>
    <xdr:to>
      <xdr:col>14</xdr:col>
      <xdr:colOff>563730</xdr:colOff>
      <xdr:row>9</xdr:row>
      <xdr:rowOff>182932</xdr:rowOff>
    </xdr:to>
    <xdr:sp macro="" textlink="'KPI Summary'!B3">
      <xdr:nvSpPr>
        <xdr:cNvPr id="9" name="TextBox 8">
          <a:extLst>
            <a:ext uri="{FF2B5EF4-FFF2-40B4-BE49-F238E27FC236}">
              <a16:creationId xmlns:a16="http://schemas.microsoft.com/office/drawing/2014/main" id="{7E74858B-81C4-4320-9DDD-0A01D0D82B35}"/>
            </a:ext>
          </a:extLst>
        </xdr:cNvPr>
        <xdr:cNvSpPr txBox="1"/>
      </xdr:nvSpPr>
      <xdr:spPr>
        <a:xfrm>
          <a:off x="6644790" y="2061351"/>
          <a:ext cx="2453340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BFEF477-8E1B-4F57-88F3-D337275B5F8B}" type="TxLink">
            <a:rPr lang="en-US" sz="2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$1,156,389.50 </a:t>
          </a:fld>
          <a:endParaRPr lang="en-US" sz="6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314745</xdr:colOff>
      <xdr:row>6</xdr:row>
      <xdr:rowOff>16125</xdr:rowOff>
    </xdr:from>
    <xdr:to>
      <xdr:col>19</xdr:col>
      <xdr:colOff>329686</xdr:colOff>
      <xdr:row>7</xdr:row>
      <xdr:rowOff>195431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2E1F02-D20B-4D6E-ADB8-756C12B0382C}"/>
            </a:ext>
          </a:extLst>
        </xdr:cNvPr>
        <xdr:cNvSpPr txBox="1"/>
      </xdr:nvSpPr>
      <xdr:spPr>
        <a:xfrm>
          <a:off x="9458745" y="1578225"/>
          <a:ext cx="2453341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Units</a:t>
          </a:r>
          <a:r>
            <a:rPr lang="en-US" sz="2400" baseline="0">
              <a:solidFill>
                <a:schemeClr val="bg1"/>
              </a:solidFill>
            </a:rPr>
            <a:t> Purchased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314637</xdr:colOff>
      <xdr:row>7</xdr:row>
      <xdr:rowOff>194451</xdr:rowOff>
    </xdr:from>
    <xdr:to>
      <xdr:col>19</xdr:col>
      <xdr:colOff>329578</xdr:colOff>
      <xdr:row>9</xdr:row>
      <xdr:rowOff>182932</xdr:rowOff>
    </xdr:to>
    <xdr:sp macro="" textlink="'KPI Summary'!B4">
      <xdr:nvSpPr>
        <xdr:cNvPr id="11" name="TextBox 10">
          <a:extLst>
            <a:ext uri="{FF2B5EF4-FFF2-40B4-BE49-F238E27FC236}">
              <a16:creationId xmlns:a16="http://schemas.microsoft.com/office/drawing/2014/main" id="{1BF7E143-C300-4A8D-A921-F1B450CD153C}"/>
            </a:ext>
          </a:extLst>
        </xdr:cNvPr>
        <xdr:cNvSpPr txBox="1"/>
      </xdr:nvSpPr>
      <xdr:spPr>
        <a:xfrm>
          <a:off x="9458637" y="2061351"/>
          <a:ext cx="2453341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431EDEB-4EB1-40D2-8652-77D53CEF02C2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42,631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79677</xdr:colOff>
      <xdr:row>6</xdr:row>
      <xdr:rowOff>16125</xdr:rowOff>
    </xdr:from>
    <xdr:to>
      <xdr:col>24</xdr:col>
      <xdr:colOff>94617</xdr:colOff>
      <xdr:row>7</xdr:row>
      <xdr:rowOff>195431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F580DC0-C3F2-4A2D-9476-89739DD70D4A}"/>
            </a:ext>
          </a:extLst>
        </xdr:cNvPr>
        <xdr:cNvSpPr txBox="1"/>
      </xdr:nvSpPr>
      <xdr:spPr>
        <a:xfrm>
          <a:off x="12271677" y="1578225"/>
          <a:ext cx="2453340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Units</a:t>
          </a:r>
          <a:r>
            <a:rPr lang="en-US" sz="2400" baseline="0">
              <a:solidFill>
                <a:schemeClr val="bg1"/>
              </a:solidFill>
            </a:rPr>
            <a:t> Sold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78698</xdr:colOff>
      <xdr:row>7</xdr:row>
      <xdr:rowOff>194451</xdr:rowOff>
    </xdr:from>
    <xdr:to>
      <xdr:col>24</xdr:col>
      <xdr:colOff>93638</xdr:colOff>
      <xdr:row>9</xdr:row>
      <xdr:rowOff>182932</xdr:rowOff>
    </xdr:to>
    <xdr:sp macro="" textlink="'KPI Summary'!B5">
      <xdr:nvSpPr>
        <xdr:cNvPr id="13" name="TextBox 12">
          <a:extLst>
            <a:ext uri="{FF2B5EF4-FFF2-40B4-BE49-F238E27FC236}">
              <a16:creationId xmlns:a16="http://schemas.microsoft.com/office/drawing/2014/main" id="{BEC37849-BFD8-4A04-B9EC-64057B4D6F68}"/>
            </a:ext>
          </a:extLst>
        </xdr:cNvPr>
        <xdr:cNvSpPr txBox="1"/>
      </xdr:nvSpPr>
      <xdr:spPr>
        <a:xfrm>
          <a:off x="12270698" y="2061351"/>
          <a:ext cx="2453340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FDEBCFA-E518-445F-B805-0D0C13A8C241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8,228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24</xdr:col>
      <xdr:colOff>454208</xdr:colOff>
      <xdr:row>6</xdr:row>
      <xdr:rowOff>16125</xdr:rowOff>
    </xdr:from>
    <xdr:to>
      <xdr:col>28</xdr:col>
      <xdr:colOff>469148</xdr:colOff>
      <xdr:row>7</xdr:row>
      <xdr:rowOff>195431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7BB09F-2D88-4CB9-837F-F22A1B8DAAFA}"/>
            </a:ext>
          </a:extLst>
        </xdr:cNvPr>
        <xdr:cNvSpPr txBox="1"/>
      </xdr:nvSpPr>
      <xdr:spPr>
        <a:xfrm>
          <a:off x="15084608" y="1578225"/>
          <a:ext cx="2453340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Units</a:t>
          </a:r>
          <a:r>
            <a:rPr lang="en-US" sz="2400" baseline="0">
              <a:solidFill>
                <a:schemeClr val="bg1"/>
              </a:solidFill>
            </a:rPr>
            <a:t> Returned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453229</xdr:colOff>
      <xdr:row>7</xdr:row>
      <xdr:rowOff>194451</xdr:rowOff>
    </xdr:from>
    <xdr:to>
      <xdr:col>28</xdr:col>
      <xdr:colOff>468169</xdr:colOff>
      <xdr:row>9</xdr:row>
      <xdr:rowOff>182932</xdr:rowOff>
    </xdr:to>
    <xdr:sp macro="" textlink="'KPI Summary'!B6">
      <xdr:nvSpPr>
        <xdr:cNvPr id="15" name="TextBox 14">
          <a:extLst>
            <a:ext uri="{FF2B5EF4-FFF2-40B4-BE49-F238E27FC236}">
              <a16:creationId xmlns:a16="http://schemas.microsoft.com/office/drawing/2014/main" id="{68F78764-79D0-4FB9-B9C5-42906C3DA1EA}"/>
            </a:ext>
          </a:extLst>
        </xdr:cNvPr>
        <xdr:cNvSpPr txBox="1"/>
      </xdr:nvSpPr>
      <xdr:spPr>
        <a:xfrm>
          <a:off x="15083629" y="2061351"/>
          <a:ext cx="2453340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F9299BE-2DE5-46E4-B533-3FE376126AF0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206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29</xdr:col>
      <xdr:colOff>219139</xdr:colOff>
      <xdr:row>6</xdr:row>
      <xdr:rowOff>16125</xdr:rowOff>
    </xdr:from>
    <xdr:to>
      <xdr:col>33</xdr:col>
      <xdr:colOff>234079</xdr:colOff>
      <xdr:row>7</xdr:row>
      <xdr:rowOff>195431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2E9DB6-8336-44D0-B605-03BE4E3FEE84}"/>
            </a:ext>
          </a:extLst>
        </xdr:cNvPr>
        <xdr:cNvSpPr txBox="1"/>
      </xdr:nvSpPr>
      <xdr:spPr>
        <a:xfrm>
          <a:off x="17897539" y="1578225"/>
          <a:ext cx="2453340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Low</a:t>
          </a:r>
          <a:r>
            <a:rPr lang="en-US" sz="2400" baseline="0">
              <a:solidFill>
                <a:schemeClr val="bg1"/>
              </a:solidFill>
            </a:rPr>
            <a:t> Stock Items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29</xdr:col>
      <xdr:colOff>218160</xdr:colOff>
      <xdr:row>7</xdr:row>
      <xdr:rowOff>194451</xdr:rowOff>
    </xdr:from>
    <xdr:to>
      <xdr:col>33</xdr:col>
      <xdr:colOff>233100</xdr:colOff>
      <xdr:row>9</xdr:row>
      <xdr:rowOff>182932</xdr:rowOff>
    </xdr:to>
    <xdr:sp macro="" textlink="'KPI Summary'!B7">
      <xdr:nvSpPr>
        <xdr:cNvPr id="17" name="TextBox 16">
          <a:extLst>
            <a:ext uri="{FF2B5EF4-FFF2-40B4-BE49-F238E27FC236}">
              <a16:creationId xmlns:a16="http://schemas.microsoft.com/office/drawing/2014/main" id="{6526CCD3-7156-4C55-85E4-D02FCA97D53F}"/>
            </a:ext>
          </a:extLst>
        </xdr:cNvPr>
        <xdr:cNvSpPr txBox="1"/>
      </xdr:nvSpPr>
      <xdr:spPr>
        <a:xfrm>
          <a:off x="17896560" y="2061351"/>
          <a:ext cx="2453340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76EF0A3-7D1F-406F-9DC8-FD698F9F7C70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0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33</xdr:col>
      <xdr:colOff>593669</xdr:colOff>
      <xdr:row>6</xdr:row>
      <xdr:rowOff>16125</xdr:rowOff>
    </xdr:from>
    <xdr:to>
      <xdr:col>37</xdr:col>
      <xdr:colOff>608609</xdr:colOff>
      <xdr:row>7</xdr:row>
      <xdr:rowOff>195431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358176E-1C65-41A4-899E-BCF7D93DC763}"/>
            </a:ext>
          </a:extLst>
        </xdr:cNvPr>
        <xdr:cNvSpPr txBox="1"/>
      </xdr:nvSpPr>
      <xdr:spPr>
        <a:xfrm>
          <a:off x="20710469" y="1578225"/>
          <a:ext cx="2453340" cy="48410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Reorder</a:t>
          </a:r>
          <a:r>
            <a:rPr lang="en-US" sz="2400" baseline="0">
              <a:solidFill>
                <a:schemeClr val="bg1"/>
              </a:solidFill>
            </a:rPr>
            <a:t> Required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592690</xdr:colOff>
      <xdr:row>7</xdr:row>
      <xdr:rowOff>194451</xdr:rowOff>
    </xdr:from>
    <xdr:to>
      <xdr:col>37</xdr:col>
      <xdr:colOff>607630</xdr:colOff>
      <xdr:row>9</xdr:row>
      <xdr:rowOff>182932</xdr:rowOff>
    </xdr:to>
    <xdr:sp macro="" textlink="'KPI Summary'!B8">
      <xdr:nvSpPr>
        <xdr:cNvPr id="19" name="TextBox 18">
          <a:extLst>
            <a:ext uri="{FF2B5EF4-FFF2-40B4-BE49-F238E27FC236}">
              <a16:creationId xmlns:a16="http://schemas.microsoft.com/office/drawing/2014/main" id="{FFF53F58-A884-4D53-9E86-7235B5E120FF}"/>
            </a:ext>
          </a:extLst>
        </xdr:cNvPr>
        <xdr:cNvSpPr txBox="1"/>
      </xdr:nvSpPr>
      <xdr:spPr>
        <a:xfrm>
          <a:off x="20709490" y="2061351"/>
          <a:ext cx="2453340" cy="48378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EE5E4FE-7F61-4518-A779-E806E45DE6DE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0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545272</xdr:colOff>
      <xdr:row>12</xdr:row>
      <xdr:rowOff>9939</xdr:rowOff>
    </xdr:from>
    <xdr:to>
      <xdr:col>19</xdr:col>
      <xdr:colOff>191328</xdr:colOff>
      <xdr:row>31</xdr:row>
      <xdr:rowOff>28161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1A4DBA4-D38A-4A84-94F5-5EA7496AF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203708</xdr:colOff>
      <xdr:row>11</xdr:row>
      <xdr:rowOff>161544</xdr:rowOff>
    </xdr:from>
    <xdr:to>
      <xdr:col>37</xdr:col>
      <xdr:colOff>456692</xdr:colOff>
      <xdr:row>30</xdr:row>
      <xdr:rowOff>181356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06DB254-A153-4ED8-8690-7AD0D7405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539750</xdr:colOff>
      <xdr:row>35</xdr:row>
      <xdr:rowOff>56372</xdr:rowOff>
    </xdr:from>
    <xdr:to>
      <xdr:col>19</xdr:col>
      <xdr:colOff>196850</xdr:colOff>
      <xdr:row>54</xdr:row>
      <xdr:rowOff>83328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FF963DC-773C-4BC6-BE32-036C85F28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203708</xdr:colOff>
      <xdr:row>35</xdr:row>
      <xdr:rowOff>59492</xdr:rowOff>
    </xdr:from>
    <xdr:to>
      <xdr:col>37</xdr:col>
      <xdr:colOff>456692</xdr:colOff>
      <xdr:row>54</xdr:row>
      <xdr:rowOff>80209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407213E-1D60-4634-8221-1C4D032D3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539174</xdr:colOff>
      <xdr:row>58</xdr:row>
      <xdr:rowOff>39460</xdr:rowOff>
    </xdr:from>
    <xdr:to>
      <xdr:col>28</xdr:col>
      <xdr:colOff>426027</xdr:colOff>
      <xdr:row>77</xdr:row>
      <xdr:rowOff>69219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2F28123-169F-4F35-93AA-F9B320BE6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413849</xdr:colOff>
      <xdr:row>80</xdr:row>
      <xdr:rowOff>80253</xdr:rowOff>
    </xdr:from>
    <xdr:to>
      <xdr:col>38</xdr:col>
      <xdr:colOff>12700</xdr:colOff>
      <xdr:row>84</xdr:row>
      <xdr:rowOff>25400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9BACF-8C12-4D55-B02D-7DD611DA0B49}"/>
            </a:ext>
          </a:extLst>
        </xdr:cNvPr>
        <xdr:cNvSpPr txBox="1"/>
      </xdr:nvSpPr>
      <xdr:spPr>
        <a:xfrm>
          <a:off x="871049" y="16348953"/>
          <a:ext cx="22154051" cy="707147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solidFill>
                <a:schemeClr val="bg1"/>
              </a:solidFill>
            </a:rPr>
            <a:t>Key Inventory Insights</a:t>
          </a:r>
        </a:p>
      </xdr:txBody>
    </xdr:sp>
    <xdr:clientData/>
  </xdr:twoCellAnchor>
  <xdr:twoCellAnchor>
    <xdr:from>
      <xdr:col>1</xdr:col>
      <xdr:colOff>426549</xdr:colOff>
      <xdr:row>87</xdr:row>
      <xdr:rowOff>169153</xdr:rowOff>
    </xdr:from>
    <xdr:to>
      <xdr:col>38</xdr:col>
      <xdr:colOff>25400</xdr:colOff>
      <xdr:row>90</xdr:row>
      <xdr:rowOff>79712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0340E02-1102-4F32-99E6-0E879C3D2E44}"/>
            </a:ext>
          </a:extLst>
        </xdr:cNvPr>
        <xdr:cNvSpPr txBox="1"/>
      </xdr:nvSpPr>
      <xdr:spPr>
        <a:xfrm>
          <a:off x="883749" y="17771353"/>
          <a:ext cx="22154051" cy="4820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/>
            <a:t>Electronics holds the largest share of current stock, with </a:t>
          </a:r>
          <a:r>
            <a:rPr lang="en-US" sz="2400" b="1"/>
            <a:t>14,858 units</a:t>
          </a:r>
          <a:r>
            <a:rPr lang="en-US" sz="2400"/>
            <a:t>, representing approximately </a:t>
          </a:r>
          <a:r>
            <a:rPr lang="en-US" sz="2400" b="1"/>
            <a:t>43%</a:t>
          </a:r>
          <a:r>
            <a:rPr lang="en-US" sz="2400"/>
            <a:t> of the total </a:t>
          </a:r>
          <a:r>
            <a:rPr lang="en-US" sz="2400" b="1"/>
            <a:t>34,571 units</a:t>
          </a:r>
          <a:r>
            <a:rPr lang="en-US" sz="2400"/>
            <a:t>.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426549</xdr:colOff>
      <xdr:row>94</xdr:row>
      <xdr:rowOff>54853</xdr:rowOff>
    </xdr:from>
    <xdr:to>
      <xdr:col>38</xdr:col>
      <xdr:colOff>25400</xdr:colOff>
      <xdr:row>96</xdr:row>
      <xdr:rowOff>155912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A5CD1E8-CF58-44CF-B7A8-C0DE89338183}"/>
            </a:ext>
          </a:extLst>
        </xdr:cNvPr>
        <xdr:cNvSpPr txBox="1"/>
      </xdr:nvSpPr>
      <xdr:spPr>
        <a:xfrm>
          <a:off x="883749" y="18990553"/>
          <a:ext cx="22154051" cy="4820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/>
            <a:t>Central Warehouse contains the largest stock position at </a:t>
          </a:r>
          <a:r>
            <a:rPr lang="en-US" sz="2400" b="1"/>
            <a:t>17,372 units</a:t>
          </a:r>
          <a:r>
            <a:rPr lang="en-US" sz="2400"/>
            <a:t>, representing approximately </a:t>
          </a:r>
          <a:r>
            <a:rPr lang="en-US" sz="2400" b="1"/>
            <a:t>50%</a:t>
          </a:r>
          <a:r>
            <a:rPr lang="en-US" sz="2400"/>
            <a:t> of total recorded stock.</a:t>
          </a:r>
          <a:endParaRPr lang="en-US" sz="2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426549</xdr:colOff>
      <xdr:row>85</xdr:row>
      <xdr:rowOff>67553</xdr:rowOff>
    </xdr:from>
    <xdr:to>
      <xdr:col>38</xdr:col>
      <xdr:colOff>25400</xdr:colOff>
      <xdr:row>87</xdr:row>
      <xdr:rowOff>168612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FED477E-B7F3-4984-A66C-776A8C40BFD6}"/>
            </a:ext>
          </a:extLst>
        </xdr:cNvPr>
        <xdr:cNvSpPr txBox="1"/>
      </xdr:nvSpPr>
      <xdr:spPr>
        <a:xfrm>
          <a:off x="883749" y="17288753"/>
          <a:ext cx="22154051" cy="482059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Inventory concentration</a:t>
          </a:r>
        </a:p>
      </xdr:txBody>
    </xdr:sp>
    <xdr:clientData/>
  </xdr:twoCellAnchor>
  <xdr:twoCellAnchor>
    <xdr:from>
      <xdr:col>1</xdr:col>
      <xdr:colOff>426549</xdr:colOff>
      <xdr:row>91</xdr:row>
      <xdr:rowOff>143753</xdr:rowOff>
    </xdr:from>
    <xdr:to>
      <xdr:col>38</xdr:col>
      <xdr:colOff>25400</xdr:colOff>
      <xdr:row>94</xdr:row>
      <xdr:rowOff>54312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C9A8D0D-AE4C-4587-8599-54528E2572F0}"/>
            </a:ext>
          </a:extLst>
        </xdr:cNvPr>
        <xdr:cNvSpPr txBox="1"/>
      </xdr:nvSpPr>
      <xdr:spPr>
        <a:xfrm>
          <a:off x="883749" y="18507953"/>
          <a:ext cx="22154051" cy="482059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Warehouse distribution</a:t>
          </a:r>
        </a:p>
      </xdr:txBody>
    </xdr:sp>
    <xdr:clientData/>
  </xdr:twoCellAnchor>
  <xdr:twoCellAnchor>
    <xdr:from>
      <xdr:col>1</xdr:col>
      <xdr:colOff>426549</xdr:colOff>
      <xdr:row>100</xdr:row>
      <xdr:rowOff>105653</xdr:rowOff>
    </xdr:from>
    <xdr:to>
      <xdr:col>38</xdr:col>
      <xdr:colOff>25400</xdr:colOff>
      <xdr:row>103</xdr:row>
      <xdr:rowOff>16212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81E6BD2-222A-4AC5-AA40-2D98B43E7328}"/>
            </a:ext>
          </a:extLst>
        </xdr:cNvPr>
        <xdr:cNvSpPr txBox="1"/>
      </xdr:nvSpPr>
      <xdr:spPr>
        <a:xfrm>
          <a:off x="883749" y="20184353"/>
          <a:ext cx="22154051" cy="4820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/>
            <a:t>PrintTech represents the largest inventory value among suppliers at </a:t>
          </a:r>
          <a:r>
            <a:rPr lang="en-US" sz="2400" b="1"/>
            <a:t>$190,002</a:t>
          </a:r>
          <a:r>
            <a:rPr lang="en-US" sz="2400"/>
            <a:t>, accounting for approximately </a:t>
          </a:r>
          <a:r>
            <a:rPr lang="en-US" sz="2400" b="1"/>
            <a:t>16.4%</a:t>
          </a:r>
          <a:r>
            <a:rPr lang="en-US" sz="2400"/>
            <a:t> of the </a:t>
          </a:r>
          <a:r>
            <a:rPr lang="en-US" sz="2400" b="1"/>
            <a:t>$1.156M</a:t>
          </a:r>
          <a:r>
            <a:rPr lang="en-US" sz="2400"/>
            <a:t> total inventory value.</a:t>
          </a:r>
          <a:endParaRPr lang="en-US" sz="2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426549</xdr:colOff>
      <xdr:row>98</xdr:row>
      <xdr:rowOff>4053</xdr:rowOff>
    </xdr:from>
    <xdr:to>
      <xdr:col>38</xdr:col>
      <xdr:colOff>25400</xdr:colOff>
      <xdr:row>100</xdr:row>
      <xdr:rowOff>105112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1C1E0AB-536A-4C6C-B8EC-791C282992D3}"/>
            </a:ext>
          </a:extLst>
        </xdr:cNvPr>
        <xdr:cNvSpPr txBox="1"/>
      </xdr:nvSpPr>
      <xdr:spPr>
        <a:xfrm>
          <a:off x="883749" y="19701753"/>
          <a:ext cx="22154051" cy="482059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ea"/>
              <a:cs typeface="+mn-cs"/>
            </a:rPr>
            <a:t>Inventory value concentration</a:t>
          </a:r>
        </a:p>
      </xdr:txBody>
    </xdr:sp>
    <xdr:clientData/>
  </xdr:twoCellAnchor>
  <xdr:twoCellAnchor>
    <xdr:from>
      <xdr:col>1</xdr:col>
      <xdr:colOff>426549</xdr:colOff>
      <xdr:row>106</xdr:row>
      <xdr:rowOff>181853</xdr:rowOff>
    </xdr:from>
    <xdr:to>
      <xdr:col>38</xdr:col>
      <xdr:colOff>25400</xdr:colOff>
      <xdr:row>109</xdr:row>
      <xdr:rowOff>92412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527FA54-E587-4821-9A2A-B24CAF331C46}"/>
            </a:ext>
          </a:extLst>
        </xdr:cNvPr>
        <xdr:cNvSpPr txBox="1"/>
      </xdr:nvSpPr>
      <xdr:spPr>
        <a:xfrm>
          <a:off x="883749" y="21403553"/>
          <a:ext cx="22154051" cy="4820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/>
            <a:t>All </a:t>
          </a:r>
          <a:r>
            <a:rPr lang="en-US" sz="2400" b="1"/>
            <a:t>30 products</a:t>
          </a:r>
          <a:r>
            <a:rPr lang="en-US" sz="2400"/>
            <a:t> are currently classified as </a:t>
          </a:r>
          <a:r>
            <a:rPr lang="en-US" sz="2400" b="1"/>
            <a:t>Healthy Stock</a:t>
          </a:r>
          <a:r>
            <a:rPr lang="en-US" sz="2400"/>
            <a:t>, with </a:t>
          </a:r>
          <a:r>
            <a:rPr lang="en-US" sz="2400" b="1"/>
            <a:t>0 Low Stock</a:t>
          </a:r>
          <a:r>
            <a:rPr lang="en-US" sz="2400"/>
            <a:t> and </a:t>
          </a:r>
          <a:r>
            <a:rPr lang="en-US" sz="2400" b="1"/>
            <a:t>0 Reorder Required</a:t>
          </a:r>
          <a:r>
            <a:rPr lang="en-US" sz="2400"/>
            <a:t> items based on the calculated stock thresholds.</a:t>
          </a:r>
          <a:endParaRPr lang="en-US" sz="2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426549</xdr:colOff>
      <xdr:row>104</xdr:row>
      <xdr:rowOff>80253</xdr:rowOff>
    </xdr:from>
    <xdr:to>
      <xdr:col>38</xdr:col>
      <xdr:colOff>25400</xdr:colOff>
      <xdr:row>106</xdr:row>
      <xdr:rowOff>181312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79512A0-6820-42A4-9EAD-380337F90CB1}"/>
            </a:ext>
          </a:extLst>
        </xdr:cNvPr>
        <xdr:cNvSpPr txBox="1"/>
      </xdr:nvSpPr>
      <xdr:spPr>
        <a:xfrm>
          <a:off x="883749" y="20920953"/>
          <a:ext cx="22154051" cy="482059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ea"/>
              <a:cs typeface="+mn-cs"/>
            </a:rPr>
            <a:t>Stock position</a:t>
          </a:r>
        </a:p>
      </xdr:txBody>
    </xdr:sp>
    <xdr:clientData/>
  </xdr:twoCellAnchor>
  <xdr:twoCellAnchor>
    <xdr:from>
      <xdr:col>1</xdr:col>
      <xdr:colOff>426549</xdr:colOff>
      <xdr:row>113</xdr:row>
      <xdr:rowOff>67553</xdr:rowOff>
    </xdr:from>
    <xdr:to>
      <xdr:col>38</xdr:col>
      <xdr:colOff>25400</xdr:colOff>
      <xdr:row>115</xdr:row>
      <xdr:rowOff>168612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501E5E3-144E-4C7A-9482-F416CBDBF273}"/>
            </a:ext>
          </a:extLst>
        </xdr:cNvPr>
        <xdr:cNvSpPr txBox="1"/>
      </xdr:nvSpPr>
      <xdr:spPr>
        <a:xfrm>
          <a:off x="883749" y="22622753"/>
          <a:ext cx="22154051" cy="4820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/>
            <a:t>The top 10 products account for </a:t>
          </a:r>
          <a:r>
            <a:rPr lang="en-US" sz="2400" b="1"/>
            <a:t>18,658 units</a:t>
          </a:r>
          <a:r>
            <a:rPr lang="en-US" sz="2400"/>
            <a:t>, approximately </a:t>
          </a:r>
          <a:r>
            <a:rPr lang="en-US" sz="2400" b="1"/>
            <a:t>54%</a:t>
          </a:r>
          <a:r>
            <a:rPr lang="en-US" sz="2400"/>
            <a:t> of the total current stock, indicating that inventory is concentrated among a relatively small group of products.</a:t>
          </a:r>
          <a:endParaRPr lang="en-US" sz="2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426549</xdr:colOff>
      <xdr:row>110</xdr:row>
      <xdr:rowOff>156453</xdr:rowOff>
    </xdr:from>
    <xdr:to>
      <xdr:col>38</xdr:col>
      <xdr:colOff>25400</xdr:colOff>
      <xdr:row>113</xdr:row>
      <xdr:rowOff>67012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FF0E4FC-3753-478A-A9DD-5E4CDB202155}"/>
            </a:ext>
          </a:extLst>
        </xdr:cNvPr>
        <xdr:cNvSpPr txBox="1"/>
      </xdr:nvSpPr>
      <xdr:spPr>
        <a:xfrm>
          <a:off x="883749" y="22140153"/>
          <a:ext cx="22154051" cy="482059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ea"/>
              <a:cs typeface="+mn-cs"/>
            </a:rPr>
            <a:t>Top 10 concentration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eryar Khan" refreshedDate="46291.759204745373" createdVersion="8" refreshedVersion="8" minRefreshableVersion="3" recordCount="30" xr:uid="{61B826DA-3778-4CD3-AA24-B593363BC110}">
  <cacheSource type="worksheet">
    <worksheetSource ref="A1:P31" sheet="Inventory Summary"/>
  </cacheSource>
  <cacheFields count="16">
    <cacheField name="Product ID" numFmtId="0">
      <sharedItems/>
    </cacheField>
    <cacheField name="Product Name" numFmtId="0">
      <sharedItems count="30">
        <s v="Wireless Mouse"/>
        <s v="Mechanical Keyboard"/>
        <s v="USB-C Hub"/>
        <s v="Bluetooth Speaker"/>
        <s v="Webcam HD"/>
        <s v="27-inch Monitor"/>
        <s v="Laptop Stand"/>
        <s v="Desk Lamp"/>
        <s v="Office Chair"/>
        <s v="Standing Desk"/>
        <s v="Notebook A5"/>
        <s v="Gel Pen Set"/>
        <s v="Desk Organizer"/>
        <s v="External SSD 1TB"/>
        <s v="Power Bank 20000mAh"/>
        <s v="HDMI Cable"/>
        <s v="Wireless Headset"/>
        <s v="USB Flash Drive 64GB"/>
        <s v="Printer"/>
        <s v="Toner Cartridge"/>
        <s v="Backpack"/>
        <s v="Water Bottle"/>
        <s v="Desk Mat"/>
        <s v="Calculator"/>
        <s v="File Folder Pack"/>
        <s v="Barcode Scanner"/>
        <s v="Label Printer"/>
        <s v="Packing Tape"/>
        <s v="Shipping Labels"/>
        <s v="Storage Bin"/>
      </sharedItems>
    </cacheField>
    <cacheField name="Category" numFmtId="0">
      <sharedItems count="7">
        <s v="Electronics"/>
        <s v="Office Supplies"/>
        <s v="Furniture"/>
        <s v="Stationery"/>
        <s v="Accessories"/>
        <s v="Packaging"/>
        <s v="Warehouse"/>
      </sharedItems>
    </cacheField>
    <cacheField name="Supplier" numFmtId="0">
      <sharedItems count="21">
        <s v="TechGear"/>
        <s v="KeyPro"/>
        <s v="ConnectX"/>
        <s v="SoundMax"/>
        <s v="VisionTech"/>
        <s v="ViewPlus"/>
        <s v="DeskWorks"/>
        <s v="BrightHome"/>
        <s v="ComfortPro"/>
        <s v="ErgoSpace"/>
        <s v="PaperMate"/>
        <s v="WriteWell"/>
        <s v="DataStore"/>
        <s v="VoltPro"/>
        <s v="PrintTech"/>
        <s v="TravelPro"/>
        <s v="HydroLife"/>
        <s v="CalcPlus"/>
        <s v="ScanPro"/>
        <s v="PackRight"/>
        <s v="StoreMax"/>
      </sharedItems>
    </cacheField>
    <cacheField name="Reorder Level" numFmtId="0">
      <sharedItems containsSemiMixedTypes="0" containsString="0" containsNumber="1" containsInteger="1" minValue="30" maxValue="400"/>
    </cacheField>
    <cacheField name="Safety Stock" numFmtId="0">
      <sharedItems containsSemiMixedTypes="0" containsString="0" containsNumber="1" containsInteger="1" minValue="10" maxValue="120"/>
    </cacheField>
    <cacheField name="Lead Time Days" numFmtId="0">
      <sharedItems containsSemiMixedTypes="0" containsString="0" containsNumber="1" containsInteger="1" minValue="8" maxValue="45"/>
    </cacheField>
    <cacheField name="Total Purchased" numFmtId="0">
      <sharedItems containsSemiMixedTypes="0" containsString="0" containsNumber="1" containsInteger="1" minValue="252" maxValue="3143"/>
    </cacheField>
    <cacheField name="Total Sold" numFmtId="0">
      <sharedItems containsSemiMixedTypes="0" containsString="0" containsNumber="1" containsInteger="1" minValue="58" maxValue="581"/>
    </cacheField>
    <cacheField name="Total Returned" numFmtId="0">
      <sharedItems containsSemiMixedTypes="0" containsString="0" containsNumber="1" containsInteger="1" minValue="0" maxValue="23"/>
    </cacheField>
    <cacheField name="Net Stock Movement" numFmtId="0">
      <sharedItems containsSemiMixedTypes="0" containsString="0" containsNumber="1" containsInteger="1" minValue="122" maxValue="2562"/>
    </cacheField>
    <cacheField name="Inventory Value" numFmtId="44">
      <sharedItems containsSemiMixedTypes="0" containsString="0" containsNumber="1" minValue="4484.9999999999991" maxValue="161850"/>
    </cacheField>
    <cacheField name="Sales Value" numFmtId="44">
      <sharedItems containsSemiMixedTypes="0" containsString="0" containsNumber="1" minValue="2062.5" maxValue="39360"/>
    </cacheField>
    <cacheField name="Stock Status" numFmtId="0">
      <sharedItems count="1">
        <s v="Healthy Stock"/>
      </sharedItems>
    </cacheField>
    <cacheField name="Reorder Priority" numFmtId="0">
      <sharedItems/>
    </cacheField>
    <cacheField name="Current Stock" numFmtId="0">
      <sharedItems containsSemiMixedTypes="0" containsString="0" containsNumber="1" containsInteger="1" minValue="122" maxValue="25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eryar Khan" refreshedDate="46291.759206365743" createdVersion="8" refreshedVersion="8" minRefreshableVersion="3" recordCount="1794" xr:uid="{FF8EA47C-AF0B-4AA2-B88C-9E323865F998}">
  <cacheSource type="worksheet">
    <worksheetSource ref="A1:O1795" sheet="Cleaned Inventory Data"/>
  </cacheSource>
  <cacheFields count="15">
    <cacheField name="Transaction ID" numFmtId="0">
      <sharedItems/>
    </cacheField>
    <cacheField name="Transaction Date" numFmtId="164">
      <sharedItems containsSemiMixedTypes="0" containsNonDate="0" containsDate="1" containsString="0" minDate="2025-01-01T00:00:00" maxDate="2026-10-02T00:00:00"/>
    </cacheField>
    <cacheField name="Product ID" numFmtId="0">
      <sharedItems/>
    </cacheField>
    <cacheField name="Transaction Type" numFmtId="0">
      <sharedItems/>
    </cacheField>
    <cacheField name="Quantity" numFmtId="0">
      <sharedItems containsSemiMixedTypes="0" containsString="0" containsNumber="1" containsInteger="1" minValue="-20" maxValue="120"/>
    </cacheField>
    <cacheField name="Stock Movement" numFmtId="0">
      <sharedItems containsSemiMixedTypes="0" containsString="0" containsNumber="1" containsInteger="1" minValue="-20" maxValue="120"/>
    </cacheField>
    <cacheField name="Warehouse" numFmtId="0">
      <sharedItems count="5">
        <s v="Central Warehouse"/>
        <s v="South Warehouse"/>
        <s v="North Warehouse"/>
        <s v="Unknown"/>
        <s v=" central warehouse " u="1"/>
      </sharedItems>
    </cacheField>
    <cacheField name="Supplier" numFmtId="0">
      <sharedItems/>
    </cacheField>
    <cacheField name="Supplier Country" numFmtId="0">
      <sharedItems/>
    </cacheField>
    <cacheField name="Unit Cost" numFmtId="0">
      <sharedItems containsSemiMixedTypes="0" containsString="0" containsNumber="1" minValue="2.6" maxValue="220"/>
    </cacheField>
    <cacheField name="Unit Price" numFmtId="0">
      <sharedItems containsSemiMixedTypes="0" containsString="0" containsNumber="1" minValue="5.5" maxValue="320"/>
    </cacheField>
    <cacheField name="Purchase Order" numFmtId="0">
      <sharedItems containsBlank="1"/>
    </cacheField>
    <cacheField name="Inventory Value" numFmtId="0">
      <sharedItems containsSemiMixedTypes="0" containsString="0" containsNumber="1" minValue="2.6" maxValue="17380"/>
    </cacheField>
    <cacheField name="Sale Value" numFmtId="0">
      <sharedItems containsSemiMixedTypes="0" containsString="0" containsNumber="1" minValue="0" maxValue="4800"/>
    </cacheField>
    <cacheField name="Purchase Value" numFmtId="0">
      <sharedItems containsSemiMixedTypes="0" containsString="0" containsNumber="1" minValue="0" maxValue="17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P001"/>
    <x v="0"/>
    <x v="0"/>
    <x v="0"/>
    <n v="180"/>
    <n v="60"/>
    <n v="14"/>
    <n v="2117"/>
    <n v="383"/>
    <n v="10"/>
    <n v="1733"/>
    <n v="18540.000000000007"/>
    <n v="4787.5"/>
    <x v="0"/>
    <s v="Low"/>
    <n v="1733"/>
  </r>
  <r>
    <s v="P002"/>
    <x v="1"/>
    <x v="0"/>
    <x v="1"/>
    <n v="120"/>
    <n v="40"/>
    <n v="21"/>
    <n v="2586"/>
    <n v="258"/>
    <n v="23"/>
    <n v="2343"/>
    <n v="71875"/>
    <n v="10836"/>
    <x v="0"/>
    <s v="Low"/>
    <n v="2343"/>
  </r>
  <r>
    <s v="P003"/>
    <x v="2"/>
    <x v="0"/>
    <x v="2"/>
    <n v="150"/>
    <n v="50"/>
    <n v="18"/>
    <n v="1234"/>
    <n v="338"/>
    <n v="8"/>
    <n v="873"/>
    <n v="27274.5"/>
    <n v="9464"/>
    <x v="0"/>
    <s v="Low"/>
    <n v="873"/>
  </r>
  <r>
    <s v="P004"/>
    <x v="3"/>
    <x v="0"/>
    <x v="3"/>
    <n v="100"/>
    <n v="30"/>
    <n v="20"/>
    <n v="1875"/>
    <n v="273"/>
    <n v="2"/>
    <n v="1591"/>
    <n v="43700"/>
    <n v="9555"/>
    <x v="0"/>
    <s v="Low"/>
    <n v="1591"/>
  </r>
  <r>
    <s v="P005"/>
    <x v="4"/>
    <x v="0"/>
    <x v="4"/>
    <n v="90"/>
    <n v="30"/>
    <n v="21"/>
    <n v="972"/>
    <n v="249"/>
    <n v="4"/>
    <n v="694"/>
    <n v="24235"/>
    <n v="7719"/>
    <x v="0"/>
    <s v="Low"/>
    <n v="694"/>
  </r>
  <r>
    <s v="P006"/>
    <x v="5"/>
    <x v="0"/>
    <x v="5"/>
    <n v="70"/>
    <n v="20"/>
    <n v="30"/>
    <n v="1038"/>
    <n v="194"/>
    <n v="2"/>
    <n v="857"/>
    <n v="161850"/>
    <n v="35890"/>
    <x v="0"/>
    <s v="Low"/>
    <n v="857"/>
  </r>
  <r>
    <s v="P007"/>
    <x v="6"/>
    <x v="1"/>
    <x v="6"/>
    <n v="110"/>
    <n v="35"/>
    <n v="18"/>
    <n v="1056"/>
    <n v="262"/>
    <n v="0"/>
    <n v="794"/>
    <n v="21088"/>
    <n v="7598"/>
    <x v="0"/>
    <s v="Low"/>
    <n v="794"/>
  </r>
  <r>
    <s v="P008"/>
    <x v="7"/>
    <x v="1"/>
    <x v="7"/>
    <n v="100"/>
    <n v="30"/>
    <n v="15"/>
    <n v="1419"/>
    <n v="321"/>
    <n v="7"/>
    <n v="1090"/>
    <n v="24570"/>
    <n v="7704"/>
    <x v="0"/>
    <s v="Low"/>
    <n v="1090"/>
  </r>
  <r>
    <s v="P009"/>
    <x v="8"/>
    <x v="2"/>
    <x v="8"/>
    <n v="45"/>
    <n v="15"/>
    <n v="30"/>
    <n v="607"/>
    <n v="172"/>
    <n v="0"/>
    <n v="430"/>
    <n v="82320"/>
    <n v="28380"/>
    <x v="0"/>
    <s v="Low"/>
    <n v="430"/>
  </r>
  <r>
    <s v="P010"/>
    <x v="9"/>
    <x v="2"/>
    <x v="9"/>
    <n v="30"/>
    <n v="10"/>
    <n v="45"/>
    <n v="252"/>
    <n v="123"/>
    <n v="0"/>
    <n v="122"/>
    <n v="84040"/>
    <n v="39360"/>
    <x v="0"/>
    <s v="Low"/>
    <n v="122"/>
  </r>
  <r>
    <s v="P011"/>
    <x v="10"/>
    <x v="3"/>
    <x v="10"/>
    <n v="300"/>
    <n v="100"/>
    <n v="10"/>
    <n v="1322"/>
    <n v="375"/>
    <n v="6"/>
    <n v="941"/>
    <n v="4484.9999999999991"/>
    <n v="2062.5"/>
    <x v="0"/>
    <s v="Low"/>
    <n v="941"/>
  </r>
  <r>
    <s v="P012"/>
    <x v="11"/>
    <x v="3"/>
    <x v="11"/>
    <n v="250"/>
    <n v="80"/>
    <n v="10"/>
    <n v="2081"/>
    <n v="366"/>
    <n v="8"/>
    <n v="1762"/>
    <n v="8615.6"/>
    <n v="2928"/>
    <x v="0"/>
    <s v="Low"/>
    <n v="1762"/>
  </r>
  <r>
    <s v="P013"/>
    <x v="12"/>
    <x v="1"/>
    <x v="6"/>
    <n v="140"/>
    <n v="45"/>
    <n v="14"/>
    <n v="737"/>
    <n v="232"/>
    <n v="10"/>
    <n v="523"/>
    <n v="8328"/>
    <n v="3480"/>
    <x v="0"/>
    <s v="Low"/>
    <n v="523"/>
  </r>
  <r>
    <s v="P014"/>
    <x v="13"/>
    <x v="0"/>
    <x v="12"/>
    <n v="65"/>
    <n v="20"/>
    <n v="30"/>
    <n v="694"/>
    <n v="189"/>
    <n v="2"/>
    <n v="513"/>
    <n v="56259"/>
    <n v="17955"/>
    <x v="0"/>
    <s v="Low"/>
    <n v="513"/>
  </r>
  <r>
    <s v="P015"/>
    <x v="14"/>
    <x v="0"/>
    <x v="13"/>
    <n v="80"/>
    <n v="25"/>
    <n v="21"/>
    <n v="1200"/>
    <n v="201"/>
    <n v="3"/>
    <n v="1002"/>
    <n v="32292"/>
    <n v="7638"/>
    <x v="0"/>
    <s v="Low"/>
    <n v="1002"/>
  </r>
  <r>
    <s v="P016"/>
    <x v="15"/>
    <x v="0"/>
    <x v="2"/>
    <n v="220"/>
    <n v="70"/>
    <n v="12"/>
    <n v="1458"/>
    <n v="440"/>
    <n v="4"/>
    <n v="1030"/>
    <n v="8568.0000000000036"/>
    <n v="4400"/>
    <x v="0"/>
    <s v="Low"/>
    <n v="1030"/>
  </r>
  <r>
    <s v="P017"/>
    <x v="16"/>
    <x v="0"/>
    <x v="3"/>
    <n v="75"/>
    <n v="25"/>
    <n v="21"/>
    <n v="1546"/>
    <n v="235"/>
    <n v="6"/>
    <n v="1350"/>
    <n v="62356"/>
    <n v="12925"/>
    <x v="0"/>
    <s v="Low"/>
    <n v="1350"/>
  </r>
  <r>
    <s v="P018"/>
    <x v="17"/>
    <x v="0"/>
    <x v="12"/>
    <n v="200"/>
    <n v="60"/>
    <n v="14"/>
    <n v="1751"/>
    <n v="360"/>
    <n v="4"/>
    <n v="1361"/>
    <n v="11330.800000000003"/>
    <n v="3960"/>
    <x v="0"/>
    <s v="Low"/>
    <n v="1361"/>
  </r>
  <r>
    <s v="P019"/>
    <x v="18"/>
    <x v="0"/>
    <x v="14"/>
    <n v="35"/>
    <n v="10"/>
    <n v="35"/>
    <n v="658"/>
    <n v="73"/>
    <n v="7"/>
    <n v="586"/>
    <n v="107880"/>
    <n v="15330"/>
    <x v="0"/>
    <s v="Low"/>
    <n v="586"/>
  </r>
  <r>
    <s v="P020"/>
    <x v="19"/>
    <x v="1"/>
    <x v="14"/>
    <n v="85"/>
    <n v="25"/>
    <n v="28"/>
    <n v="1332"/>
    <n v="237"/>
    <n v="7"/>
    <n v="1124"/>
    <n v="48420"/>
    <n v="11376"/>
    <x v="0"/>
    <s v="Low"/>
    <n v="1124"/>
  </r>
  <r>
    <s v="P021"/>
    <x v="20"/>
    <x v="4"/>
    <x v="15"/>
    <n v="90"/>
    <n v="30"/>
    <n v="21"/>
    <n v="1781"/>
    <n v="221"/>
    <n v="4"/>
    <n v="1581"/>
    <n v="50675"/>
    <n v="9945"/>
    <x v="0"/>
    <s v="Low"/>
    <n v="1581"/>
  </r>
  <r>
    <s v="P022"/>
    <x v="21"/>
    <x v="4"/>
    <x v="16"/>
    <n v="160"/>
    <n v="50"/>
    <n v="12"/>
    <n v="1865"/>
    <n v="312"/>
    <n v="19"/>
    <n v="1582"/>
    <n v="19397"/>
    <n v="5616"/>
    <x v="0"/>
    <s v="Low"/>
    <n v="1582"/>
  </r>
  <r>
    <s v="P023"/>
    <x v="22"/>
    <x v="1"/>
    <x v="6"/>
    <n v="130"/>
    <n v="40"/>
    <n v="14"/>
    <n v="837"/>
    <n v="289"/>
    <n v="5"/>
    <n v="557"/>
    <n v="10181.599999999999"/>
    <n v="4913"/>
    <x v="0"/>
    <s v="Low"/>
    <n v="557"/>
  </r>
  <r>
    <s v="P024"/>
    <x v="23"/>
    <x v="3"/>
    <x v="17"/>
    <n v="180"/>
    <n v="60"/>
    <n v="12"/>
    <n v="1429"/>
    <n v="321"/>
    <n v="8"/>
    <n v="1141"/>
    <n v="10806"/>
    <n v="4494"/>
    <x v="0"/>
    <s v="Low"/>
    <n v="1141"/>
  </r>
  <r>
    <s v="P025"/>
    <x v="24"/>
    <x v="3"/>
    <x v="10"/>
    <n v="260"/>
    <n v="90"/>
    <n v="10"/>
    <n v="2120"/>
    <n v="366"/>
    <n v="9"/>
    <n v="1786"/>
    <n v="14058"/>
    <n v="4392"/>
    <x v="0"/>
    <s v="Low"/>
    <n v="1786"/>
  </r>
  <r>
    <s v="P026"/>
    <x v="25"/>
    <x v="0"/>
    <x v="18"/>
    <n v="40"/>
    <n v="12"/>
    <n v="35"/>
    <n v="707"/>
    <n v="58"/>
    <n v="5"/>
    <n v="654"/>
    <n v="60060"/>
    <n v="7250"/>
    <x v="0"/>
    <s v="Low"/>
    <n v="654"/>
  </r>
  <r>
    <s v="P027"/>
    <x v="26"/>
    <x v="0"/>
    <x v="14"/>
    <n v="32"/>
    <n v="10"/>
    <n v="35"/>
    <n v="338"/>
    <n v="70"/>
    <n v="3"/>
    <n v="271"/>
    <n v="33702"/>
    <n v="9450"/>
    <x v="0"/>
    <s v="Low"/>
    <n v="271"/>
  </r>
  <r>
    <s v="P028"/>
    <x v="27"/>
    <x v="5"/>
    <x v="19"/>
    <n v="400"/>
    <n v="120"/>
    <n v="8"/>
    <n v="3143"/>
    <n v="581"/>
    <n v="16"/>
    <n v="2562"/>
    <n v="11292"/>
    <n v="4067"/>
    <x v="0"/>
    <s v="Low"/>
    <n v="2562"/>
  </r>
  <r>
    <s v="P029"/>
    <x v="28"/>
    <x v="5"/>
    <x v="19"/>
    <n v="350"/>
    <n v="100"/>
    <n v="8"/>
    <n v="2389"/>
    <n v="443"/>
    <n v="13"/>
    <n v="1923"/>
    <n v="11780"/>
    <n v="3987"/>
    <x v="0"/>
    <s v="Low"/>
    <n v="1923"/>
  </r>
  <r>
    <s v="P030"/>
    <x v="29"/>
    <x v="6"/>
    <x v="20"/>
    <n v="180"/>
    <n v="60"/>
    <n v="14"/>
    <n v="2087"/>
    <n v="286"/>
    <n v="11"/>
    <n v="1795"/>
    <n v="26411"/>
    <n v="6292"/>
    <x v="0"/>
    <s v="Low"/>
    <n v="17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4">
  <r>
    <s v="INV-01067"/>
    <d v="2025-01-01T00:00:00"/>
    <s v="P008"/>
    <s v="Sale"/>
    <n v="-2"/>
    <n v="-2"/>
    <x v="0"/>
    <s v="BrightHome"/>
    <s v="China"/>
    <n v="13.5"/>
    <n v="24"/>
    <m/>
    <n v="27"/>
    <n v="48"/>
    <n v="0"/>
  </r>
  <r>
    <s v="INV-00742"/>
    <d v="2025-01-01T00:00:00"/>
    <s v="P011"/>
    <s v="Sale"/>
    <n v="-8"/>
    <n v="-8"/>
    <x v="1"/>
    <s v="PaperMate"/>
    <s v="Germany"/>
    <n v="2.6"/>
    <n v="5.5"/>
    <m/>
    <n v="20.8"/>
    <n v="44"/>
    <n v="0"/>
  </r>
  <r>
    <s v="INV-00128"/>
    <d v="2025-01-01T00:00:00"/>
    <s v="P028"/>
    <s v="Sale"/>
    <n v="-11"/>
    <n v="-11"/>
    <x v="2"/>
    <s v="PackRight"/>
    <s v="Poland"/>
    <n v="3"/>
    <n v="7"/>
    <m/>
    <n v="33"/>
    <n v="77"/>
    <n v="0"/>
  </r>
  <r>
    <s v="INV-01061"/>
    <d v="2025-01-02T00:00:00"/>
    <s v="P028"/>
    <s v="Sale"/>
    <n v="-12"/>
    <n v="-12"/>
    <x v="0"/>
    <s v="PackRight"/>
    <s v="Poland"/>
    <n v="3"/>
    <n v="7"/>
    <m/>
    <n v="36"/>
    <n v="84"/>
    <n v="0"/>
  </r>
  <r>
    <s v="INV-01015"/>
    <d v="2025-01-02T00:00:00"/>
    <s v="P023"/>
    <s v="Sale"/>
    <n v="-11"/>
    <n v="-11"/>
    <x v="2"/>
    <s v="DeskWorks"/>
    <s v="China"/>
    <n v="8.8000000000000007"/>
    <n v="17"/>
    <m/>
    <n v="96.800000000000011"/>
    <n v="187"/>
    <n v="0"/>
  </r>
  <r>
    <s v="INV-00334"/>
    <d v="2025-01-02T00:00:00"/>
    <s v="P004"/>
    <s v="Sale"/>
    <n v="-14"/>
    <n v="-14"/>
    <x v="1"/>
    <s v="SoundMax"/>
    <s v="Vietnam"/>
    <n v="20"/>
    <n v="35"/>
    <m/>
    <n v="280"/>
    <n v="490"/>
    <n v="0"/>
  </r>
  <r>
    <s v="INV-01350"/>
    <d v="2025-01-02T00:00:00"/>
    <s v="P001"/>
    <s v="Sale"/>
    <n v="-14"/>
    <n v="-14"/>
    <x v="2"/>
    <s v="TechGear"/>
    <s v="China"/>
    <n v="7.2"/>
    <n v="12.5"/>
    <m/>
    <n v="100.8"/>
    <n v="175"/>
    <n v="0"/>
  </r>
  <r>
    <s v="INV-00089"/>
    <d v="2025-01-02T00:00:00"/>
    <s v="P028"/>
    <s v="Sale"/>
    <n v="-1"/>
    <n v="-1"/>
    <x v="2"/>
    <s v="PackRight"/>
    <s v="Poland"/>
    <n v="3"/>
    <n v="7"/>
    <m/>
    <n v="3"/>
    <n v="7"/>
    <n v="0"/>
  </r>
  <r>
    <s v="INV-00898"/>
    <d v="2025-01-03T00:00:00"/>
    <s v="P028"/>
    <s v="Purchase"/>
    <n v="63"/>
    <n v="63"/>
    <x v="0"/>
    <s v="PackRight"/>
    <s v="Poland"/>
    <n v="3"/>
    <n v="7"/>
    <s v="PO-58135"/>
    <n v="189"/>
    <n v="0"/>
    <n v="189"/>
  </r>
  <r>
    <s v="INV-00725"/>
    <d v="2025-01-04T00:00:00"/>
    <s v="P018"/>
    <s v="Sale"/>
    <n v="-15"/>
    <n v="-15"/>
    <x v="0"/>
    <s v="DataStore"/>
    <s v="South Korea"/>
    <n v="5.2"/>
    <n v="11"/>
    <m/>
    <n v="78"/>
    <n v="165"/>
    <n v="0"/>
  </r>
  <r>
    <s v="INV-00503"/>
    <d v="2025-01-04T00:00:00"/>
    <s v="P011"/>
    <s v="Sale"/>
    <n v="-2"/>
    <n v="-2"/>
    <x v="0"/>
    <s v="PaperMate"/>
    <s v="Germany"/>
    <n v="2.6"/>
    <n v="5.5"/>
    <m/>
    <n v="5.2"/>
    <n v="11"/>
    <n v="0"/>
  </r>
  <r>
    <s v="INV-00781"/>
    <d v="2025-01-04T00:00:00"/>
    <s v="P022"/>
    <s v="Purchase"/>
    <n v="35"/>
    <n v="35"/>
    <x v="2"/>
    <s v="HydroLife"/>
    <s v="Germany"/>
    <n v="8.5"/>
    <n v="18"/>
    <s v="PO-72744"/>
    <n v="297.5"/>
    <n v="0"/>
    <n v="297.5"/>
  </r>
  <r>
    <s v="INV-00421"/>
    <d v="2025-01-05T00:00:00"/>
    <s v="P025"/>
    <s v="Sale"/>
    <n v="-11"/>
    <n v="-11"/>
    <x v="0"/>
    <s v="PaperMate"/>
    <s v="Germany"/>
    <n v="5.5"/>
    <n v="12"/>
    <m/>
    <n v="60.5"/>
    <n v="132"/>
    <n v="0"/>
  </r>
  <r>
    <s v="INV-01652"/>
    <d v="2025-01-06T00:00:00"/>
    <s v="P011"/>
    <s v="Sale"/>
    <n v="-3"/>
    <n v="-3"/>
    <x v="1"/>
    <s v="PaperMate"/>
    <s v="Germany"/>
    <n v="2.6"/>
    <n v="5.5"/>
    <m/>
    <n v="7.8000000000000007"/>
    <n v="16.5"/>
    <n v="0"/>
  </r>
  <r>
    <s v="INV-01010"/>
    <d v="2025-01-06T00:00:00"/>
    <s v="P016"/>
    <s v="Sale"/>
    <n v="-7"/>
    <n v="-7"/>
    <x v="0"/>
    <s v="ConnectX"/>
    <s v="China"/>
    <n v="4.2"/>
    <n v="10"/>
    <m/>
    <n v="29.400000000000002"/>
    <n v="70"/>
    <n v="0"/>
  </r>
  <r>
    <s v="INV-01438"/>
    <d v="2025-01-07T00:00:00"/>
    <s v="P023"/>
    <s v="Adjustment"/>
    <n v="-11"/>
    <n v="-11"/>
    <x v="0"/>
    <s v="DeskWorks"/>
    <s v="China"/>
    <n v="8.8000000000000007"/>
    <n v="17"/>
    <m/>
    <n v="96.800000000000011"/>
    <n v="0"/>
    <n v="0"/>
  </r>
  <r>
    <s v="INV-01604"/>
    <d v="2025-01-07T00:00:00"/>
    <s v="P012"/>
    <s v="Purchase"/>
    <n v="56"/>
    <n v="56"/>
    <x v="0"/>
    <s v="WriteWell"/>
    <s v="France"/>
    <n v="3.4"/>
    <n v="8"/>
    <s v="PO-96274"/>
    <n v="190.4"/>
    <n v="0"/>
    <n v="190.4"/>
  </r>
  <r>
    <s v="INV-01592"/>
    <d v="2025-01-07T00:00:00"/>
    <s v="P030"/>
    <s v="Return"/>
    <n v="1"/>
    <n v="1"/>
    <x v="0"/>
    <s v="StoreMax"/>
    <s v="Germany"/>
    <n v="11"/>
    <n v="22"/>
    <m/>
    <n v="11"/>
    <n v="0"/>
    <n v="0"/>
  </r>
  <r>
    <s v="INV-00581"/>
    <d v="2025-01-07T00:00:00"/>
    <s v="P015"/>
    <s v="Sale"/>
    <n v="-2"/>
    <n v="-2"/>
    <x v="2"/>
    <s v="VoltPro"/>
    <s v="China"/>
    <n v="23"/>
    <n v="38"/>
    <m/>
    <n v="46"/>
    <n v="76"/>
    <n v="0"/>
  </r>
  <r>
    <s v="INV-01056"/>
    <d v="2025-01-07T00:00:00"/>
    <s v="P012"/>
    <s v="Sale"/>
    <n v="-11"/>
    <n v="-11"/>
    <x v="1"/>
    <s v="WriteWell"/>
    <s v="France"/>
    <n v="3.4"/>
    <n v="8"/>
    <m/>
    <n v="37.4"/>
    <n v="88"/>
    <n v="0"/>
  </r>
  <r>
    <s v="INV-01732"/>
    <d v="2025-01-07T00:00:00"/>
    <s v="P020"/>
    <s v="Sale"/>
    <n v="-15"/>
    <n v="-15"/>
    <x v="2"/>
    <s v="PrintTech"/>
    <s v="Japan"/>
    <n v="30"/>
    <n v="48"/>
    <m/>
    <n v="450"/>
    <n v="720"/>
    <n v="0"/>
  </r>
  <r>
    <s v="INV-01677"/>
    <d v="2025-01-08T00:00:00"/>
    <s v="P002"/>
    <s v="Adjustment"/>
    <n v="-8"/>
    <n v="-8"/>
    <x v="0"/>
    <s v="KeyPro"/>
    <s v="China"/>
    <n v="25"/>
    <n v="42"/>
    <m/>
    <n v="200"/>
    <n v="0"/>
    <n v="0"/>
  </r>
  <r>
    <s v="INV-00341"/>
    <d v="2025-01-08T00:00:00"/>
    <s v="P016"/>
    <s v="Sale"/>
    <n v="-15"/>
    <n v="-15"/>
    <x v="2"/>
    <s v="ConnectX"/>
    <s v="China"/>
    <n v="4.2"/>
    <n v="10"/>
    <m/>
    <n v="63"/>
    <n v="150"/>
    <n v="0"/>
  </r>
  <r>
    <s v="INV-01128"/>
    <d v="2025-01-09T00:00:00"/>
    <s v="P013"/>
    <s v="Adjustment"/>
    <n v="3"/>
    <n v="3"/>
    <x v="0"/>
    <s v="DeskWorks"/>
    <s v="China"/>
    <n v="8"/>
    <n v="15"/>
    <m/>
    <n v="24"/>
    <n v="0"/>
    <n v="0"/>
  </r>
  <r>
    <s v="INV-01691"/>
    <d v="2025-01-09T00:00:00"/>
    <s v="P006"/>
    <s v="Purchase"/>
    <n v="29"/>
    <n v="29"/>
    <x v="0"/>
    <s v="ViewPlus"/>
    <s v="South Korea"/>
    <n v="130"/>
    <n v="185"/>
    <s v="PO-10319"/>
    <n v="3770"/>
    <n v="0"/>
    <n v="3770"/>
  </r>
  <r>
    <s v="INV-00297"/>
    <d v="2025-01-09T00:00:00"/>
    <s v="P024"/>
    <s v="Sale"/>
    <n v="-8"/>
    <n v="-8"/>
    <x v="0"/>
    <s v="CalcPlus"/>
    <s v="China"/>
    <n v="6"/>
    <n v="14"/>
    <m/>
    <n v="48"/>
    <n v="112"/>
    <n v="0"/>
  </r>
  <r>
    <s v="INV-00931"/>
    <d v="2025-01-10T00:00:00"/>
    <s v="P004"/>
    <s v="Sale"/>
    <n v="-5"/>
    <n v="-5"/>
    <x v="0"/>
    <s v="SoundMax"/>
    <s v="Vietnam"/>
    <n v="20"/>
    <n v="35"/>
    <m/>
    <n v="100"/>
    <n v="175"/>
    <n v="0"/>
  </r>
  <r>
    <s v="INV-00133"/>
    <d v="2025-01-10T00:00:00"/>
    <s v="P004"/>
    <s v="Sale"/>
    <n v="-11"/>
    <n v="-11"/>
    <x v="1"/>
    <s v="SoundMax"/>
    <s v="Vietnam"/>
    <n v="20"/>
    <n v="35"/>
    <m/>
    <n v="220"/>
    <n v="385"/>
    <n v="0"/>
  </r>
  <r>
    <s v="INV-00090"/>
    <d v="2025-01-10T00:00:00"/>
    <s v="P016"/>
    <s v="Adjustment"/>
    <n v="-8"/>
    <n v="-8"/>
    <x v="1"/>
    <s v="ConnectX"/>
    <s v="China"/>
    <n v="4.2"/>
    <n v="10"/>
    <m/>
    <n v="33.6"/>
    <n v="0"/>
    <n v="0"/>
  </r>
  <r>
    <s v="INV-00456"/>
    <d v="2025-01-11T00:00:00"/>
    <s v="P016"/>
    <s v="Sale"/>
    <n v="-13"/>
    <n v="-13"/>
    <x v="0"/>
    <s v="ConnectX"/>
    <s v="China"/>
    <n v="4.2"/>
    <n v="10"/>
    <m/>
    <n v="54.6"/>
    <n v="130"/>
    <n v="0"/>
  </r>
  <r>
    <s v="INV-01711"/>
    <d v="2025-01-11T00:00:00"/>
    <s v="P005"/>
    <s v="Purchase"/>
    <n v="22"/>
    <n v="22"/>
    <x v="1"/>
    <s v="VisionTech"/>
    <s v="China"/>
    <n v="18.5"/>
    <n v="31"/>
    <s v="PO-54078"/>
    <n v="407"/>
    <n v="0"/>
    <n v="407"/>
  </r>
  <r>
    <s v="INV-01708"/>
    <d v="2025-01-12T00:00:00"/>
    <s v="P007"/>
    <s v="Sale"/>
    <n v="-14"/>
    <n v="-14"/>
    <x v="2"/>
    <s v="DeskWorks"/>
    <s v="China"/>
    <n v="16"/>
    <n v="29"/>
    <m/>
    <n v="224"/>
    <n v="406"/>
    <n v="0"/>
  </r>
  <r>
    <s v="INV-01116"/>
    <d v="2025-01-12T00:00:00"/>
    <s v="P018"/>
    <s v="Sale"/>
    <n v="-1"/>
    <n v="-1"/>
    <x v="1"/>
    <s v="DataStore"/>
    <s v="South Korea"/>
    <n v="5.2"/>
    <n v="11"/>
    <m/>
    <n v="5.2"/>
    <n v="11"/>
    <n v="0"/>
  </r>
  <r>
    <s v="INV-01543"/>
    <d v="2025-01-12T00:00:00"/>
    <s v="P018"/>
    <s v="Sale"/>
    <n v="-9"/>
    <n v="-9"/>
    <x v="1"/>
    <s v="DataStore"/>
    <s v="South Korea"/>
    <n v="5.2"/>
    <n v="11"/>
    <m/>
    <n v="46.800000000000004"/>
    <n v="99"/>
    <n v="0"/>
  </r>
  <r>
    <s v="INV-00326"/>
    <d v="2025-01-12T00:00:00"/>
    <s v="P024"/>
    <s v="Sale"/>
    <n v="-10"/>
    <n v="-10"/>
    <x v="1"/>
    <s v="CalcPlus"/>
    <s v="China"/>
    <n v="6"/>
    <n v="14"/>
    <m/>
    <n v="60"/>
    <n v="140"/>
    <n v="0"/>
  </r>
  <r>
    <s v="INV-00006"/>
    <d v="2025-01-13T00:00:00"/>
    <s v="P005"/>
    <s v="Sale"/>
    <n v="-14"/>
    <n v="-14"/>
    <x v="2"/>
    <s v="VisionTech"/>
    <s v="China"/>
    <n v="18.5"/>
    <n v="31"/>
    <m/>
    <n v="259"/>
    <n v="434"/>
    <n v="0"/>
  </r>
  <r>
    <s v="INV-01366"/>
    <d v="2025-01-13T00:00:00"/>
    <s v="P004"/>
    <s v="Sale"/>
    <n v="-7"/>
    <n v="-7"/>
    <x v="2"/>
    <s v="SoundMax"/>
    <s v="Vietnam"/>
    <n v="20"/>
    <n v="35"/>
    <m/>
    <n v="140"/>
    <n v="245"/>
    <n v="0"/>
  </r>
  <r>
    <s v="INV-00425"/>
    <d v="2025-01-13T00:00:00"/>
    <s v="P002"/>
    <s v="Purchase"/>
    <n v="54"/>
    <n v="54"/>
    <x v="0"/>
    <s v="KeyPro"/>
    <s v="China"/>
    <n v="25"/>
    <n v="42"/>
    <s v="PO-17887"/>
    <n v="1350"/>
    <n v="0"/>
    <n v="1350"/>
  </r>
  <r>
    <s v="INV-00153"/>
    <d v="2025-01-13T00:00:00"/>
    <s v="P004"/>
    <s v="Sale"/>
    <n v="-8"/>
    <n v="-8"/>
    <x v="0"/>
    <s v="SoundMax"/>
    <s v="Vietnam"/>
    <n v="20"/>
    <n v="35"/>
    <m/>
    <n v="160"/>
    <n v="280"/>
    <n v="0"/>
  </r>
  <r>
    <s v="INV-00822"/>
    <d v="2025-01-13T00:00:00"/>
    <s v="P001"/>
    <s v="Return"/>
    <n v="4"/>
    <n v="4"/>
    <x v="1"/>
    <s v="TechGear"/>
    <s v="China"/>
    <n v="7.2"/>
    <n v="12.5"/>
    <m/>
    <n v="28.8"/>
    <n v="0"/>
    <n v="0"/>
  </r>
  <r>
    <s v="INV-00310"/>
    <d v="2025-01-14T00:00:00"/>
    <s v="P009"/>
    <s v="Adjustment"/>
    <n v="-5"/>
    <n v="-5"/>
    <x v="1"/>
    <s v="ComfortPro"/>
    <s v="Poland"/>
    <n v="105"/>
    <n v="165"/>
    <m/>
    <n v="525"/>
    <n v="0"/>
    <n v="0"/>
  </r>
  <r>
    <s v="INV-00989"/>
    <d v="2025-01-14T00:00:00"/>
    <s v="P008"/>
    <s v="Adjustment"/>
    <n v="-13"/>
    <n v="-13"/>
    <x v="2"/>
    <s v="BrightHome"/>
    <s v="China"/>
    <n v="13.5"/>
    <n v="24"/>
    <m/>
    <n v="175.5"/>
    <n v="0"/>
    <n v="0"/>
  </r>
  <r>
    <s v="INV-00190"/>
    <d v="2025-01-14T00:00:00"/>
    <s v="P008"/>
    <s v="Sale"/>
    <n v="-7"/>
    <n v="-7"/>
    <x v="1"/>
    <s v="BrightHome"/>
    <s v="China"/>
    <n v="13.5"/>
    <n v="24"/>
    <m/>
    <n v="94.5"/>
    <n v="168"/>
    <n v="0"/>
  </r>
  <r>
    <s v="INV-00681"/>
    <d v="2025-01-14T00:00:00"/>
    <s v="P025"/>
    <s v="Purchase"/>
    <n v="112"/>
    <n v="112"/>
    <x v="0"/>
    <s v="PaperMate"/>
    <s v="Germany"/>
    <n v="5.5"/>
    <n v="12"/>
    <s v="PO-16869"/>
    <n v="616"/>
    <n v="0"/>
    <n v="616"/>
  </r>
  <r>
    <s v="INV-01521"/>
    <d v="2025-01-15T00:00:00"/>
    <s v="P002"/>
    <s v="Sale"/>
    <n v="-12"/>
    <n v="-12"/>
    <x v="1"/>
    <s v="KeyPro"/>
    <s v="China"/>
    <n v="25"/>
    <n v="42"/>
    <m/>
    <n v="300"/>
    <n v="504"/>
    <n v="0"/>
  </r>
  <r>
    <s v="INV-00087"/>
    <d v="2025-01-16T00:00:00"/>
    <s v="P023"/>
    <s v="Purchase"/>
    <n v="40"/>
    <n v="40"/>
    <x v="2"/>
    <s v="DeskWorks"/>
    <s v="China"/>
    <n v="8.8000000000000007"/>
    <n v="17"/>
    <s v="PO-66151"/>
    <n v="352"/>
    <n v="0"/>
    <n v="352"/>
  </r>
  <r>
    <s v="INV-01038"/>
    <d v="2025-01-16T00:00:00"/>
    <s v="P023"/>
    <s v="Purchase"/>
    <n v="45"/>
    <n v="45"/>
    <x v="0"/>
    <s v="DeskWorks"/>
    <s v="China"/>
    <n v="8.8000000000000007"/>
    <n v="17"/>
    <s v="PO-91614"/>
    <n v="396.00000000000006"/>
    <n v="0"/>
    <n v="396.00000000000006"/>
  </r>
  <r>
    <s v="INV-01440"/>
    <d v="2025-01-16T00:00:00"/>
    <s v="P022"/>
    <s v="Sale"/>
    <n v="-7"/>
    <n v="-7"/>
    <x v="0"/>
    <s v="HydroLife"/>
    <s v="Germany"/>
    <n v="8.5"/>
    <n v="18"/>
    <m/>
    <n v="59.5"/>
    <n v="126"/>
    <n v="0"/>
  </r>
  <r>
    <s v="INV-00437"/>
    <d v="2025-01-16T00:00:00"/>
    <s v="P002"/>
    <s v="Return"/>
    <n v="5"/>
    <n v="5"/>
    <x v="0"/>
    <s v="KeyPro"/>
    <s v="China"/>
    <n v="25"/>
    <n v="42"/>
    <m/>
    <n v="125"/>
    <n v="0"/>
    <n v="0"/>
  </r>
  <r>
    <s v="INV-00871"/>
    <d v="2025-01-16T00:00:00"/>
    <s v="P012"/>
    <s v="Sale"/>
    <n v="-3"/>
    <n v="-3"/>
    <x v="1"/>
    <s v="WriteWell"/>
    <s v="France"/>
    <n v="3.4"/>
    <n v="8"/>
    <m/>
    <n v="10.199999999999999"/>
    <n v="24"/>
    <n v="0"/>
  </r>
  <r>
    <s v="INV-01383"/>
    <d v="2025-01-16T00:00:00"/>
    <s v="P030"/>
    <s v="Purchase"/>
    <n v="63"/>
    <n v="63"/>
    <x v="0"/>
    <s v="StoreMax"/>
    <s v="Germany"/>
    <n v="11"/>
    <n v="22"/>
    <s v="PO-97363"/>
    <n v="693"/>
    <n v="0"/>
    <n v="693"/>
  </r>
  <r>
    <s v="INV-00664"/>
    <d v="2025-01-17T00:00:00"/>
    <s v="P008"/>
    <s v="Sale"/>
    <n v="-15"/>
    <n v="-15"/>
    <x v="0"/>
    <s v="BrightHome"/>
    <s v="China"/>
    <n v="13.5"/>
    <n v="24"/>
    <m/>
    <n v="202.5"/>
    <n v="360"/>
    <n v="0"/>
  </r>
  <r>
    <s v="INV-00754"/>
    <d v="2025-01-17T00:00:00"/>
    <s v="P011"/>
    <s v="Adjustment"/>
    <n v="1"/>
    <n v="1"/>
    <x v="2"/>
    <s v="PaperMate"/>
    <s v="Germany"/>
    <n v="2.6"/>
    <n v="5.5"/>
    <m/>
    <n v="2.6"/>
    <n v="0"/>
    <n v="0"/>
  </r>
  <r>
    <s v="INV-01426"/>
    <d v="2025-01-17T00:00:00"/>
    <s v="P030"/>
    <s v="Return"/>
    <n v="5"/>
    <n v="5"/>
    <x v="1"/>
    <s v="StoreMax"/>
    <s v="Germany"/>
    <n v="11"/>
    <n v="22"/>
    <m/>
    <n v="55"/>
    <n v="0"/>
    <n v="0"/>
  </r>
  <r>
    <s v="INV-01325"/>
    <d v="2025-01-17T00:00:00"/>
    <s v="P030"/>
    <s v="Sale"/>
    <n v="-15"/>
    <n v="-15"/>
    <x v="3"/>
    <s v="StoreMax"/>
    <s v="Germany"/>
    <n v="11"/>
    <n v="22"/>
    <m/>
    <n v="165"/>
    <n v="330"/>
    <n v="0"/>
  </r>
  <r>
    <s v="INV-01237"/>
    <d v="2025-01-18T00:00:00"/>
    <s v="P028"/>
    <s v="Sale"/>
    <n v="-11"/>
    <n v="-11"/>
    <x v="2"/>
    <s v="PackRight"/>
    <s v="Poland"/>
    <n v="3"/>
    <n v="7"/>
    <m/>
    <n v="33"/>
    <n v="77"/>
    <n v="0"/>
  </r>
  <r>
    <s v="INV-00008"/>
    <d v="2025-01-18T00:00:00"/>
    <s v="P028"/>
    <s v="Purchase"/>
    <n v="47"/>
    <n v="47"/>
    <x v="0"/>
    <s v="PackRight"/>
    <s v="Poland"/>
    <n v="3"/>
    <n v="7"/>
    <s v="PO-37659"/>
    <n v="141"/>
    <n v="0"/>
    <n v="141"/>
  </r>
  <r>
    <s v="INV-00275"/>
    <d v="2025-01-18T00:00:00"/>
    <s v="P016"/>
    <s v="Sale"/>
    <n v="-15"/>
    <n v="-15"/>
    <x v="0"/>
    <s v="ConnectX"/>
    <s v="China"/>
    <n v="4.2"/>
    <n v="10"/>
    <m/>
    <n v="63"/>
    <n v="150"/>
    <n v="0"/>
  </r>
  <r>
    <s v="INV-00374"/>
    <d v="2025-01-18T00:00:00"/>
    <s v="P022"/>
    <s v="Sale"/>
    <n v="-1"/>
    <n v="-1"/>
    <x v="2"/>
    <s v="HydroLife"/>
    <s v="Germany"/>
    <n v="8.5"/>
    <n v="18"/>
    <m/>
    <n v="8.5"/>
    <n v="18"/>
    <n v="0"/>
  </r>
  <r>
    <s v="INV-00667"/>
    <d v="2025-01-19T00:00:00"/>
    <s v="P008"/>
    <s v="Sale"/>
    <n v="-6"/>
    <n v="-6"/>
    <x v="2"/>
    <s v="BrightHome"/>
    <s v="China"/>
    <n v="13.5"/>
    <n v="24"/>
    <m/>
    <n v="81"/>
    <n v="144"/>
    <n v="0"/>
  </r>
  <r>
    <s v="INV-00634"/>
    <d v="2025-01-19T00:00:00"/>
    <s v="P017"/>
    <s v="Purchase"/>
    <n v="95"/>
    <n v="95"/>
    <x v="2"/>
    <s v="SoundMax"/>
    <s v="Vietnam"/>
    <n v="34"/>
    <n v="55"/>
    <s v="PO-65032"/>
    <n v="3230"/>
    <n v="0"/>
    <n v="3230"/>
  </r>
  <r>
    <s v="INV-00284"/>
    <d v="2025-01-19T00:00:00"/>
    <s v="P003"/>
    <s v="Return"/>
    <n v="2"/>
    <n v="2"/>
    <x v="2"/>
    <s v="ConnectX"/>
    <s v="China"/>
    <n v="16.5"/>
    <n v="28"/>
    <m/>
    <n v="33"/>
    <n v="0"/>
    <n v="0"/>
  </r>
  <r>
    <s v="INV-00325"/>
    <d v="2025-01-19T00:00:00"/>
    <s v="P029"/>
    <s v="Adjustment"/>
    <n v="-7"/>
    <n v="-7"/>
    <x v="0"/>
    <s v="PackRight"/>
    <s v="Poland"/>
    <n v="4"/>
    <n v="9"/>
    <m/>
    <n v="28"/>
    <n v="0"/>
    <n v="0"/>
  </r>
  <r>
    <s v="INV-00578"/>
    <d v="2025-01-19T00:00:00"/>
    <s v="P029"/>
    <s v="Sale"/>
    <n v="-7"/>
    <n v="-7"/>
    <x v="1"/>
    <s v="PackRight"/>
    <s v="Poland"/>
    <n v="4"/>
    <n v="9"/>
    <m/>
    <n v="28"/>
    <n v="63"/>
    <n v="0"/>
  </r>
  <r>
    <s v="INV-01790"/>
    <d v="2025-01-20T00:00:00"/>
    <s v="P017"/>
    <s v="Purchase"/>
    <n v="27"/>
    <n v="27"/>
    <x v="1"/>
    <s v="SoundMax"/>
    <s v="Vietnam"/>
    <n v="34"/>
    <n v="55"/>
    <s v="PO-49328"/>
    <n v="918"/>
    <n v="0"/>
    <n v="918"/>
  </r>
  <r>
    <s v="INV-01356"/>
    <d v="2025-01-20T00:00:00"/>
    <s v="P028"/>
    <s v="Sale"/>
    <n v="-6"/>
    <n v="-6"/>
    <x v="1"/>
    <s v="PackRight"/>
    <s v="Poland"/>
    <n v="3"/>
    <n v="7"/>
    <m/>
    <n v="18"/>
    <n v="42"/>
    <n v="0"/>
  </r>
  <r>
    <s v="INV-00350"/>
    <d v="2025-01-20T00:00:00"/>
    <s v="P020"/>
    <s v="Sale"/>
    <n v="-15"/>
    <n v="-15"/>
    <x v="2"/>
    <s v="PrintTech"/>
    <s v="Japan"/>
    <n v="30"/>
    <n v="48"/>
    <m/>
    <n v="450"/>
    <n v="720"/>
    <n v="0"/>
  </r>
  <r>
    <s v="INV-00907"/>
    <d v="2025-01-21T00:00:00"/>
    <s v="P025"/>
    <s v="Purchase"/>
    <n v="116"/>
    <n v="116"/>
    <x v="0"/>
    <s v="PaperMate"/>
    <s v="Germany"/>
    <n v="5.5"/>
    <n v="12"/>
    <s v="PO-62136"/>
    <n v="638"/>
    <n v="0"/>
    <n v="638"/>
  </r>
  <r>
    <s v="INV-01090"/>
    <d v="2025-01-21T00:00:00"/>
    <s v="P008"/>
    <s v="Sale"/>
    <n v="-3"/>
    <n v="-3"/>
    <x v="1"/>
    <s v="BrightHome"/>
    <s v="China"/>
    <n v="13.5"/>
    <n v="24"/>
    <m/>
    <n v="40.5"/>
    <n v="72"/>
    <n v="0"/>
  </r>
  <r>
    <s v="INV-01443"/>
    <d v="2025-01-21T00:00:00"/>
    <s v="P022"/>
    <s v="Sale"/>
    <n v="-11"/>
    <n v="-11"/>
    <x v="0"/>
    <s v="HydroLife"/>
    <s v="Germany"/>
    <n v="8.5"/>
    <n v="18"/>
    <m/>
    <n v="93.5"/>
    <n v="198"/>
    <n v="0"/>
  </r>
  <r>
    <s v="INV-01519"/>
    <d v="2025-01-21T00:00:00"/>
    <s v="P008"/>
    <s v="Sale"/>
    <n v="-13"/>
    <n v="-13"/>
    <x v="2"/>
    <s v="BrightHome"/>
    <s v="China"/>
    <n v="13.5"/>
    <n v="24"/>
    <m/>
    <n v="175.5"/>
    <n v="312"/>
    <n v="0"/>
  </r>
  <r>
    <s v="INV-01637"/>
    <d v="2025-01-22T00:00:00"/>
    <s v="P013"/>
    <s v="Purchase"/>
    <n v="44"/>
    <n v="44"/>
    <x v="2"/>
    <s v="DeskWorks"/>
    <s v="China"/>
    <n v="8"/>
    <n v="15"/>
    <s v="PO-61364"/>
    <n v="352"/>
    <n v="0"/>
    <n v="352"/>
  </r>
  <r>
    <s v="INV-01725"/>
    <d v="2025-01-22T00:00:00"/>
    <s v="P022"/>
    <s v="Purchase"/>
    <n v="39"/>
    <n v="39"/>
    <x v="2"/>
    <s v="HydroLife"/>
    <s v="Germany"/>
    <n v="8.5"/>
    <n v="18"/>
    <s v="PO-15703"/>
    <n v="331.5"/>
    <n v="0"/>
    <n v="331.5"/>
  </r>
  <r>
    <s v="INV-01757"/>
    <d v="2025-01-23T00:00:00"/>
    <s v="P029"/>
    <s v="Purchase"/>
    <n v="78"/>
    <n v="78"/>
    <x v="1"/>
    <s v="PackRight"/>
    <s v="Poland"/>
    <n v="4"/>
    <n v="9"/>
    <s v="PO-84716"/>
    <n v="312"/>
    <n v="0"/>
    <n v="312"/>
  </r>
  <r>
    <s v="INV-01469"/>
    <d v="2025-01-24T00:00:00"/>
    <s v="P028"/>
    <s v="Sale"/>
    <n v="-9"/>
    <n v="-9"/>
    <x v="2"/>
    <s v="PackRight"/>
    <s v="Poland"/>
    <n v="3"/>
    <n v="7"/>
    <m/>
    <n v="27"/>
    <n v="63"/>
    <n v="0"/>
  </r>
  <r>
    <s v="INV-01290"/>
    <d v="2025-01-24T00:00:00"/>
    <s v="P002"/>
    <s v="Purchase"/>
    <n v="79"/>
    <n v="79"/>
    <x v="0"/>
    <s v="KeyPro"/>
    <s v="China"/>
    <n v="25"/>
    <n v="42"/>
    <s v="PO-75350"/>
    <n v="1975"/>
    <n v="0"/>
    <n v="1975"/>
  </r>
  <r>
    <s v="INV-01563"/>
    <d v="2025-01-24T00:00:00"/>
    <s v="P025"/>
    <s v="Sale"/>
    <n v="-4"/>
    <n v="-4"/>
    <x v="1"/>
    <s v="PaperMate"/>
    <s v="Germany"/>
    <n v="5.5"/>
    <n v="12"/>
    <m/>
    <n v="22"/>
    <n v="48"/>
    <n v="0"/>
  </r>
  <r>
    <s v="INV-00629"/>
    <d v="2025-01-25T00:00:00"/>
    <s v="P001"/>
    <s v="Purchase"/>
    <n v="88"/>
    <n v="88"/>
    <x v="2"/>
    <s v="TechGear"/>
    <s v="China"/>
    <n v="7.2"/>
    <n v="12.5"/>
    <s v="PO-35146"/>
    <n v="633.6"/>
    <n v="0"/>
    <n v="633.6"/>
  </r>
  <r>
    <s v="INV-01472"/>
    <d v="2025-01-25T00:00:00"/>
    <s v="P024"/>
    <s v="Purchase"/>
    <n v="50"/>
    <n v="50"/>
    <x v="2"/>
    <s v="CalcPlus"/>
    <s v="China"/>
    <n v="6"/>
    <n v="14"/>
    <s v="PO-75587"/>
    <n v="300"/>
    <n v="0"/>
    <n v="300"/>
  </r>
  <r>
    <s v="INV-00381"/>
    <d v="2025-01-25T00:00:00"/>
    <s v="P004"/>
    <s v="Purchase"/>
    <n v="91"/>
    <n v="91"/>
    <x v="0"/>
    <s v="SoundMax"/>
    <s v="Vietnam"/>
    <n v="20"/>
    <n v="35"/>
    <s v="PO-70071"/>
    <n v="1820"/>
    <n v="0"/>
    <n v="1820"/>
  </r>
  <r>
    <s v="INV-01194"/>
    <d v="2025-01-26T00:00:00"/>
    <s v="P020"/>
    <s v="Sale"/>
    <n v="-13"/>
    <n v="-13"/>
    <x v="1"/>
    <s v="PrintTech"/>
    <s v="Japan"/>
    <n v="30"/>
    <n v="48"/>
    <m/>
    <n v="390"/>
    <n v="624"/>
    <n v="0"/>
  </r>
  <r>
    <s v="INV-01219"/>
    <d v="2025-01-26T00:00:00"/>
    <s v="P021"/>
    <s v="Purchase"/>
    <n v="87"/>
    <n v="87"/>
    <x v="0"/>
    <s v="TravelPro"/>
    <s v="Vietnam"/>
    <n v="25"/>
    <n v="45"/>
    <s v="PO-53484"/>
    <n v="2175"/>
    <n v="0"/>
    <n v="2175"/>
  </r>
  <r>
    <s v="INV-01362"/>
    <d v="2025-01-26T00:00:00"/>
    <s v="P007"/>
    <s v="Purchase"/>
    <n v="101"/>
    <n v="101"/>
    <x v="1"/>
    <s v="DeskWorks"/>
    <s v="China"/>
    <n v="16"/>
    <n v="29"/>
    <s v="PO-56104"/>
    <n v="1616"/>
    <n v="0"/>
    <n v="1616"/>
  </r>
  <r>
    <s v="INV-01458"/>
    <d v="2025-01-26T00:00:00"/>
    <s v="P022"/>
    <s v="Purchase"/>
    <n v="66"/>
    <n v="66"/>
    <x v="2"/>
    <s v="HydroLife"/>
    <s v="Germany"/>
    <n v="8.5"/>
    <n v="18"/>
    <s v="PO-20537"/>
    <n v="561"/>
    <n v="0"/>
    <n v="561"/>
  </r>
  <r>
    <s v="INV-00945"/>
    <d v="2025-01-26T00:00:00"/>
    <s v="P007"/>
    <s v="Sale"/>
    <n v="-13"/>
    <n v="-13"/>
    <x v="0"/>
    <s v="DeskWorks"/>
    <s v="China"/>
    <n v="16"/>
    <n v="29"/>
    <m/>
    <n v="208"/>
    <n v="377"/>
    <n v="0"/>
  </r>
  <r>
    <s v="INV-00457"/>
    <d v="2025-01-26T00:00:00"/>
    <s v="P001"/>
    <s v="Sale"/>
    <n v="-10"/>
    <n v="-10"/>
    <x v="0"/>
    <s v="TechGear"/>
    <s v="China"/>
    <n v="7.2"/>
    <n v="12.5"/>
    <m/>
    <n v="72"/>
    <n v="125"/>
    <n v="0"/>
  </r>
  <r>
    <s v="INV-00707"/>
    <d v="2025-01-27T00:00:00"/>
    <s v="P011"/>
    <s v="Sale"/>
    <n v="-10"/>
    <n v="-10"/>
    <x v="2"/>
    <s v="PaperMate"/>
    <s v="Germany"/>
    <n v="2.6"/>
    <n v="5.5"/>
    <m/>
    <n v="26"/>
    <n v="55"/>
    <n v="0"/>
  </r>
  <r>
    <s v="INV-00111"/>
    <d v="2025-01-27T00:00:00"/>
    <s v="P011"/>
    <s v="Purchase"/>
    <n v="94"/>
    <n v="94"/>
    <x v="1"/>
    <s v="PaperMate"/>
    <s v="Germany"/>
    <n v="2.6"/>
    <n v="5.5"/>
    <s v="PO-48333"/>
    <n v="244.4"/>
    <n v="0"/>
    <n v="244.4"/>
  </r>
  <r>
    <s v="INV-01220"/>
    <d v="2025-01-27T00:00:00"/>
    <s v="P009"/>
    <s v="Sale"/>
    <n v="-11"/>
    <n v="-11"/>
    <x v="2"/>
    <s v="ComfortPro"/>
    <s v="Poland"/>
    <n v="105"/>
    <n v="165"/>
    <m/>
    <n v="1155"/>
    <n v="1815"/>
    <n v="0"/>
  </r>
  <r>
    <s v="INV-00519"/>
    <d v="2025-01-28T00:00:00"/>
    <s v="P030"/>
    <s v="Sale"/>
    <n v="-4"/>
    <n v="-4"/>
    <x v="2"/>
    <s v="StoreMax"/>
    <s v="Germany"/>
    <n v="11"/>
    <n v="22"/>
    <m/>
    <n v="44"/>
    <n v="88"/>
    <n v="0"/>
  </r>
  <r>
    <s v="INV-01065"/>
    <d v="2025-01-28T00:00:00"/>
    <s v="P014"/>
    <s v="Sale"/>
    <n v="-13"/>
    <n v="-13"/>
    <x v="0"/>
    <s v="DataStore"/>
    <s v="South Korea"/>
    <n v="63"/>
    <n v="95"/>
    <m/>
    <n v="819"/>
    <n v="1235"/>
    <n v="0"/>
  </r>
  <r>
    <s v="INV-01165"/>
    <d v="2025-01-29T00:00:00"/>
    <s v="P005"/>
    <s v="Sale"/>
    <n v="-13"/>
    <n v="-13"/>
    <x v="1"/>
    <s v="VisionTech"/>
    <s v="China"/>
    <n v="18.5"/>
    <n v="31"/>
    <m/>
    <n v="240.5"/>
    <n v="403"/>
    <n v="0"/>
  </r>
  <r>
    <s v="INV-01297"/>
    <d v="2025-01-29T00:00:00"/>
    <s v="P005"/>
    <s v="Adjustment"/>
    <n v="7"/>
    <n v="7"/>
    <x v="0"/>
    <s v="VisionTech"/>
    <s v="China"/>
    <n v="18.5"/>
    <n v="31"/>
    <m/>
    <n v="129.5"/>
    <n v="0"/>
    <n v="0"/>
  </r>
  <r>
    <s v="INV-01129"/>
    <d v="2025-01-29T00:00:00"/>
    <s v="P012"/>
    <s v="Sale"/>
    <n v="-8"/>
    <n v="-8"/>
    <x v="1"/>
    <s v="WriteWell"/>
    <s v="France"/>
    <n v="3.4"/>
    <n v="8"/>
    <m/>
    <n v="27.2"/>
    <n v="64"/>
    <n v="0"/>
  </r>
  <r>
    <s v="INV-01283"/>
    <d v="2025-01-29T00:00:00"/>
    <s v="P018"/>
    <s v="Purchase"/>
    <n v="86"/>
    <n v="86"/>
    <x v="0"/>
    <s v="DataStore"/>
    <s v="South Korea"/>
    <n v="5.2"/>
    <n v="11"/>
    <s v="PO-14746"/>
    <n v="447.2"/>
    <n v="0"/>
    <n v="447.2"/>
  </r>
  <r>
    <s v="INV-00900"/>
    <d v="2025-01-29T00:00:00"/>
    <s v="P003"/>
    <s v="Sale"/>
    <n v="-5"/>
    <n v="-5"/>
    <x v="2"/>
    <s v="ConnectX"/>
    <s v="China"/>
    <n v="16.5"/>
    <n v="28"/>
    <m/>
    <n v="82.5"/>
    <n v="140"/>
    <n v="0"/>
  </r>
  <r>
    <s v="INV-00602"/>
    <d v="2025-01-30T00:00:00"/>
    <s v="P010"/>
    <s v="Purchase"/>
    <n v="79"/>
    <n v="79"/>
    <x v="2"/>
    <s v="ErgoSpace"/>
    <s v="Germany"/>
    <n v="220"/>
    <n v="320"/>
    <s v="PO-17283"/>
    <n v="17380"/>
    <n v="0"/>
    <n v="17380"/>
  </r>
  <r>
    <s v="INV-00974"/>
    <d v="2025-01-31T00:00:00"/>
    <s v="P007"/>
    <s v="Sale"/>
    <n v="-12"/>
    <n v="-12"/>
    <x v="0"/>
    <s v="DeskWorks"/>
    <s v="China"/>
    <n v="16"/>
    <n v="29"/>
    <m/>
    <n v="192"/>
    <n v="348"/>
    <n v="0"/>
  </r>
  <r>
    <s v="INV-01180"/>
    <d v="2025-01-31T00:00:00"/>
    <s v="P017"/>
    <s v="Adjustment"/>
    <n v="-5"/>
    <n v="-5"/>
    <x v="0"/>
    <s v="SoundMax"/>
    <s v="Vietnam"/>
    <n v="34"/>
    <n v="55"/>
    <m/>
    <n v="170"/>
    <n v="0"/>
    <n v="0"/>
  </r>
  <r>
    <s v="INV-01344"/>
    <d v="2025-01-31T00:00:00"/>
    <s v="P023"/>
    <s v="Sale"/>
    <n v="-9"/>
    <n v="-9"/>
    <x v="2"/>
    <s v="DeskWorks"/>
    <s v="China"/>
    <n v="8.8000000000000007"/>
    <n v="17"/>
    <m/>
    <n v="79.2"/>
    <n v="153"/>
    <n v="0"/>
  </r>
  <r>
    <s v="INV-01761"/>
    <d v="2025-01-31T00:00:00"/>
    <s v="P015"/>
    <s v="Purchase"/>
    <n v="67"/>
    <n v="67"/>
    <x v="0"/>
    <s v="VoltPro"/>
    <s v="China"/>
    <n v="23"/>
    <n v="38"/>
    <s v="PO-69622"/>
    <n v="1541"/>
    <n v="0"/>
    <n v="1541"/>
  </r>
  <r>
    <s v="INV-01121"/>
    <d v="2025-02-01T00:00:00"/>
    <s v="P028"/>
    <s v="Purchase"/>
    <n v="23"/>
    <n v="23"/>
    <x v="0"/>
    <s v="PackRight"/>
    <s v="Poland"/>
    <n v="3"/>
    <n v="7"/>
    <s v="PO-50639"/>
    <n v="69"/>
    <n v="0"/>
    <n v="69"/>
  </r>
  <r>
    <s v="INV-00142"/>
    <d v="2025-02-01T00:00:00"/>
    <s v="P008"/>
    <s v="Purchase"/>
    <n v="104"/>
    <n v="104"/>
    <x v="0"/>
    <s v="BrightHome"/>
    <s v="China"/>
    <n v="13.5"/>
    <n v="24"/>
    <s v="PO-65063"/>
    <n v="1404"/>
    <n v="0"/>
    <n v="1404"/>
  </r>
  <r>
    <s v="INV-01160"/>
    <d v="2025-02-01T00:00:00"/>
    <s v="P001"/>
    <s v="Sale"/>
    <n v="-4"/>
    <n v="-4"/>
    <x v="2"/>
    <s v="TechGear"/>
    <s v="China"/>
    <n v="7.2"/>
    <n v="12.5"/>
    <m/>
    <n v="28.8"/>
    <n v="50"/>
    <n v="0"/>
  </r>
  <r>
    <s v="INV-00125"/>
    <d v="2025-02-01T00:00:00"/>
    <s v="P008"/>
    <s v="Sale"/>
    <n v="-14"/>
    <n v="-14"/>
    <x v="0"/>
    <s v="BrightHome"/>
    <s v="China"/>
    <n v="13.5"/>
    <n v="24"/>
    <m/>
    <n v="189"/>
    <n v="336"/>
    <n v="0"/>
  </r>
  <r>
    <s v="INV-01267"/>
    <d v="2025-02-03T00:00:00"/>
    <s v="P013"/>
    <s v="Purchase"/>
    <n v="54"/>
    <n v="54"/>
    <x v="0"/>
    <s v="DeskWorks"/>
    <s v="China"/>
    <n v="8"/>
    <n v="15"/>
    <s v="PO-41127"/>
    <n v="432"/>
    <n v="0"/>
    <n v="432"/>
  </r>
  <r>
    <s v="INV-01072"/>
    <d v="2025-02-05T00:00:00"/>
    <s v="P008"/>
    <s v="Adjustment"/>
    <n v="-19"/>
    <n v="-19"/>
    <x v="2"/>
    <s v="BrightHome"/>
    <s v="China"/>
    <n v="13.5"/>
    <n v="24"/>
    <m/>
    <n v="256.5"/>
    <n v="0"/>
    <n v="0"/>
  </r>
  <r>
    <s v="INV-01476"/>
    <d v="2025-02-06T00:00:00"/>
    <s v="P022"/>
    <s v="Sale"/>
    <n v="-13"/>
    <n v="-13"/>
    <x v="1"/>
    <s v="HydroLife"/>
    <s v="Germany"/>
    <n v="8.5"/>
    <n v="18"/>
    <m/>
    <n v="110.5"/>
    <n v="234"/>
    <n v="0"/>
  </r>
  <r>
    <s v="INV-00568"/>
    <d v="2025-02-06T00:00:00"/>
    <s v="P015"/>
    <s v="Sale"/>
    <n v="-2"/>
    <n v="-2"/>
    <x v="2"/>
    <s v="VoltPro"/>
    <s v="China"/>
    <n v="23"/>
    <n v="38"/>
    <m/>
    <n v="46"/>
    <n v="76"/>
    <n v="0"/>
  </r>
  <r>
    <s v="INV-01359"/>
    <d v="2025-02-07T00:00:00"/>
    <s v="P009"/>
    <s v="Sale"/>
    <n v="-5"/>
    <n v="-5"/>
    <x v="0"/>
    <s v="ComfortPro"/>
    <s v="Poland"/>
    <n v="105"/>
    <n v="165"/>
    <m/>
    <n v="525"/>
    <n v="825"/>
    <n v="0"/>
  </r>
  <r>
    <s v="INV-00715"/>
    <d v="2025-02-07T00:00:00"/>
    <s v="P012"/>
    <s v="Sale"/>
    <n v="-10"/>
    <n v="-10"/>
    <x v="0"/>
    <s v="WriteWell"/>
    <s v="France"/>
    <n v="3.4"/>
    <n v="8"/>
    <m/>
    <n v="34"/>
    <n v="80"/>
    <n v="0"/>
  </r>
  <r>
    <s v="INV-01680"/>
    <d v="2025-02-07T00:00:00"/>
    <s v="P022"/>
    <s v="Sale"/>
    <n v="-2"/>
    <n v="-2"/>
    <x v="0"/>
    <s v="HydroLife"/>
    <s v="Germany"/>
    <n v="8.5"/>
    <n v="18"/>
    <m/>
    <n v="17"/>
    <n v="36"/>
    <n v="0"/>
  </r>
  <r>
    <s v="INV-01092"/>
    <d v="2025-02-08T00:00:00"/>
    <s v="P021"/>
    <s v="Sale"/>
    <n v="-5"/>
    <n v="-5"/>
    <x v="2"/>
    <s v="TravelPro"/>
    <s v="Vietnam"/>
    <n v="25"/>
    <n v="45"/>
    <m/>
    <n v="125"/>
    <n v="225"/>
    <n v="0"/>
  </r>
  <r>
    <s v="INV-01624"/>
    <d v="2025-02-08T00:00:00"/>
    <s v="P029"/>
    <s v="Purchase"/>
    <n v="70"/>
    <n v="70"/>
    <x v="2"/>
    <s v="PackRight"/>
    <s v="Poland"/>
    <n v="4"/>
    <n v="9"/>
    <s v="PO-19004"/>
    <n v="280"/>
    <n v="0"/>
    <n v="280"/>
  </r>
  <r>
    <s v="INV-01054"/>
    <d v="2025-02-08T00:00:00"/>
    <s v="P025"/>
    <s v="Return"/>
    <n v="4"/>
    <n v="4"/>
    <x v="1"/>
    <s v="PaperMate"/>
    <s v="Germany"/>
    <n v="5.5"/>
    <n v="12"/>
    <m/>
    <n v="22"/>
    <n v="0"/>
    <n v="0"/>
  </r>
  <r>
    <s v="INV-00897"/>
    <d v="2025-02-08T00:00:00"/>
    <s v="P011"/>
    <s v="Sale"/>
    <n v="-15"/>
    <n v="-15"/>
    <x v="0"/>
    <s v="PaperMate"/>
    <s v="Germany"/>
    <n v="2.6"/>
    <n v="5.5"/>
    <m/>
    <n v="39"/>
    <n v="82.5"/>
    <n v="0"/>
  </r>
  <r>
    <s v="INV-00372"/>
    <d v="2025-02-08T00:00:00"/>
    <s v="P001"/>
    <s v="Purchase"/>
    <n v="36"/>
    <n v="36"/>
    <x v="0"/>
    <s v="TechGear"/>
    <s v="China"/>
    <n v="7.2"/>
    <n v="12.5"/>
    <s v="PO-93707"/>
    <n v="259.2"/>
    <n v="0"/>
    <n v="259.2"/>
  </r>
  <r>
    <s v="INV-00451"/>
    <d v="2025-02-09T00:00:00"/>
    <s v="P025"/>
    <s v="Purchase"/>
    <n v="59"/>
    <n v="59"/>
    <x v="1"/>
    <s v="PaperMate"/>
    <s v="Germany"/>
    <n v="5.5"/>
    <n v="12"/>
    <s v="PO-92494"/>
    <n v="324.5"/>
    <n v="0"/>
    <n v="324.5"/>
  </r>
  <r>
    <s v="INV-00829"/>
    <d v="2025-02-09T00:00:00"/>
    <s v="P024"/>
    <s v="Sale"/>
    <n v="-11"/>
    <n v="-11"/>
    <x v="2"/>
    <s v="CalcPlus"/>
    <s v="China"/>
    <n v="6"/>
    <n v="14"/>
    <m/>
    <n v="66"/>
    <n v="154"/>
    <n v="0"/>
  </r>
  <r>
    <s v="INV-00166"/>
    <d v="2025-02-10T00:00:00"/>
    <s v="P026"/>
    <s v="Sale"/>
    <n v="-3"/>
    <n v="-3"/>
    <x v="0"/>
    <s v="ScanPro"/>
    <s v="China"/>
    <n v="78"/>
    <n v="125"/>
    <m/>
    <n v="234"/>
    <n v="375"/>
    <n v="0"/>
  </r>
  <r>
    <s v="INV-01620"/>
    <d v="2025-02-10T00:00:00"/>
    <s v="P023"/>
    <s v="Purchase"/>
    <n v="42"/>
    <n v="42"/>
    <x v="0"/>
    <s v="DeskWorks"/>
    <s v="China"/>
    <n v="8.8000000000000007"/>
    <n v="17"/>
    <s v="PO-85706"/>
    <n v="369.6"/>
    <n v="0"/>
    <n v="369.6"/>
  </r>
  <r>
    <s v="INV-00410"/>
    <d v="2025-02-11T00:00:00"/>
    <s v="P003"/>
    <s v="Return"/>
    <n v="4"/>
    <n v="4"/>
    <x v="1"/>
    <s v="ConnectX"/>
    <s v="China"/>
    <n v="16.5"/>
    <n v="28"/>
    <m/>
    <n v="66"/>
    <n v="0"/>
    <n v="0"/>
  </r>
  <r>
    <s v="INV-00661"/>
    <d v="2025-02-11T00:00:00"/>
    <s v="P012"/>
    <s v="Adjustment"/>
    <n v="-20"/>
    <n v="-20"/>
    <x v="1"/>
    <s v="WriteWell"/>
    <s v="France"/>
    <n v="3.4"/>
    <n v="8"/>
    <m/>
    <n v="68"/>
    <n v="0"/>
    <n v="0"/>
  </r>
  <r>
    <s v="INV-00588"/>
    <d v="2025-02-11T00:00:00"/>
    <s v="P004"/>
    <s v="Sale"/>
    <n v="-11"/>
    <n v="-11"/>
    <x v="0"/>
    <s v="SoundMax"/>
    <s v="Vietnam"/>
    <n v="20"/>
    <n v="35"/>
    <m/>
    <n v="220"/>
    <n v="385"/>
    <n v="0"/>
  </r>
  <r>
    <s v="INV-00487"/>
    <d v="2025-02-11T00:00:00"/>
    <s v="P001"/>
    <s v="Adjustment"/>
    <n v="7"/>
    <n v="7"/>
    <x v="2"/>
    <s v="TechGear"/>
    <s v="China"/>
    <n v="7.2"/>
    <n v="12.5"/>
    <m/>
    <n v="50.4"/>
    <n v="0"/>
    <n v="0"/>
  </r>
  <r>
    <s v="INV-01001"/>
    <d v="2025-02-11T00:00:00"/>
    <s v="P006"/>
    <s v="Sale"/>
    <n v="-12"/>
    <n v="-12"/>
    <x v="2"/>
    <s v="ViewPlus"/>
    <s v="South Korea"/>
    <n v="130"/>
    <n v="185"/>
    <m/>
    <n v="1560"/>
    <n v="2220"/>
    <n v="0"/>
  </r>
  <r>
    <s v="INV-01571"/>
    <d v="2025-02-11T00:00:00"/>
    <s v="P018"/>
    <s v="Purchase"/>
    <n v="35"/>
    <n v="35"/>
    <x v="0"/>
    <s v="DataStore"/>
    <s v="South Korea"/>
    <n v="5.2"/>
    <n v="11"/>
    <s v="PO-33880"/>
    <n v="182"/>
    <n v="0"/>
    <n v="182"/>
  </r>
  <r>
    <s v="INV-00919"/>
    <d v="2025-02-12T00:00:00"/>
    <s v="P024"/>
    <s v="Sale"/>
    <n v="-11"/>
    <n v="-11"/>
    <x v="2"/>
    <s v="CalcPlus"/>
    <s v="China"/>
    <n v="6"/>
    <n v="14"/>
    <m/>
    <n v="66"/>
    <n v="154"/>
    <n v="0"/>
  </r>
  <r>
    <s v="INV-00127"/>
    <d v="2025-02-12T00:00:00"/>
    <s v="P025"/>
    <s v="Sale"/>
    <n v="-1"/>
    <n v="-1"/>
    <x v="2"/>
    <s v="PaperMate"/>
    <s v="Germany"/>
    <n v="5.5"/>
    <n v="12"/>
    <m/>
    <n v="5.5"/>
    <n v="12"/>
    <n v="0"/>
  </r>
  <r>
    <s v="INV-00559"/>
    <d v="2025-02-13T00:00:00"/>
    <s v="P024"/>
    <s v="Sale"/>
    <n v="-10"/>
    <n v="-10"/>
    <x v="0"/>
    <s v="CalcPlus"/>
    <s v="China"/>
    <n v="6"/>
    <n v="14"/>
    <m/>
    <n v="60"/>
    <n v="140"/>
    <n v="0"/>
  </r>
  <r>
    <s v="INV-00110"/>
    <d v="2025-02-13T00:00:00"/>
    <s v="P002"/>
    <s v="Purchase"/>
    <n v="118"/>
    <n v="118"/>
    <x v="0"/>
    <s v="KeyPro"/>
    <s v="China"/>
    <n v="25"/>
    <n v="42"/>
    <s v="PO-50004"/>
    <n v="2950"/>
    <n v="0"/>
    <n v="2950"/>
  </r>
  <r>
    <s v="INV-00103"/>
    <d v="2025-02-14T00:00:00"/>
    <s v="P011"/>
    <s v="Sale"/>
    <n v="-1"/>
    <n v="-1"/>
    <x v="1"/>
    <s v="PaperMate"/>
    <s v="Germany"/>
    <n v="2.6"/>
    <n v="5.5"/>
    <m/>
    <n v="2.6"/>
    <n v="5.5"/>
    <n v="0"/>
  </r>
  <r>
    <s v="INV-00764"/>
    <d v="2025-02-14T00:00:00"/>
    <s v="P024"/>
    <s v="Purchase"/>
    <n v="23"/>
    <n v="23"/>
    <x v="1"/>
    <s v="CalcPlus"/>
    <s v="China"/>
    <n v="6"/>
    <n v="14"/>
    <s v="PO-31213"/>
    <n v="138"/>
    <n v="0"/>
    <n v="138"/>
  </r>
  <r>
    <s v="INV-00572"/>
    <d v="2025-02-14T00:00:00"/>
    <s v="P025"/>
    <s v="Sale"/>
    <n v="-11"/>
    <n v="-11"/>
    <x v="0"/>
    <s v="PaperMate"/>
    <s v="Germany"/>
    <n v="5.5"/>
    <n v="12"/>
    <m/>
    <n v="60.5"/>
    <n v="132"/>
    <n v="0"/>
  </r>
  <r>
    <s v="INV-00218"/>
    <d v="2025-02-15T00:00:00"/>
    <s v="P024"/>
    <s v="Return"/>
    <n v="5"/>
    <n v="5"/>
    <x v="0"/>
    <s v="CalcPlus"/>
    <s v="China"/>
    <n v="6"/>
    <n v="14"/>
    <m/>
    <n v="30"/>
    <n v="0"/>
    <n v="0"/>
  </r>
  <r>
    <s v="INV-01027"/>
    <d v="2025-02-15T00:00:00"/>
    <s v="P028"/>
    <s v="Sale"/>
    <n v="-8"/>
    <n v="-8"/>
    <x v="0"/>
    <s v="PackRight"/>
    <s v="Poland"/>
    <n v="3"/>
    <n v="7"/>
    <m/>
    <n v="24"/>
    <n v="56"/>
    <n v="0"/>
  </r>
  <r>
    <s v="INV-00909"/>
    <d v="2025-02-15T00:00:00"/>
    <s v="P009"/>
    <s v="Purchase"/>
    <n v="118"/>
    <n v="118"/>
    <x v="0"/>
    <s v="ComfortPro"/>
    <s v="Poland"/>
    <n v="105"/>
    <n v="165"/>
    <s v="PO-99796"/>
    <n v="12390"/>
    <n v="0"/>
    <n v="12390"/>
  </r>
  <r>
    <s v="INV-01181"/>
    <d v="2025-02-16T00:00:00"/>
    <s v="P029"/>
    <s v="Sale"/>
    <n v="-14"/>
    <n v="-14"/>
    <x v="1"/>
    <s v="PackRight"/>
    <s v="Poland"/>
    <n v="4"/>
    <n v="9"/>
    <m/>
    <n v="56"/>
    <n v="126"/>
    <n v="0"/>
  </r>
  <r>
    <s v="INV-01768"/>
    <d v="2025-02-16T00:00:00"/>
    <s v="P016"/>
    <s v="Sale"/>
    <n v="-3"/>
    <n v="-3"/>
    <x v="1"/>
    <s v="ConnectX"/>
    <s v="China"/>
    <n v="4.2"/>
    <n v="10"/>
    <m/>
    <n v="12.600000000000001"/>
    <n v="30"/>
    <n v="0"/>
  </r>
  <r>
    <s v="INV-00702"/>
    <d v="2025-02-16T00:00:00"/>
    <s v="P002"/>
    <s v="Sale"/>
    <n v="-5"/>
    <n v="-5"/>
    <x v="0"/>
    <s v="KeyPro"/>
    <s v="China"/>
    <n v="25"/>
    <n v="42"/>
    <m/>
    <n v="125"/>
    <n v="210"/>
    <n v="0"/>
  </r>
  <r>
    <s v="INV-00952"/>
    <d v="2025-02-16T00:00:00"/>
    <s v="P022"/>
    <s v="Sale"/>
    <n v="-3"/>
    <n v="-3"/>
    <x v="0"/>
    <s v="HydroLife"/>
    <s v="Germany"/>
    <n v="8.5"/>
    <n v="18"/>
    <m/>
    <n v="25.5"/>
    <n v="54"/>
    <n v="0"/>
  </r>
  <r>
    <s v="INV-01561"/>
    <d v="2025-02-16T00:00:00"/>
    <s v="P012"/>
    <s v="Sale"/>
    <n v="-15"/>
    <n v="-15"/>
    <x v="0"/>
    <s v="WriteWell"/>
    <s v="France"/>
    <n v="3.4"/>
    <n v="8"/>
    <m/>
    <n v="51"/>
    <n v="120"/>
    <n v="0"/>
  </r>
  <r>
    <s v="INV-00603"/>
    <d v="2025-02-18T00:00:00"/>
    <s v="P006"/>
    <s v="Sale"/>
    <n v="-13"/>
    <n v="-13"/>
    <x v="0"/>
    <s v="ViewPlus"/>
    <s v="South Korea"/>
    <n v="130"/>
    <n v="185"/>
    <m/>
    <n v="1690"/>
    <n v="2405"/>
    <n v="0"/>
  </r>
  <r>
    <s v="INV-00936"/>
    <d v="2025-02-18T00:00:00"/>
    <s v="P009"/>
    <s v="Sale"/>
    <n v="-4"/>
    <n v="-4"/>
    <x v="2"/>
    <s v="ComfortPro"/>
    <s v="Poland"/>
    <n v="105"/>
    <n v="165"/>
    <m/>
    <n v="420"/>
    <n v="660"/>
    <n v="0"/>
  </r>
  <r>
    <s v="INV-00857"/>
    <d v="2025-02-18T00:00:00"/>
    <s v="P001"/>
    <s v="Sale"/>
    <n v="-4"/>
    <n v="-4"/>
    <x v="0"/>
    <s v="TechGear"/>
    <s v="China"/>
    <n v="7.2"/>
    <n v="12.5"/>
    <m/>
    <n v="28.8"/>
    <n v="50"/>
    <n v="0"/>
  </r>
  <r>
    <s v="INV-00215"/>
    <d v="2025-02-18T00:00:00"/>
    <s v="P023"/>
    <s v="Sale"/>
    <n v="-8"/>
    <n v="-8"/>
    <x v="0"/>
    <s v="DeskWorks"/>
    <s v="China"/>
    <n v="8.8000000000000007"/>
    <n v="17"/>
    <m/>
    <n v="70.400000000000006"/>
    <n v="136"/>
    <n v="0"/>
  </r>
  <r>
    <s v="INV-01057"/>
    <d v="2025-02-18T00:00:00"/>
    <s v="P024"/>
    <s v="Purchase"/>
    <n v="115"/>
    <n v="115"/>
    <x v="2"/>
    <s v="CalcPlus"/>
    <s v="China"/>
    <n v="6"/>
    <n v="14"/>
    <s v="PO-58268"/>
    <n v="690"/>
    <n v="0"/>
    <n v="690"/>
  </r>
  <r>
    <s v="INV-01242"/>
    <d v="2025-02-19T00:00:00"/>
    <s v="P025"/>
    <s v="Adjustment"/>
    <n v="19"/>
    <n v="19"/>
    <x v="1"/>
    <s v="PaperMate"/>
    <s v="Germany"/>
    <n v="5.5"/>
    <n v="12"/>
    <m/>
    <n v="104.5"/>
    <n v="0"/>
    <n v="0"/>
  </r>
  <r>
    <s v="INV-00542"/>
    <d v="2025-02-20T00:00:00"/>
    <s v="P020"/>
    <s v="Purchase"/>
    <n v="37"/>
    <n v="37"/>
    <x v="0"/>
    <s v="PrintTech"/>
    <s v="Japan"/>
    <n v="30"/>
    <n v="48"/>
    <s v="PO-92735"/>
    <n v="1110"/>
    <n v="0"/>
    <n v="1110"/>
  </r>
  <r>
    <s v="INV-00281"/>
    <d v="2025-02-20T00:00:00"/>
    <s v="P028"/>
    <s v="Purchase"/>
    <n v="40"/>
    <n v="40"/>
    <x v="0"/>
    <s v="PackRight"/>
    <s v="Poland"/>
    <n v="3"/>
    <n v="7"/>
    <s v="PO-93127"/>
    <n v="120"/>
    <n v="0"/>
    <n v="120"/>
  </r>
  <r>
    <s v="INV-00921"/>
    <d v="2025-02-20T00:00:00"/>
    <s v="P028"/>
    <s v="Return"/>
    <n v="3"/>
    <n v="3"/>
    <x v="0"/>
    <s v="PackRight"/>
    <s v="Poland"/>
    <n v="3"/>
    <n v="7"/>
    <m/>
    <n v="9"/>
    <n v="0"/>
    <n v="0"/>
  </r>
  <r>
    <s v="INV-00363"/>
    <d v="2025-02-20T00:00:00"/>
    <s v="P015"/>
    <s v="Sale"/>
    <n v="-13"/>
    <n v="-13"/>
    <x v="1"/>
    <s v="VoltPro"/>
    <s v="China"/>
    <n v="23"/>
    <n v="38"/>
    <m/>
    <n v="299"/>
    <n v="494"/>
    <n v="0"/>
  </r>
  <r>
    <s v="INV-01265"/>
    <d v="2025-02-20T00:00:00"/>
    <s v="P001"/>
    <s v="Sale"/>
    <n v="-13"/>
    <n v="-13"/>
    <x v="2"/>
    <s v="TechGear"/>
    <s v="China"/>
    <n v="7.2"/>
    <n v="12.5"/>
    <m/>
    <n v="93.600000000000009"/>
    <n v="162.5"/>
    <n v="0"/>
  </r>
  <r>
    <s v="INV-01776"/>
    <d v="2025-02-21T00:00:00"/>
    <s v="P011"/>
    <s v="Sale"/>
    <n v="-8"/>
    <n v="-8"/>
    <x v="0"/>
    <s v="PaperMate"/>
    <s v="Germany"/>
    <n v="2.6"/>
    <n v="5.5"/>
    <m/>
    <n v="20.8"/>
    <n v="44"/>
    <n v="0"/>
  </r>
  <r>
    <s v="INV-00858"/>
    <d v="2025-02-21T00:00:00"/>
    <s v="P016"/>
    <s v="Sale"/>
    <n v="-6"/>
    <n v="-6"/>
    <x v="1"/>
    <s v="ConnectX"/>
    <s v="China"/>
    <n v="4.2"/>
    <n v="10"/>
    <m/>
    <n v="25.200000000000003"/>
    <n v="60"/>
    <n v="0"/>
  </r>
  <r>
    <s v="INV-00785"/>
    <d v="2025-02-21T00:00:00"/>
    <s v="P006"/>
    <s v="Sale"/>
    <n v="-14"/>
    <n v="-14"/>
    <x v="0"/>
    <s v="ViewPlus"/>
    <s v="South Korea"/>
    <n v="130"/>
    <n v="185"/>
    <m/>
    <n v="1820"/>
    <n v="2590"/>
    <n v="0"/>
  </r>
  <r>
    <s v="INV-00027"/>
    <d v="2025-02-21T00:00:00"/>
    <s v="P007"/>
    <s v="Purchase"/>
    <n v="88"/>
    <n v="88"/>
    <x v="1"/>
    <s v="DeskWorks"/>
    <s v="China"/>
    <n v="16"/>
    <n v="29"/>
    <s v="PO-24633"/>
    <n v="1408"/>
    <n v="0"/>
    <n v="1408"/>
  </r>
  <r>
    <s v="INV-01154"/>
    <d v="2025-02-21T00:00:00"/>
    <s v="P022"/>
    <s v="Sale"/>
    <n v="-14"/>
    <n v="-14"/>
    <x v="0"/>
    <s v="HydroLife"/>
    <s v="Germany"/>
    <n v="8.5"/>
    <n v="18"/>
    <m/>
    <n v="119"/>
    <n v="252"/>
    <n v="0"/>
  </r>
  <r>
    <s v="INV-01263"/>
    <d v="2025-02-21T00:00:00"/>
    <s v="P011"/>
    <s v="Sale"/>
    <n v="-10"/>
    <n v="-10"/>
    <x v="2"/>
    <s v="PaperMate"/>
    <s v="Germany"/>
    <n v="2.6"/>
    <n v="5.5"/>
    <m/>
    <n v="26"/>
    <n v="55"/>
    <n v="0"/>
  </r>
  <r>
    <s v="INV-01484"/>
    <d v="2025-02-22T00:00:00"/>
    <s v="P001"/>
    <s v="Sale"/>
    <n v="-12"/>
    <n v="-12"/>
    <x v="1"/>
    <s v="TechGear"/>
    <s v="China"/>
    <n v="7.2"/>
    <n v="12.5"/>
    <m/>
    <n v="86.4"/>
    <n v="150"/>
    <n v="0"/>
  </r>
  <r>
    <s v="INV-01714"/>
    <d v="2025-02-22T00:00:00"/>
    <s v="P015"/>
    <s v="Sale"/>
    <n v="-13"/>
    <n v="-13"/>
    <x v="0"/>
    <s v="VoltPro"/>
    <s v="China"/>
    <n v="23"/>
    <n v="38"/>
    <m/>
    <n v="299"/>
    <n v="494"/>
    <n v="0"/>
  </r>
  <r>
    <s v="INV-01598"/>
    <d v="2025-02-22T00:00:00"/>
    <s v="P002"/>
    <s v="Sale"/>
    <n v="-5"/>
    <n v="-5"/>
    <x v="0"/>
    <s v="KeyPro"/>
    <s v="China"/>
    <n v="25"/>
    <n v="42"/>
    <m/>
    <n v="125"/>
    <n v="210"/>
    <n v="0"/>
  </r>
  <r>
    <s v="INV-00075"/>
    <d v="2025-02-23T00:00:00"/>
    <s v="P023"/>
    <s v="Sale"/>
    <n v="-14"/>
    <n v="-14"/>
    <x v="0"/>
    <s v="DeskWorks"/>
    <s v="China"/>
    <n v="8.8000000000000007"/>
    <n v="17"/>
    <m/>
    <n v="123.20000000000002"/>
    <n v="238"/>
    <n v="0"/>
  </r>
  <r>
    <s v="INV-00587"/>
    <d v="2025-02-24T00:00:00"/>
    <s v="P002"/>
    <s v="Sale"/>
    <n v="-11"/>
    <n v="-11"/>
    <x v="1"/>
    <s v="KeyPro"/>
    <s v="China"/>
    <n v="25"/>
    <n v="42"/>
    <m/>
    <n v="275"/>
    <n v="462"/>
    <n v="0"/>
  </r>
  <r>
    <s v="INV-00645"/>
    <d v="2025-02-24T00:00:00"/>
    <s v="P004"/>
    <s v="Sale"/>
    <n v="-5"/>
    <n v="-5"/>
    <x v="0"/>
    <s v="SoundMax"/>
    <s v="Vietnam"/>
    <n v="20"/>
    <n v="35"/>
    <m/>
    <n v="100"/>
    <n v="175"/>
    <n v="0"/>
  </r>
  <r>
    <s v="INV-01069"/>
    <d v="2025-02-25T00:00:00"/>
    <s v="P012"/>
    <s v="Purchase"/>
    <n v="76"/>
    <n v="76"/>
    <x v="0"/>
    <s v="WriteWell"/>
    <s v="France"/>
    <n v="3.4"/>
    <n v="8"/>
    <s v="PO-50761"/>
    <n v="258.39999999999998"/>
    <n v="0"/>
    <n v="258.39999999999998"/>
  </r>
  <r>
    <s v="INV-00005"/>
    <d v="2025-02-25T00:00:00"/>
    <s v="P005"/>
    <s v="Sale"/>
    <n v="-5"/>
    <n v="-5"/>
    <x v="2"/>
    <s v="VisionTech"/>
    <s v="China"/>
    <n v="18.5"/>
    <n v="31"/>
    <m/>
    <n v="92.5"/>
    <n v="155"/>
    <n v="0"/>
  </r>
  <r>
    <s v="INV-00141"/>
    <d v="2025-02-25T00:00:00"/>
    <s v="P029"/>
    <s v="Purchase"/>
    <n v="104"/>
    <n v="104"/>
    <x v="0"/>
    <s v="PackRight"/>
    <s v="Poland"/>
    <n v="4"/>
    <n v="9"/>
    <s v="PO-82887"/>
    <n v="416"/>
    <n v="0"/>
    <n v="416"/>
  </r>
  <r>
    <s v="INV-01718"/>
    <d v="2025-02-25T00:00:00"/>
    <s v="P022"/>
    <s v="Sale"/>
    <n v="-5"/>
    <n v="-5"/>
    <x v="2"/>
    <s v="HydroLife"/>
    <s v="Germany"/>
    <n v="8.5"/>
    <n v="18"/>
    <m/>
    <n v="42.5"/>
    <n v="90"/>
    <n v="0"/>
  </r>
  <r>
    <s v="INV-00798"/>
    <d v="2025-02-25T00:00:00"/>
    <s v="P018"/>
    <s v="Sale"/>
    <n v="-15"/>
    <n v="-15"/>
    <x v="1"/>
    <s v="DataStore"/>
    <s v="South Korea"/>
    <n v="5.2"/>
    <n v="11"/>
    <m/>
    <n v="78"/>
    <n v="165"/>
    <n v="0"/>
  </r>
  <r>
    <s v="INV-00370"/>
    <d v="2025-02-26T00:00:00"/>
    <s v="P002"/>
    <s v="Purchase"/>
    <n v="109"/>
    <n v="109"/>
    <x v="2"/>
    <s v="KeyPro"/>
    <s v="China"/>
    <n v="25"/>
    <n v="42"/>
    <s v="PO-10036"/>
    <n v="2725"/>
    <n v="0"/>
    <n v="2725"/>
  </r>
  <r>
    <s v="INV-00382"/>
    <d v="2025-02-26T00:00:00"/>
    <s v="P022"/>
    <s v="Purchase"/>
    <n v="80"/>
    <n v="80"/>
    <x v="2"/>
    <s v="HydroLife"/>
    <s v="Germany"/>
    <n v="8.5"/>
    <n v="18"/>
    <s v="PO-83601"/>
    <n v="680"/>
    <n v="0"/>
    <n v="680"/>
  </r>
  <r>
    <s v="INV-00828"/>
    <d v="2025-02-26T00:00:00"/>
    <s v="P012"/>
    <s v="Sale"/>
    <n v="-6"/>
    <n v="-6"/>
    <x v="1"/>
    <s v="WriteWell"/>
    <s v="France"/>
    <n v="3.4"/>
    <n v="8"/>
    <m/>
    <n v="20.399999999999999"/>
    <n v="48"/>
    <n v="0"/>
  </r>
  <r>
    <s v="INV-00683"/>
    <d v="2025-02-26T00:00:00"/>
    <s v="P005"/>
    <s v="Adjustment"/>
    <n v="-20"/>
    <n v="-20"/>
    <x v="0"/>
    <s v="VisionTech"/>
    <s v="China"/>
    <n v="18.5"/>
    <n v="31"/>
    <m/>
    <n v="370"/>
    <n v="0"/>
    <n v="0"/>
  </r>
  <r>
    <s v="INV-01415"/>
    <d v="2025-02-26T00:00:00"/>
    <s v="P017"/>
    <s v="Purchase"/>
    <n v="106"/>
    <n v="106"/>
    <x v="0"/>
    <s v="SoundMax"/>
    <s v="Vietnam"/>
    <n v="34"/>
    <n v="55"/>
    <s v="PO-90983"/>
    <n v="3604"/>
    <n v="0"/>
    <n v="3604"/>
  </r>
  <r>
    <s v="INV-00633"/>
    <d v="2025-02-26T00:00:00"/>
    <s v="P016"/>
    <s v="Adjustment"/>
    <n v="-15"/>
    <n v="-15"/>
    <x v="0"/>
    <s v="ConnectX"/>
    <s v="China"/>
    <n v="4.2"/>
    <n v="10"/>
    <m/>
    <n v="63"/>
    <n v="0"/>
    <n v="0"/>
  </r>
  <r>
    <s v="INV-00419"/>
    <d v="2025-02-26T00:00:00"/>
    <s v="P022"/>
    <s v="Sale"/>
    <n v="-3"/>
    <n v="-3"/>
    <x v="1"/>
    <s v="HydroLife"/>
    <s v="Germany"/>
    <n v="8.5"/>
    <n v="18"/>
    <m/>
    <n v="25.5"/>
    <n v="54"/>
    <n v="0"/>
  </r>
  <r>
    <s v="INV-00972"/>
    <d v="2025-02-27T00:00:00"/>
    <s v="P029"/>
    <s v="Purchase"/>
    <n v="88"/>
    <n v="88"/>
    <x v="2"/>
    <s v="PackRight"/>
    <s v="Poland"/>
    <n v="4"/>
    <n v="9"/>
    <s v="PO-21244"/>
    <n v="352"/>
    <n v="0"/>
    <n v="352"/>
  </r>
  <r>
    <s v="INV-01353"/>
    <d v="2025-02-27T00:00:00"/>
    <s v="P015"/>
    <s v="Sale"/>
    <n v="-3"/>
    <n v="-3"/>
    <x v="1"/>
    <s v="VoltPro"/>
    <s v="China"/>
    <n v="23"/>
    <n v="38"/>
    <m/>
    <n v="69"/>
    <n v="114"/>
    <n v="0"/>
  </r>
  <r>
    <s v="INV-00606"/>
    <d v="2025-02-27T00:00:00"/>
    <s v="P016"/>
    <s v="Sale"/>
    <n v="-6"/>
    <n v="-6"/>
    <x v="0"/>
    <s v="ConnectX"/>
    <s v="China"/>
    <n v="4.2"/>
    <n v="10"/>
    <m/>
    <n v="25.200000000000003"/>
    <n v="60"/>
    <n v="0"/>
  </r>
  <r>
    <s v="INV-01184"/>
    <d v="2025-02-27T00:00:00"/>
    <s v="P029"/>
    <s v="Sale"/>
    <n v="-10"/>
    <n v="-10"/>
    <x v="1"/>
    <s v="PackRight"/>
    <s v="Poland"/>
    <n v="4"/>
    <n v="9"/>
    <m/>
    <n v="40"/>
    <n v="90"/>
    <n v="0"/>
  </r>
  <r>
    <s v="INV-01003"/>
    <d v="2025-02-27T00:00:00"/>
    <s v="P028"/>
    <s v="Adjustment"/>
    <n v="-20"/>
    <n v="-20"/>
    <x v="2"/>
    <s v="PackRight"/>
    <s v="Poland"/>
    <n v="3"/>
    <n v="7"/>
    <m/>
    <n v="60"/>
    <n v="0"/>
    <n v="0"/>
  </r>
  <r>
    <s v="INV-00100"/>
    <d v="2025-02-27T00:00:00"/>
    <s v="P003"/>
    <s v="Sale"/>
    <n v="-7"/>
    <n v="-7"/>
    <x v="1"/>
    <s v="ConnectX"/>
    <s v="China"/>
    <n v="16.5"/>
    <n v="28"/>
    <m/>
    <n v="115.5"/>
    <n v="196"/>
    <n v="0"/>
  </r>
  <r>
    <s v="INV-01615"/>
    <d v="2025-02-27T00:00:00"/>
    <s v="P011"/>
    <s v="Sale"/>
    <n v="-7"/>
    <n v="-7"/>
    <x v="0"/>
    <s v="PaperMate"/>
    <s v="Germany"/>
    <n v="2.6"/>
    <n v="5.5"/>
    <m/>
    <n v="18.2"/>
    <n v="38.5"/>
    <n v="0"/>
  </r>
  <r>
    <s v="INV-01103"/>
    <d v="2025-02-28T00:00:00"/>
    <s v="P028"/>
    <s v="Purchase"/>
    <n v="60"/>
    <n v="60"/>
    <x v="0"/>
    <s v="PackRight"/>
    <s v="Poland"/>
    <n v="3"/>
    <n v="7"/>
    <s v="PO-50318"/>
    <n v="180"/>
    <n v="0"/>
    <n v="180"/>
  </r>
  <r>
    <s v="INV-00533"/>
    <d v="2025-02-28T00:00:00"/>
    <s v="P030"/>
    <s v="Sale"/>
    <n v="-13"/>
    <n v="-13"/>
    <x v="0"/>
    <s v="StoreMax"/>
    <s v="Germany"/>
    <n v="11"/>
    <n v="22"/>
    <m/>
    <n v="143"/>
    <n v="286"/>
    <n v="0"/>
  </r>
  <r>
    <s v="INV-01503"/>
    <d v="2025-02-28T00:00:00"/>
    <s v="P001"/>
    <s v="Sale"/>
    <n v="-7"/>
    <n v="-7"/>
    <x v="2"/>
    <s v="TechGear"/>
    <s v="China"/>
    <n v="7.2"/>
    <n v="12.5"/>
    <m/>
    <n v="50.4"/>
    <n v="87.5"/>
    <n v="0"/>
  </r>
  <r>
    <s v="INV-01404"/>
    <d v="2025-03-01T00:00:00"/>
    <s v="P024"/>
    <s v="Sale"/>
    <n v="-5"/>
    <n v="-5"/>
    <x v="2"/>
    <s v="CalcPlus"/>
    <s v="China"/>
    <n v="6"/>
    <n v="14"/>
    <m/>
    <n v="30"/>
    <n v="70"/>
    <n v="0"/>
  </r>
  <r>
    <s v="INV-00074"/>
    <d v="2025-03-02T00:00:00"/>
    <s v="P025"/>
    <s v="Sale"/>
    <n v="-1"/>
    <n v="-1"/>
    <x v="0"/>
    <s v="PaperMate"/>
    <s v="Germany"/>
    <n v="5.5"/>
    <n v="12"/>
    <m/>
    <n v="5.5"/>
    <n v="12"/>
    <n v="0"/>
  </r>
  <r>
    <s v="INV-01771"/>
    <d v="2025-03-03T00:00:00"/>
    <s v="P015"/>
    <s v="Purchase"/>
    <n v="82"/>
    <n v="82"/>
    <x v="0"/>
    <s v="VoltPro"/>
    <s v="China"/>
    <n v="23"/>
    <n v="38"/>
    <s v="PO-90146"/>
    <n v="1886"/>
    <n v="0"/>
    <n v="1886"/>
  </r>
  <r>
    <s v="INV-00575"/>
    <d v="2025-03-03T00:00:00"/>
    <s v="P028"/>
    <s v="Sale"/>
    <n v="-6"/>
    <n v="-6"/>
    <x v="0"/>
    <s v="PackRight"/>
    <s v="Poland"/>
    <n v="3"/>
    <n v="7"/>
    <m/>
    <n v="18"/>
    <n v="42"/>
    <n v="0"/>
  </r>
  <r>
    <s v="INV-01169"/>
    <d v="2025-03-03T00:00:00"/>
    <s v="P001"/>
    <s v="Adjustment"/>
    <n v="-13"/>
    <n v="-13"/>
    <x v="0"/>
    <s v="TechGear"/>
    <s v="China"/>
    <n v="7.2"/>
    <n v="12.5"/>
    <m/>
    <n v="93.600000000000009"/>
    <n v="0"/>
    <n v="0"/>
  </r>
  <r>
    <s v="INV-01143"/>
    <d v="2025-03-03T00:00:00"/>
    <s v="P022"/>
    <s v="Purchase"/>
    <n v="66"/>
    <n v="66"/>
    <x v="0"/>
    <s v="HydroLife"/>
    <s v="Germany"/>
    <n v="8.5"/>
    <n v="18"/>
    <s v="PO-13065"/>
    <n v="561"/>
    <n v="0"/>
    <n v="561"/>
  </r>
  <r>
    <s v="INV-01588"/>
    <d v="2025-03-04T00:00:00"/>
    <s v="P013"/>
    <s v="Sale"/>
    <n v="-13"/>
    <n v="-13"/>
    <x v="2"/>
    <s v="DeskWorks"/>
    <s v="China"/>
    <n v="8"/>
    <n v="15"/>
    <m/>
    <n v="104"/>
    <n v="195"/>
    <n v="0"/>
  </r>
  <r>
    <s v="INV-00511"/>
    <d v="2025-03-04T00:00:00"/>
    <s v="P020"/>
    <s v="Sale"/>
    <n v="-8"/>
    <n v="-8"/>
    <x v="1"/>
    <s v="PrintTech"/>
    <s v="Japan"/>
    <n v="30"/>
    <n v="48"/>
    <m/>
    <n v="240"/>
    <n v="384"/>
    <n v="0"/>
  </r>
  <r>
    <s v="INV-00899"/>
    <d v="2025-03-05T00:00:00"/>
    <s v="P001"/>
    <s v="Sale"/>
    <n v="-2"/>
    <n v="-2"/>
    <x v="0"/>
    <s v="TechGear"/>
    <s v="China"/>
    <n v="7.2"/>
    <n v="12.5"/>
    <m/>
    <n v="14.4"/>
    <n v="25"/>
    <n v="0"/>
  </r>
  <r>
    <s v="INV-01302"/>
    <d v="2025-03-05T00:00:00"/>
    <s v="P029"/>
    <s v="Sale"/>
    <n v="-1"/>
    <n v="-1"/>
    <x v="2"/>
    <s v="PackRight"/>
    <s v="Poland"/>
    <n v="4"/>
    <n v="9"/>
    <m/>
    <n v="4"/>
    <n v="9"/>
    <n v="0"/>
  </r>
  <r>
    <s v="INV-00077"/>
    <d v="2025-03-06T00:00:00"/>
    <s v="P024"/>
    <s v="Sale"/>
    <n v="-13"/>
    <n v="-13"/>
    <x v="0"/>
    <s v="CalcPlus"/>
    <s v="China"/>
    <n v="6"/>
    <n v="14"/>
    <m/>
    <n v="78"/>
    <n v="182"/>
    <n v="0"/>
  </r>
  <r>
    <s v="INV-00038"/>
    <d v="2025-03-06T00:00:00"/>
    <s v="P003"/>
    <s v="Purchase"/>
    <n v="61"/>
    <n v="61"/>
    <x v="2"/>
    <s v="ConnectX"/>
    <s v="China"/>
    <n v="16.5"/>
    <n v="28"/>
    <s v="PO-69900"/>
    <n v="1006.5"/>
    <n v="0"/>
    <n v="1006.5"/>
  </r>
  <r>
    <s v="INV-01699"/>
    <d v="2025-03-06T00:00:00"/>
    <s v="P029"/>
    <s v="Purchase"/>
    <n v="25"/>
    <n v="25"/>
    <x v="0"/>
    <s v="PackRight"/>
    <s v="Poland"/>
    <n v="4"/>
    <n v="9"/>
    <s v="PO-14791"/>
    <n v="100"/>
    <n v="0"/>
    <n v="100"/>
  </r>
  <r>
    <s v="INV-00841"/>
    <d v="2025-03-07T00:00:00"/>
    <s v="P001"/>
    <s v="Purchase"/>
    <n v="43"/>
    <n v="43"/>
    <x v="1"/>
    <s v="TechGear"/>
    <s v="China"/>
    <n v="7.2"/>
    <n v="12.5"/>
    <s v="PO-28812"/>
    <n v="309.60000000000002"/>
    <n v="0"/>
    <n v="309.60000000000002"/>
  </r>
  <r>
    <s v="INV-00910"/>
    <d v="2025-03-07T00:00:00"/>
    <s v="P012"/>
    <s v="Purchase"/>
    <n v="36"/>
    <n v="36"/>
    <x v="2"/>
    <s v="WriteWell"/>
    <s v="France"/>
    <n v="3.4"/>
    <n v="8"/>
    <s v="PO-56733"/>
    <n v="122.39999999999999"/>
    <n v="0"/>
    <n v="122.39999999999999"/>
  </r>
  <r>
    <s v="INV-01449"/>
    <d v="2025-03-07T00:00:00"/>
    <s v="P029"/>
    <s v="Sale"/>
    <n v="-9"/>
    <n v="-9"/>
    <x v="0"/>
    <s v="PackRight"/>
    <s v="Poland"/>
    <n v="4"/>
    <n v="9"/>
    <m/>
    <n v="36"/>
    <n v="81"/>
    <n v="0"/>
  </r>
  <r>
    <s v="INV-01089"/>
    <d v="2025-03-07T00:00:00"/>
    <s v="P030"/>
    <s v="Sale"/>
    <n v="-9"/>
    <n v="-9"/>
    <x v="2"/>
    <s v="StoreMax"/>
    <s v="Germany"/>
    <n v="11"/>
    <n v="22"/>
    <m/>
    <n v="99"/>
    <n v="198"/>
    <n v="0"/>
  </r>
  <r>
    <s v="INV-00809"/>
    <d v="2025-03-07T00:00:00"/>
    <s v="P015"/>
    <s v="Sale"/>
    <n v="-10"/>
    <n v="-10"/>
    <x v="1"/>
    <s v="VoltPro"/>
    <s v="China"/>
    <n v="23"/>
    <n v="38"/>
    <m/>
    <n v="230"/>
    <n v="380"/>
    <n v="0"/>
  </r>
  <r>
    <s v="INV-01541"/>
    <d v="2025-03-08T00:00:00"/>
    <s v="P023"/>
    <s v="Sale"/>
    <n v="-2"/>
    <n v="-2"/>
    <x v="2"/>
    <s v="DeskWorks"/>
    <s v="China"/>
    <n v="8.8000000000000007"/>
    <n v="17"/>
    <m/>
    <n v="17.600000000000001"/>
    <n v="34"/>
    <n v="0"/>
  </r>
  <r>
    <s v="INV-01009"/>
    <d v="2025-03-08T00:00:00"/>
    <s v="P008"/>
    <s v="Sale"/>
    <n v="-15"/>
    <n v="-15"/>
    <x v="0"/>
    <s v="BrightHome"/>
    <s v="China"/>
    <n v="13.5"/>
    <n v="24"/>
    <m/>
    <n v="202.5"/>
    <n v="360"/>
    <n v="0"/>
  </r>
  <r>
    <s v="INV-00738"/>
    <d v="2025-03-09T00:00:00"/>
    <s v="P025"/>
    <s v="Purchase"/>
    <n v="58"/>
    <n v="58"/>
    <x v="0"/>
    <s v="PaperMate"/>
    <s v="Germany"/>
    <n v="5.5"/>
    <n v="12"/>
    <s v="PO-94390"/>
    <n v="319"/>
    <n v="0"/>
    <n v="319"/>
  </r>
  <r>
    <s v="INV-00246"/>
    <d v="2025-03-09T00:00:00"/>
    <s v="P029"/>
    <s v="Sale"/>
    <n v="-15"/>
    <n v="-15"/>
    <x v="0"/>
    <s v="PackRight"/>
    <s v="Poland"/>
    <n v="4"/>
    <n v="9"/>
    <m/>
    <n v="60"/>
    <n v="135"/>
    <n v="0"/>
  </r>
  <r>
    <s v="INV-00025"/>
    <d v="2025-03-09T00:00:00"/>
    <s v="P015"/>
    <s v="Sale"/>
    <n v="-15"/>
    <n v="-15"/>
    <x v="0"/>
    <s v="VoltPro"/>
    <s v="China"/>
    <n v="23"/>
    <n v="38"/>
    <m/>
    <n v="345"/>
    <n v="570"/>
    <n v="0"/>
  </r>
  <r>
    <s v="INV-01082"/>
    <d v="2025-03-09T00:00:00"/>
    <s v="P003"/>
    <s v="Sale"/>
    <n v="-14"/>
    <n v="-14"/>
    <x v="0"/>
    <s v="ConnectX"/>
    <s v="China"/>
    <n v="16.5"/>
    <n v="28"/>
    <m/>
    <n v="231"/>
    <n v="392"/>
    <n v="0"/>
  </r>
  <r>
    <s v="INV-00469"/>
    <d v="2025-03-09T00:00:00"/>
    <s v="P007"/>
    <s v="Purchase"/>
    <n v="50"/>
    <n v="50"/>
    <x v="0"/>
    <s v="DeskWorks"/>
    <s v="China"/>
    <n v="16"/>
    <n v="29"/>
    <s v="PO-94787"/>
    <n v="800"/>
    <n v="0"/>
    <n v="800"/>
  </r>
  <r>
    <s v="INV-00605"/>
    <d v="2025-03-10T00:00:00"/>
    <s v="P004"/>
    <s v="Sale"/>
    <n v="-7"/>
    <n v="-7"/>
    <x v="1"/>
    <s v="SoundMax"/>
    <s v="Vietnam"/>
    <n v="20"/>
    <n v="35"/>
    <m/>
    <n v="140"/>
    <n v="245"/>
    <n v="0"/>
  </r>
  <r>
    <s v="INV-01529"/>
    <d v="2025-03-10T00:00:00"/>
    <s v="P025"/>
    <s v="Purchase"/>
    <n v="44"/>
    <n v="44"/>
    <x v="2"/>
    <s v="PaperMate"/>
    <s v="Germany"/>
    <n v="5.5"/>
    <n v="12"/>
    <s v="PO-89400"/>
    <n v="242"/>
    <n v="0"/>
    <n v="242"/>
  </r>
  <r>
    <s v="INV-00115"/>
    <d v="2025-03-10T00:00:00"/>
    <s v="P021"/>
    <s v="Sale"/>
    <n v="-15"/>
    <n v="-15"/>
    <x v="2"/>
    <s v="TravelPro"/>
    <s v="Vietnam"/>
    <n v="25"/>
    <n v="45"/>
    <m/>
    <n v="375"/>
    <n v="675"/>
    <n v="0"/>
  </r>
  <r>
    <s v="INV-00521"/>
    <d v="2025-03-10T00:00:00"/>
    <s v="P019"/>
    <s v="Return"/>
    <n v="4"/>
    <n v="4"/>
    <x v="0"/>
    <s v="PrintTech"/>
    <s v="Japan"/>
    <n v="145"/>
    <n v="210"/>
    <m/>
    <n v="580"/>
    <n v="0"/>
    <n v="0"/>
  </r>
  <r>
    <s v="INV-00289"/>
    <d v="2025-03-10T00:00:00"/>
    <s v="P010"/>
    <s v="Sale"/>
    <n v="-4"/>
    <n v="-4"/>
    <x v="0"/>
    <s v="ErgoSpace"/>
    <s v="Germany"/>
    <n v="220"/>
    <n v="320"/>
    <m/>
    <n v="880"/>
    <n v="1280"/>
    <n v="0"/>
  </r>
  <r>
    <s v="INV-01375"/>
    <d v="2025-03-10T00:00:00"/>
    <s v="P008"/>
    <s v="Purchase"/>
    <n v="38"/>
    <n v="38"/>
    <x v="1"/>
    <s v="BrightHome"/>
    <s v="China"/>
    <n v="13.5"/>
    <n v="24"/>
    <s v="PO-69945"/>
    <n v="513"/>
    <n v="0"/>
    <n v="513"/>
  </r>
  <r>
    <s v="INV-01124"/>
    <d v="2025-03-10T00:00:00"/>
    <s v="P025"/>
    <s v="Purchase"/>
    <n v="113"/>
    <n v="113"/>
    <x v="0"/>
    <s v="PaperMate"/>
    <s v="Germany"/>
    <n v="5.5"/>
    <n v="12"/>
    <s v="PO-33482"/>
    <n v="621.5"/>
    <n v="0"/>
    <n v="621.5"/>
  </r>
  <r>
    <s v="INV-01338"/>
    <d v="2025-03-10T00:00:00"/>
    <s v="P022"/>
    <s v="Sale"/>
    <n v="-9"/>
    <n v="-9"/>
    <x v="0"/>
    <s v="HydroLife"/>
    <s v="Germany"/>
    <n v="8.5"/>
    <n v="18"/>
    <m/>
    <n v="76.5"/>
    <n v="162"/>
    <n v="0"/>
  </r>
  <r>
    <s v="INV-01334"/>
    <d v="2025-03-10T00:00:00"/>
    <s v="P030"/>
    <s v="Sale"/>
    <n v="-2"/>
    <n v="-2"/>
    <x v="0"/>
    <s v="StoreMax"/>
    <s v="Germany"/>
    <n v="11"/>
    <n v="22"/>
    <m/>
    <n v="22"/>
    <n v="44"/>
    <n v="0"/>
  </r>
  <r>
    <s v="INV-01249"/>
    <d v="2025-03-11T00:00:00"/>
    <s v="P029"/>
    <s v="Sale"/>
    <n v="-7"/>
    <n v="-7"/>
    <x v="2"/>
    <s v="PackRight"/>
    <s v="Poland"/>
    <n v="4"/>
    <n v="9"/>
    <m/>
    <n v="28"/>
    <n v="63"/>
    <n v="0"/>
  </r>
  <r>
    <s v="INV-00369"/>
    <d v="2025-03-11T00:00:00"/>
    <s v="P007"/>
    <s v="Sale"/>
    <n v="-6"/>
    <n v="-6"/>
    <x v="0"/>
    <s v="DeskWorks"/>
    <s v="China"/>
    <n v="16"/>
    <n v="29"/>
    <m/>
    <n v="96"/>
    <n v="174"/>
    <n v="0"/>
  </r>
  <r>
    <s v="INV-00842"/>
    <d v="2025-03-11T00:00:00"/>
    <s v="P022"/>
    <s v="Purchase"/>
    <n v="40"/>
    <n v="40"/>
    <x v="2"/>
    <s v="HydroLife"/>
    <s v="Germany"/>
    <n v="8.5"/>
    <n v="18"/>
    <s v="PO-65309"/>
    <n v="340"/>
    <n v="0"/>
    <n v="340"/>
  </r>
  <r>
    <s v="INV-00852"/>
    <d v="2025-03-11T00:00:00"/>
    <s v="P024"/>
    <s v="Sale"/>
    <n v="-12"/>
    <n v="-12"/>
    <x v="0"/>
    <s v="CalcPlus"/>
    <s v="China"/>
    <n v="6"/>
    <n v="14"/>
    <m/>
    <n v="72"/>
    <n v="168"/>
    <n v="0"/>
  </r>
  <r>
    <s v="INV-00018"/>
    <d v="2025-03-12T00:00:00"/>
    <s v="P017"/>
    <s v="Sale"/>
    <n v="-3"/>
    <n v="-3"/>
    <x v="0"/>
    <s v="SoundMax"/>
    <s v="Vietnam"/>
    <n v="34"/>
    <n v="55"/>
    <m/>
    <n v="102"/>
    <n v="165"/>
    <n v="0"/>
  </r>
  <r>
    <s v="INV-00620"/>
    <d v="2025-03-12T00:00:00"/>
    <s v="P024"/>
    <s v="Sale"/>
    <n v="-14"/>
    <n v="-14"/>
    <x v="0"/>
    <s v="CalcPlus"/>
    <s v="China"/>
    <n v="6"/>
    <n v="14"/>
    <m/>
    <n v="84"/>
    <n v="196"/>
    <n v="0"/>
  </r>
  <r>
    <s v="INV-01190"/>
    <d v="2025-03-12T00:00:00"/>
    <s v="P023"/>
    <s v="Sale"/>
    <n v="-9"/>
    <n v="-9"/>
    <x v="2"/>
    <s v="DeskWorks"/>
    <s v="China"/>
    <n v="8.8000000000000007"/>
    <n v="17"/>
    <m/>
    <n v="79.2"/>
    <n v="153"/>
    <n v="0"/>
  </r>
  <r>
    <s v="INV-00282"/>
    <d v="2025-03-12T00:00:00"/>
    <s v="P011"/>
    <s v="Purchase"/>
    <n v="107"/>
    <n v="107"/>
    <x v="0"/>
    <s v="PaperMate"/>
    <s v="Germany"/>
    <n v="2.6"/>
    <n v="5.5"/>
    <s v="PO-78232"/>
    <n v="278.2"/>
    <n v="0"/>
    <n v="278.2"/>
  </r>
  <r>
    <s v="INV-00235"/>
    <d v="2025-03-12T00:00:00"/>
    <s v="P007"/>
    <s v="Sale"/>
    <n v="-3"/>
    <n v="-3"/>
    <x v="2"/>
    <s v="DeskWorks"/>
    <s v="China"/>
    <n v="16"/>
    <n v="29"/>
    <m/>
    <n v="48"/>
    <n v="87"/>
    <n v="0"/>
  </r>
  <r>
    <s v="INV-00491"/>
    <d v="2025-03-12T00:00:00"/>
    <s v="P015"/>
    <s v="Sale"/>
    <n v="-14"/>
    <n v="-14"/>
    <x v="2"/>
    <s v="VoltPro"/>
    <s v="China"/>
    <n v="23"/>
    <n v="38"/>
    <m/>
    <n v="322"/>
    <n v="532"/>
    <n v="0"/>
  </r>
  <r>
    <s v="INV-01230"/>
    <d v="2025-03-13T00:00:00"/>
    <s v="P013"/>
    <s v="Sale"/>
    <n v="-6"/>
    <n v="-6"/>
    <x v="0"/>
    <s v="DeskWorks"/>
    <s v="China"/>
    <n v="8"/>
    <n v="15"/>
    <m/>
    <n v="48"/>
    <n v="90"/>
    <n v="0"/>
  </r>
  <r>
    <s v="INV-01246"/>
    <d v="2025-03-13T00:00:00"/>
    <s v="P020"/>
    <s v="Sale"/>
    <n v="-13"/>
    <n v="-13"/>
    <x v="2"/>
    <s v="PrintTech"/>
    <s v="Japan"/>
    <n v="30"/>
    <n v="48"/>
    <m/>
    <n v="390"/>
    <n v="624"/>
    <n v="0"/>
  </r>
  <r>
    <s v="INV-01425"/>
    <d v="2025-03-14T00:00:00"/>
    <s v="P030"/>
    <s v="Purchase"/>
    <n v="74"/>
    <n v="74"/>
    <x v="1"/>
    <s v="StoreMax"/>
    <s v="Germany"/>
    <n v="11"/>
    <n v="22"/>
    <s v="PO-33446"/>
    <n v="814"/>
    <n v="0"/>
    <n v="814"/>
  </r>
  <r>
    <s v="INV-00993"/>
    <d v="2025-03-14T00:00:00"/>
    <s v="P009"/>
    <s v="Sale"/>
    <n v="-4"/>
    <n v="-4"/>
    <x v="2"/>
    <s v="ComfortPro"/>
    <s v="Poland"/>
    <n v="105"/>
    <n v="165"/>
    <m/>
    <n v="420"/>
    <n v="660"/>
    <n v="0"/>
  </r>
  <r>
    <s v="INV-01005"/>
    <d v="2025-03-14T00:00:00"/>
    <s v="P025"/>
    <s v="Sale"/>
    <n v="-7"/>
    <n v="-7"/>
    <x v="0"/>
    <s v="PaperMate"/>
    <s v="Germany"/>
    <n v="5.5"/>
    <n v="12"/>
    <m/>
    <n v="38.5"/>
    <n v="84"/>
    <n v="0"/>
  </r>
  <r>
    <s v="INV-00189"/>
    <d v="2025-03-14T00:00:00"/>
    <s v="P017"/>
    <s v="Sale"/>
    <n v="-4"/>
    <n v="-4"/>
    <x v="2"/>
    <s v="SoundMax"/>
    <s v="Vietnam"/>
    <n v="34"/>
    <n v="55"/>
    <m/>
    <n v="136"/>
    <n v="220"/>
    <n v="0"/>
  </r>
  <r>
    <s v="INV-01097"/>
    <d v="2025-03-14T00:00:00"/>
    <s v="P007"/>
    <s v="Sale"/>
    <n v="-9"/>
    <n v="-9"/>
    <x v="2"/>
    <s v="DeskWorks"/>
    <s v="China"/>
    <n v="16"/>
    <n v="29"/>
    <m/>
    <n v="144"/>
    <n v="261"/>
    <n v="0"/>
  </r>
  <r>
    <s v="INV-01629"/>
    <d v="2025-03-15T00:00:00"/>
    <s v="P003"/>
    <s v="Sale"/>
    <n v="-15"/>
    <n v="-15"/>
    <x v="0"/>
    <s v="ConnectX"/>
    <s v="China"/>
    <n v="16.5"/>
    <n v="28"/>
    <m/>
    <n v="247.5"/>
    <n v="420"/>
    <n v="0"/>
  </r>
  <r>
    <s v="INV-00139"/>
    <d v="2025-03-15T00:00:00"/>
    <s v="P012"/>
    <s v="Sale"/>
    <n v="-10"/>
    <n v="-10"/>
    <x v="0"/>
    <s v="WriteWell"/>
    <s v="France"/>
    <n v="3.4"/>
    <n v="8"/>
    <m/>
    <n v="34"/>
    <n v="80"/>
    <n v="0"/>
  </r>
  <r>
    <s v="INV-00774"/>
    <d v="2025-03-15T00:00:00"/>
    <s v="P013"/>
    <s v="Sale"/>
    <n v="-12"/>
    <n v="-12"/>
    <x v="0"/>
    <s v="DeskWorks"/>
    <s v="China"/>
    <n v="8"/>
    <n v="15"/>
    <m/>
    <n v="96"/>
    <n v="180"/>
    <n v="0"/>
  </r>
  <r>
    <s v="INV-01122"/>
    <d v="2025-03-15T00:00:00"/>
    <s v="P029"/>
    <s v="Sale"/>
    <n v="-1"/>
    <n v="-1"/>
    <x v="0"/>
    <s v="PackRight"/>
    <s v="Poland"/>
    <n v="4"/>
    <n v="9"/>
    <m/>
    <n v="4"/>
    <n v="9"/>
    <n v="0"/>
  </r>
  <r>
    <s v="INV-00159"/>
    <d v="2025-03-15T00:00:00"/>
    <s v="P008"/>
    <s v="Sale"/>
    <n v="-8"/>
    <n v="-8"/>
    <x v="2"/>
    <s v="BrightHome"/>
    <s v="China"/>
    <n v="13.5"/>
    <n v="24"/>
    <m/>
    <n v="108"/>
    <n v="192"/>
    <n v="0"/>
  </r>
  <r>
    <s v="INV-01517"/>
    <d v="2025-03-16T00:00:00"/>
    <s v="P021"/>
    <s v="Sale"/>
    <n v="-4"/>
    <n v="-4"/>
    <x v="0"/>
    <s v="TravelPro"/>
    <s v="Vietnam"/>
    <n v="25"/>
    <n v="45"/>
    <m/>
    <n v="100"/>
    <n v="180"/>
    <n v="0"/>
  </r>
  <r>
    <s v="INV-00486"/>
    <d v="2025-03-16T00:00:00"/>
    <s v="P028"/>
    <s v="Purchase"/>
    <n v="88"/>
    <n v="88"/>
    <x v="1"/>
    <s v="PackRight"/>
    <s v="Poland"/>
    <n v="3"/>
    <n v="7"/>
    <s v="PO-97412"/>
    <n v="264"/>
    <n v="0"/>
    <n v="264"/>
  </r>
  <r>
    <s v="INV-01047"/>
    <d v="2025-03-16T00:00:00"/>
    <s v="P008"/>
    <s v="Sale"/>
    <n v="-8"/>
    <n v="-8"/>
    <x v="0"/>
    <s v="BrightHome"/>
    <s v="China"/>
    <n v="13.5"/>
    <n v="24"/>
    <m/>
    <n v="108"/>
    <n v="192"/>
    <n v="0"/>
  </r>
  <r>
    <s v="INV-01141"/>
    <d v="2025-03-16T00:00:00"/>
    <s v="P026"/>
    <s v="Purchase"/>
    <n v="48"/>
    <n v="48"/>
    <x v="1"/>
    <s v="ScanPro"/>
    <s v="China"/>
    <n v="78"/>
    <n v="125"/>
    <s v="PO-40048"/>
    <n v="3744"/>
    <n v="0"/>
    <n v="3744"/>
  </r>
  <r>
    <s v="INV-01328"/>
    <d v="2025-03-17T00:00:00"/>
    <s v="P025"/>
    <s v="Purchase"/>
    <n v="44"/>
    <n v="44"/>
    <x v="0"/>
    <s v="PaperMate"/>
    <s v="Germany"/>
    <n v="5.5"/>
    <n v="12"/>
    <s v="PO-20265"/>
    <n v="242"/>
    <n v="0"/>
    <n v="242"/>
  </r>
  <r>
    <s v="INV-00697"/>
    <d v="2025-03-17T00:00:00"/>
    <s v="P010"/>
    <s v="Sale"/>
    <n v="-4"/>
    <n v="-4"/>
    <x v="1"/>
    <s v="ErgoSpace"/>
    <s v="Germany"/>
    <n v="220"/>
    <n v="320"/>
    <m/>
    <n v="880"/>
    <n v="1280"/>
    <n v="0"/>
  </r>
  <r>
    <s v="INV-00933"/>
    <d v="2025-03-17T00:00:00"/>
    <s v="P030"/>
    <s v="Purchase"/>
    <n v="110"/>
    <n v="110"/>
    <x v="0"/>
    <s v="StoreMax"/>
    <s v="Germany"/>
    <n v="11"/>
    <n v="22"/>
    <s v="PO-89876"/>
    <n v="1210"/>
    <n v="0"/>
    <n v="1210"/>
  </r>
  <r>
    <s v="INV-00600"/>
    <d v="2025-03-19T00:00:00"/>
    <s v="P001"/>
    <s v="Sale"/>
    <n v="-10"/>
    <n v="-10"/>
    <x v="0"/>
    <s v="TechGear"/>
    <s v="China"/>
    <n v="7.2"/>
    <n v="12.5"/>
    <m/>
    <n v="72"/>
    <n v="125"/>
    <n v="0"/>
  </r>
  <r>
    <s v="INV-00768"/>
    <d v="2025-03-19T00:00:00"/>
    <s v="P028"/>
    <s v="Purchase"/>
    <n v="94"/>
    <n v="94"/>
    <x v="0"/>
    <s v="PackRight"/>
    <s v="Poland"/>
    <n v="3"/>
    <n v="7"/>
    <s v="PO-20411"/>
    <n v="282"/>
    <n v="0"/>
    <n v="282"/>
  </r>
  <r>
    <s v="INV-00267"/>
    <d v="2025-03-19T00:00:00"/>
    <s v="P022"/>
    <s v="Purchase"/>
    <n v="68"/>
    <n v="68"/>
    <x v="0"/>
    <s v="HydroLife"/>
    <s v="Germany"/>
    <n v="8.5"/>
    <n v="18"/>
    <s v="PO-19244"/>
    <n v="578"/>
    <n v="0"/>
    <n v="578"/>
  </r>
  <r>
    <s v="INV-01262"/>
    <d v="2025-03-20T00:00:00"/>
    <s v="P025"/>
    <s v="Purchase"/>
    <n v="102"/>
    <n v="102"/>
    <x v="1"/>
    <s v="PaperMate"/>
    <s v="Germany"/>
    <n v="5.5"/>
    <n v="12"/>
    <s v="PO-76320"/>
    <n v="561"/>
    <n v="0"/>
    <n v="561"/>
  </r>
  <r>
    <s v="INV-00255"/>
    <d v="2025-03-20T00:00:00"/>
    <s v="P005"/>
    <s v="Sale"/>
    <n v="-7"/>
    <n v="-7"/>
    <x v="1"/>
    <s v="VisionTech"/>
    <s v="China"/>
    <n v="18.5"/>
    <n v="31"/>
    <m/>
    <n v="129.5"/>
    <n v="217"/>
    <n v="0"/>
  </r>
  <r>
    <s v="INV-01686"/>
    <d v="2025-03-20T00:00:00"/>
    <s v="P028"/>
    <s v="Sale"/>
    <n v="-15"/>
    <n v="-15"/>
    <x v="2"/>
    <s v="PackRight"/>
    <s v="Poland"/>
    <n v="3"/>
    <n v="7"/>
    <m/>
    <n v="45"/>
    <n v="105"/>
    <n v="0"/>
  </r>
  <r>
    <s v="INV-01410"/>
    <d v="2025-03-20T00:00:00"/>
    <s v="P028"/>
    <s v="Sale"/>
    <n v="-8"/>
    <n v="-8"/>
    <x v="2"/>
    <s v="PackRight"/>
    <s v="Poland"/>
    <n v="3"/>
    <n v="7"/>
    <m/>
    <n v="24"/>
    <n v="56"/>
    <n v="0"/>
  </r>
  <r>
    <s v="INV-00015"/>
    <d v="2025-03-20T00:00:00"/>
    <s v="P006"/>
    <s v="Purchase"/>
    <n v="91"/>
    <n v="91"/>
    <x v="0"/>
    <s v="ViewPlus"/>
    <s v="South Korea"/>
    <n v="130"/>
    <n v="185"/>
    <s v="PO-66697"/>
    <n v="11830"/>
    <n v="0"/>
    <n v="11830"/>
  </r>
  <r>
    <s v="INV-00200"/>
    <d v="2025-03-20T00:00:00"/>
    <s v="P025"/>
    <s v="Purchase"/>
    <n v="67"/>
    <n v="67"/>
    <x v="2"/>
    <s v="PaperMate"/>
    <s v="Germany"/>
    <n v="5.5"/>
    <n v="12"/>
    <s v="PO-70839"/>
    <n v="368.5"/>
    <n v="0"/>
    <n v="368.5"/>
  </r>
  <r>
    <s v="INV-00119"/>
    <d v="2025-03-20T00:00:00"/>
    <s v="P028"/>
    <s v="Sale"/>
    <n v="-14"/>
    <n v="-14"/>
    <x v="0"/>
    <s v="PackRight"/>
    <s v="Poland"/>
    <n v="3"/>
    <n v="7"/>
    <m/>
    <n v="42"/>
    <n v="98"/>
    <n v="0"/>
  </r>
  <r>
    <s v="INV-01724"/>
    <d v="2025-03-21T00:00:00"/>
    <s v="P003"/>
    <s v="Purchase"/>
    <n v="70"/>
    <n v="70"/>
    <x v="0"/>
    <s v="ConnectX"/>
    <s v="China"/>
    <n v="16.5"/>
    <n v="28"/>
    <s v="PO-71901"/>
    <n v="1155"/>
    <n v="0"/>
    <n v="1155"/>
  </r>
  <r>
    <s v="INV-00545"/>
    <d v="2025-03-21T00:00:00"/>
    <s v="P020"/>
    <s v="Adjustment"/>
    <n v="10"/>
    <n v="10"/>
    <x v="0"/>
    <s v="PrintTech"/>
    <s v="Japan"/>
    <n v="30"/>
    <n v="48"/>
    <m/>
    <n v="300"/>
    <n v="0"/>
    <n v="0"/>
  </r>
  <r>
    <s v="INV-00625"/>
    <d v="2025-03-21T00:00:00"/>
    <s v="P020"/>
    <s v="Purchase"/>
    <n v="100"/>
    <n v="100"/>
    <x v="1"/>
    <s v="PrintTech"/>
    <s v="Japan"/>
    <n v="30"/>
    <n v="48"/>
    <s v="PO-71596"/>
    <n v="3000"/>
    <n v="0"/>
    <n v="3000"/>
  </r>
  <r>
    <s v="INV-00093"/>
    <d v="2025-03-22T00:00:00"/>
    <s v="P024"/>
    <s v="Sale"/>
    <n v="-15"/>
    <n v="-15"/>
    <x v="2"/>
    <s v="CalcPlus"/>
    <s v="China"/>
    <n v="6"/>
    <n v="14"/>
    <m/>
    <n v="90"/>
    <n v="210"/>
    <n v="0"/>
  </r>
  <r>
    <s v="INV-00672"/>
    <d v="2025-03-22T00:00:00"/>
    <s v="P028"/>
    <s v="Adjustment"/>
    <n v="4"/>
    <n v="4"/>
    <x v="0"/>
    <s v="PackRight"/>
    <s v="Poland"/>
    <n v="3"/>
    <n v="7"/>
    <m/>
    <n v="12"/>
    <n v="0"/>
    <n v="0"/>
  </r>
  <r>
    <s v="INV-00327"/>
    <d v="2025-03-22T00:00:00"/>
    <s v="P018"/>
    <s v="Sale"/>
    <n v="-13"/>
    <n v="-13"/>
    <x v="0"/>
    <s v="DataStore"/>
    <s v="South Korea"/>
    <n v="5.2"/>
    <n v="11"/>
    <m/>
    <n v="67.600000000000009"/>
    <n v="143"/>
    <n v="0"/>
  </r>
  <r>
    <s v="INV-00709"/>
    <d v="2025-03-23T00:00:00"/>
    <s v="P008"/>
    <s v="Sale"/>
    <n v="-13"/>
    <n v="-13"/>
    <x v="2"/>
    <s v="BrightHome"/>
    <s v="China"/>
    <n v="13.5"/>
    <n v="24"/>
    <m/>
    <n v="175.5"/>
    <n v="312"/>
    <n v="0"/>
  </r>
  <r>
    <s v="INV-01014"/>
    <d v="2025-03-23T00:00:00"/>
    <s v="P001"/>
    <s v="Purchase"/>
    <n v="61"/>
    <n v="61"/>
    <x v="2"/>
    <s v="TechGear"/>
    <s v="China"/>
    <n v="7.2"/>
    <n v="12.5"/>
    <s v="PO-90219"/>
    <n v="439.2"/>
    <n v="0"/>
    <n v="439.2"/>
  </r>
  <r>
    <s v="INV-00187"/>
    <d v="2025-03-23T00:00:00"/>
    <s v="P025"/>
    <s v="Sale"/>
    <n v="-1"/>
    <n v="-1"/>
    <x v="1"/>
    <s v="PaperMate"/>
    <s v="Germany"/>
    <n v="5.5"/>
    <n v="12"/>
    <m/>
    <n v="5.5"/>
    <n v="12"/>
    <n v="0"/>
  </r>
  <r>
    <s v="INV-00868"/>
    <d v="2025-03-23T00:00:00"/>
    <s v="P006"/>
    <s v="Sale"/>
    <n v="-4"/>
    <n v="-4"/>
    <x v="2"/>
    <s v="ViewPlus"/>
    <s v="South Korea"/>
    <n v="130"/>
    <n v="185"/>
    <m/>
    <n v="520"/>
    <n v="740"/>
    <n v="0"/>
  </r>
  <r>
    <s v="INV-01137"/>
    <d v="2025-03-23T00:00:00"/>
    <s v="P028"/>
    <s v="Sale"/>
    <n v="-11"/>
    <n v="-11"/>
    <x v="2"/>
    <s v="PackRight"/>
    <s v="Poland"/>
    <n v="3"/>
    <n v="7"/>
    <m/>
    <n v="33"/>
    <n v="77"/>
    <n v="0"/>
  </r>
  <r>
    <s v="INV-01221"/>
    <d v="2025-03-24T00:00:00"/>
    <s v="P029"/>
    <s v="Purchase"/>
    <n v="101"/>
    <n v="101"/>
    <x v="1"/>
    <s v="PackRight"/>
    <s v="Poland"/>
    <n v="4"/>
    <n v="9"/>
    <s v="PO-73869"/>
    <n v="404"/>
    <n v="0"/>
    <n v="404"/>
  </r>
  <r>
    <s v="INV-00044"/>
    <d v="2025-03-24T00:00:00"/>
    <s v="P029"/>
    <s v="Sale"/>
    <n v="-1"/>
    <n v="-1"/>
    <x v="0"/>
    <s v="PackRight"/>
    <s v="Poland"/>
    <n v="4"/>
    <n v="9"/>
    <m/>
    <n v="4"/>
    <n v="9"/>
    <n v="0"/>
  </r>
  <r>
    <s v="INV-00285"/>
    <d v="2025-03-25T00:00:00"/>
    <s v="P018"/>
    <s v="Sale"/>
    <n v="-5"/>
    <n v="-5"/>
    <x v="0"/>
    <s v="DataStore"/>
    <s v="South Korea"/>
    <n v="5.2"/>
    <n v="11"/>
    <m/>
    <n v="26"/>
    <n v="55"/>
    <n v="0"/>
  </r>
  <r>
    <s v="INV-00821"/>
    <d v="2025-03-25T00:00:00"/>
    <s v="P025"/>
    <s v="Sale"/>
    <n v="-4"/>
    <n v="-4"/>
    <x v="0"/>
    <s v="PaperMate"/>
    <s v="Germany"/>
    <n v="5.5"/>
    <n v="12"/>
    <m/>
    <n v="22"/>
    <n v="48"/>
    <n v="0"/>
  </r>
  <r>
    <s v="INV-01497"/>
    <d v="2025-03-25T00:00:00"/>
    <s v="P020"/>
    <s v="Sale"/>
    <n v="-13"/>
    <n v="-13"/>
    <x v="0"/>
    <s v="PrintTech"/>
    <s v="Japan"/>
    <n v="30"/>
    <n v="48"/>
    <m/>
    <n v="390"/>
    <n v="624"/>
    <n v="0"/>
  </r>
  <r>
    <s v="INV-00562"/>
    <d v="2025-03-25T00:00:00"/>
    <s v="P007"/>
    <s v="Sale"/>
    <n v="-7"/>
    <n v="-7"/>
    <x v="1"/>
    <s v="DeskWorks"/>
    <s v="China"/>
    <n v="16"/>
    <n v="29"/>
    <m/>
    <n v="112"/>
    <n v="203"/>
    <n v="0"/>
  </r>
  <r>
    <s v="INV-00980"/>
    <d v="2025-03-25T00:00:00"/>
    <s v="P019"/>
    <s v="Purchase"/>
    <n v="23"/>
    <n v="23"/>
    <x v="0"/>
    <s v="PrintTech"/>
    <s v="Japan"/>
    <n v="145"/>
    <n v="210"/>
    <s v="PO-73230"/>
    <n v="3335"/>
    <n v="0"/>
    <n v="3335"/>
  </r>
  <r>
    <s v="INV-00935"/>
    <d v="2025-03-26T00:00:00"/>
    <s v="P005"/>
    <s v="Adjustment"/>
    <n v="1"/>
    <n v="1"/>
    <x v="2"/>
    <s v="VisionTech"/>
    <s v="China"/>
    <n v="18.5"/>
    <n v="31"/>
    <m/>
    <n v="18.5"/>
    <n v="0"/>
    <n v="0"/>
  </r>
  <r>
    <s v="INV-01760"/>
    <d v="2025-03-26T00:00:00"/>
    <s v="P018"/>
    <s v="Sale"/>
    <n v="-3"/>
    <n v="-3"/>
    <x v="0"/>
    <s v="DataStore"/>
    <s v="South Korea"/>
    <n v="5.2"/>
    <n v="11"/>
    <m/>
    <n v="15.600000000000001"/>
    <n v="33"/>
    <n v="0"/>
  </r>
  <r>
    <s v="INV-00320"/>
    <d v="2025-03-26T00:00:00"/>
    <s v="P008"/>
    <s v="Sale"/>
    <n v="-3"/>
    <n v="-3"/>
    <x v="0"/>
    <s v="BrightHome"/>
    <s v="China"/>
    <n v="13.5"/>
    <n v="24"/>
    <m/>
    <n v="40.5"/>
    <n v="72"/>
    <n v="0"/>
  </r>
  <r>
    <s v="INV-01336"/>
    <d v="2025-03-26T00:00:00"/>
    <s v="P021"/>
    <s v="Sale"/>
    <n v="-12"/>
    <n v="-12"/>
    <x v="0"/>
    <s v="TravelPro"/>
    <s v="Vietnam"/>
    <n v="25"/>
    <n v="45"/>
    <m/>
    <n v="300"/>
    <n v="540"/>
    <n v="0"/>
  </r>
  <r>
    <s v="INV-00601"/>
    <d v="2025-03-26T00:00:00"/>
    <s v="P005"/>
    <s v="Sale"/>
    <n v="-12"/>
    <n v="-12"/>
    <x v="2"/>
    <s v="VisionTech"/>
    <s v="China"/>
    <n v="18.5"/>
    <n v="31"/>
    <m/>
    <n v="222"/>
    <n v="372"/>
    <n v="0"/>
  </r>
  <r>
    <s v="INV-00358"/>
    <d v="2025-03-27T00:00:00"/>
    <s v="P018"/>
    <s v="Sale"/>
    <n v="-15"/>
    <n v="-15"/>
    <x v="0"/>
    <s v="DataStore"/>
    <s v="South Korea"/>
    <n v="5.2"/>
    <n v="11"/>
    <m/>
    <n v="78"/>
    <n v="165"/>
    <n v="0"/>
  </r>
  <r>
    <s v="INV-01523"/>
    <d v="2025-03-27T00:00:00"/>
    <s v="P012"/>
    <s v="Sale"/>
    <n v="-9"/>
    <n v="-9"/>
    <x v="0"/>
    <s v="WriteWell"/>
    <s v="France"/>
    <n v="3.4"/>
    <n v="8"/>
    <m/>
    <n v="30.599999999999998"/>
    <n v="72"/>
    <n v="0"/>
  </r>
  <r>
    <s v="INV-01482"/>
    <d v="2025-03-27T00:00:00"/>
    <s v="P004"/>
    <s v="Purchase"/>
    <n v="111"/>
    <n v="111"/>
    <x v="2"/>
    <s v="SoundMax"/>
    <s v="Vietnam"/>
    <n v="20"/>
    <n v="35"/>
    <s v="PO-85720"/>
    <n v="2220"/>
    <n v="0"/>
    <n v="2220"/>
  </r>
  <r>
    <s v="INV-00254"/>
    <d v="2025-03-28T00:00:00"/>
    <s v="P011"/>
    <s v="Adjustment"/>
    <n v="4"/>
    <n v="4"/>
    <x v="0"/>
    <s v="PaperMate"/>
    <s v="Germany"/>
    <n v="2.6"/>
    <n v="5.5"/>
    <m/>
    <n v="10.4"/>
    <n v="0"/>
    <n v="0"/>
  </r>
  <r>
    <s v="INV-00869"/>
    <d v="2025-03-28T00:00:00"/>
    <s v="P028"/>
    <s v="Sale"/>
    <n v="-2"/>
    <n v="-2"/>
    <x v="0"/>
    <s v="PackRight"/>
    <s v="Poland"/>
    <n v="3"/>
    <n v="7"/>
    <m/>
    <n v="6"/>
    <n v="14"/>
    <n v="0"/>
  </r>
  <r>
    <s v="INV-00435"/>
    <d v="2025-03-29T00:00:00"/>
    <s v="P003"/>
    <s v="Sale"/>
    <n v="-8"/>
    <n v="-8"/>
    <x v="0"/>
    <s v="ConnectX"/>
    <s v="China"/>
    <n v="16.5"/>
    <n v="28"/>
    <m/>
    <n v="132"/>
    <n v="224"/>
    <n v="0"/>
  </r>
  <r>
    <s v="INV-00397"/>
    <d v="2025-03-29T00:00:00"/>
    <s v="P028"/>
    <s v="Sale"/>
    <n v="-1"/>
    <n v="-1"/>
    <x v="2"/>
    <s v="PackRight"/>
    <s v="Poland"/>
    <n v="3"/>
    <n v="7"/>
    <m/>
    <n v="3"/>
    <n v="7"/>
    <n v="0"/>
  </r>
  <r>
    <s v="INV-00740"/>
    <d v="2025-03-29T00:00:00"/>
    <s v="P012"/>
    <s v="Sale"/>
    <n v="-15"/>
    <n v="-15"/>
    <x v="0"/>
    <s v="WriteWell"/>
    <s v="France"/>
    <n v="3.4"/>
    <n v="8"/>
    <m/>
    <n v="51"/>
    <n v="120"/>
    <n v="0"/>
  </r>
  <r>
    <s v="INV-00238"/>
    <d v="2025-03-31T00:00:00"/>
    <s v="P001"/>
    <s v="Purchase"/>
    <n v="99"/>
    <n v="99"/>
    <x v="0"/>
    <s v="TechGear"/>
    <s v="China"/>
    <n v="7.2"/>
    <n v="12.5"/>
    <s v="PO-71606"/>
    <n v="712.80000000000007"/>
    <n v="0"/>
    <n v="712.80000000000007"/>
  </r>
  <r>
    <s v="INV-00134"/>
    <d v="2025-03-31T00:00:00"/>
    <s v="P011"/>
    <s v="Sale"/>
    <n v="-7"/>
    <n v="-7"/>
    <x v="2"/>
    <s v="PaperMate"/>
    <s v="Germany"/>
    <n v="2.6"/>
    <n v="5.5"/>
    <m/>
    <n v="18.2"/>
    <n v="38.5"/>
    <n v="0"/>
  </r>
  <r>
    <s v="INV-00428"/>
    <d v="2025-03-31T00:00:00"/>
    <s v="P028"/>
    <s v="Sale"/>
    <n v="-4"/>
    <n v="-4"/>
    <x v="2"/>
    <s v="PackRight"/>
    <s v="Poland"/>
    <n v="3"/>
    <n v="7"/>
    <m/>
    <n v="12"/>
    <n v="28"/>
    <n v="0"/>
  </r>
  <r>
    <s v="INV-00527"/>
    <d v="2025-03-31T00:00:00"/>
    <s v="P014"/>
    <s v="Sale"/>
    <n v="-3"/>
    <n v="-3"/>
    <x v="2"/>
    <s v="DataStore"/>
    <s v="South Korea"/>
    <n v="63"/>
    <n v="95"/>
    <m/>
    <n v="189"/>
    <n v="285"/>
    <n v="0"/>
  </r>
  <r>
    <s v="INV-00959"/>
    <d v="2025-03-31T00:00:00"/>
    <s v="P005"/>
    <s v="Sale"/>
    <n v="-1"/>
    <n v="-1"/>
    <x v="2"/>
    <s v="VisionTech"/>
    <s v="China"/>
    <n v="18.5"/>
    <n v="31"/>
    <m/>
    <n v="18.5"/>
    <n v="31"/>
    <n v="0"/>
  </r>
  <r>
    <s v="INV-01402"/>
    <d v="2025-03-31T00:00:00"/>
    <s v="P005"/>
    <s v="Sale"/>
    <n v="-13"/>
    <n v="-13"/>
    <x v="0"/>
    <s v="VisionTech"/>
    <s v="China"/>
    <n v="18.5"/>
    <n v="31"/>
    <m/>
    <n v="240.5"/>
    <n v="403"/>
    <n v="0"/>
  </r>
  <r>
    <s v="INV-01735"/>
    <d v="2025-03-31T00:00:00"/>
    <s v="P004"/>
    <s v="Purchase"/>
    <n v="87"/>
    <n v="87"/>
    <x v="0"/>
    <s v="SoundMax"/>
    <s v="Vietnam"/>
    <n v="20"/>
    <n v="35"/>
    <s v="PO-70077"/>
    <n v="1740"/>
    <n v="0"/>
    <n v="1740"/>
  </r>
  <r>
    <s v="INV-01282"/>
    <d v="2025-04-01T00:00:00"/>
    <s v="P023"/>
    <s v="Sale"/>
    <n v="-5"/>
    <n v="-5"/>
    <x v="2"/>
    <s v="DeskWorks"/>
    <s v="China"/>
    <n v="8.8000000000000007"/>
    <n v="17"/>
    <m/>
    <n v="44"/>
    <n v="85"/>
    <n v="0"/>
  </r>
  <r>
    <s v="INV-00851"/>
    <d v="2025-04-01T00:00:00"/>
    <s v="P002"/>
    <s v="Purchase"/>
    <n v="77"/>
    <n v="77"/>
    <x v="0"/>
    <s v="KeyPro"/>
    <s v="China"/>
    <n v="25"/>
    <n v="42"/>
    <s v="PO-51628"/>
    <n v="1925"/>
    <n v="0"/>
    <n v="1925"/>
  </r>
  <r>
    <s v="INV-00623"/>
    <d v="2025-04-02T00:00:00"/>
    <s v="P012"/>
    <s v="Sale"/>
    <n v="-15"/>
    <n v="-15"/>
    <x v="1"/>
    <s v="WriteWell"/>
    <s v="France"/>
    <n v="3.4"/>
    <n v="8"/>
    <m/>
    <n v="51"/>
    <n v="120"/>
    <n v="0"/>
  </r>
  <r>
    <s v="INV-00207"/>
    <d v="2025-04-02T00:00:00"/>
    <s v="P003"/>
    <s v="Sale"/>
    <n v="-4"/>
    <n v="-4"/>
    <x v="0"/>
    <s v="ConnectX"/>
    <s v="China"/>
    <n v="16.5"/>
    <n v="28"/>
    <m/>
    <n v="66"/>
    <n v="112"/>
    <n v="0"/>
  </r>
  <r>
    <s v="INV-00878"/>
    <d v="2025-04-02T00:00:00"/>
    <s v="P022"/>
    <s v="Purchase"/>
    <n v="40"/>
    <n v="40"/>
    <x v="0"/>
    <s v="HydroLife"/>
    <s v="Germany"/>
    <n v="8.5"/>
    <n v="18"/>
    <s v="PO-12347"/>
    <n v="340"/>
    <n v="0"/>
    <n v="340"/>
  </r>
  <r>
    <s v="INV-01593"/>
    <d v="2025-04-02T00:00:00"/>
    <s v="P004"/>
    <s v="Sale"/>
    <n v="-8"/>
    <n v="-8"/>
    <x v="0"/>
    <s v="SoundMax"/>
    <s v="Vietnam"/>
    <n v="20"/>
    <n v="35"/>
    <m/>
    <n v="160"/>
    <n v="280"/>
    <n v="0"/>
  </r>
  <r>
    <s v="INV-01153"/>
    <d v="2025-04-02T00:00:00"/>
    <s v="P022"/>
    <s v="Sale"/>
    <n v="-4"/>
    <n v="-4"/>
    <x v="0"/>
    <s v="HydroLife"/>
    <s v="Germany"/>
    <n v="8.5"/>
    <n v="18"/>
    <m/>
    <n v="34"/>
    <n v="72"/>
    <n v="0"/>
  </r>
  <r>
    <s v="INV-00777"/>
    <d v="2025-04-03T00:00:00"/>
    <s v="P008"/>
    <s v="Adjustment"/>
    <n v="17"/>
    <n v="17"/>
    <x v="0"/>
    <s v="BrightHome"/>
    <s v="China"/>
    <n v="13.5"/>
    <n v="24"/>
    <m/>
    <n v="229.5"/>
    <n v="0"/>
    <n v="0"/>
  </r>
  <r>
    <s v="INV-01749"/>
    <d v="2025-04-03T00:00:00"/>
    <s v="P024"/>
    <s v="Purchase"/>
    <n v="94"/>
    <n v="94"/>
    <x v="0"/>
    <s v="CalcPlus"/>
    <s v="China"/>
    <n v="6"/>
    <n v="14"/>
    <s v="PO-78147"/>
    <n v="564"/>
    <n v="0"/>
    <n v="564"/>
  </r>
  <r>
    <s v="INV-01728"/>
    <d v="2025-04-03T00:00:00"/>
    <s v="P030"/>
    <s v="Sale"/>
    <n v="-9"/>
    <n v="-9"/>
    <x v="1"/>
    <s v="StoreMax"/>
    <s v="Germany"/>
    <n v="11"/>
    <n v="22"/>
    <m/>
    <n v="99"/>
    <n v="198"/>
    <n v="0"/>
  </r>
  <r>
    <s v="INV-00985"/>
    <d v="2025-04-03T00:00:00"/>
    <s v="P023"/>
    <s v="Sale"/>
    <n v="-13"/>
    <n v="-13"/>
    <x v="0"/>
    <s v="DeskWorks"/>
    <s v="China"/>
    <n v="8.8000000000000007"/>
    <n v="17"/>
    <m/>
    <n v="114.4"/>
    <n v="221"/>
    <n v="0"/>
  </r>
  <r>
    <s v="INV-00300"/>
    <d v="2025-04-03T00:00:00"/>
    <s v="P003"/>
    <s v="Sale"/>
    <n v="-9"/>
    <n v="-9"/>
    <x v="0"/>
    <s v="ConnectX"/>
    <s v="China"/>
    <n v="16.5"/>
    <n v="28"/>
    <m/>
    <n v="148.5"/>
    <n v="252"/>
    <n v="0"/>
  </r>
  <r>
    <s v="INV-00180"/>
    <d v="2025-04-04T00:00:00"/>
    <s v="P004"/>
    <s v="Sale"/>
    <n v="-1"/>
    <n v="-1"/>
    <x v="2"/>
    <s v="SoundMax"/>
    <s v="Vietnam"/>
    <n v="20"/>
    <n v="35"/>
    <m/>
    <n v="20"/>
    <n v="35"/>
    <n v="0"/>
  </r>
  <r>
    <s v="INV-00618"/>
    <d v="2025-04-05T00:00:00"/>
    <s v="P009"/>
    <s v="Purchase"/>
    <n v="31"/>
    <n v="31"/>
    <x v="0"/>
    <s v="ComfortPro"/>
    <s v="Poland"/>
    <n v="105"/>
    <n v="165"/>
    <s v="PO-29346"/>
    <n v="3255"/>
    <n v="0"/>
    <n v="3255"/>
  </r>
  <r>
    <s v="INV-01537"/>
    <d v="2025-04-05T00:00:00"/>
    <s v="P006"/>
    <s v="Return"/>
    <n v="2"/>
    <n v="2"/>
    <x v="2"/>
    <s v="ViewPlus"/>
    <s v="South Korea"/>
    <n v="130"/>
    <n v="185"/>
    <m/>
    <n v="260"/>
    <n v="0"/>
    <n v="0"/>
  </r>
  <r>
    <s v="INV-00704"/>
    <d v="2025-04-06T00:00:00"/>
    <s v="P004"/>
    <s v="Adjustment"/>
    <n v="11"/>
    <n v="11"/>
    <x v="0"/>
    <s v="SoundMax"/>
    <s v="Vietnam"/>
    <n v="20"/>
    <n v="35"/>
    <m/>
    <n v="220"/>
    <n v="0"/>
    <n v="0"/>
  </r>
  <r>
    <s v="INV-00903"/>
    <d v="2025-04-07T00:00:00"/>
    <s v="P006"/>
    <s v="Purchase"/>
    <n v="106"/>
    <n v="106"/>
    <x v="2"/>
    <s v="ViewPlus"/>
    <s v="South Korea"/>
    <n v="130"/>
    <n v="185"/>
    <s v="PO-29199"/>
    <n v="13780"/>
    <n v="0"/>
    <n v="13780"/>
  </r>
  <r>
    <s v="INV-00112"/>
    <d v="2025-04-07T00:00:00"/>
    <s v="P005"/>
    <s v="Sale"/>
    <n v="-2"/>
    <n v="-2"/>
    <x v="2"/>
    <s v="VisionTech"/>
    <s v="China"/>
    <n v="18.5"/>
    <n v="31"/>
    <m/>
    <n v="37"/>
    <n v="62"/>
    <n v="0"/>
  </r>
  <r>
    <s v="INV-00138"/>
    <d v="2025-04-07T00:00:00"/>
    <s v="P023"/>
    <s v="Sale"/>
    <n v="-1"/>
    <n v="-1"/>
    <x v="2"/>
    <s v="DeskWorks"/>
    <s v="China"/>
    <n v="8.8000000000000007"/>
    <n v="17"/>
    <m/>
    <n v="8.8000000000000007"/>
    <n v="17"/>
    <n v="0"/>
  </r>
  <r>
    <s v="INV-00104"/>
    <d v="2025-04-07T00:00:00"/>
    <s v="P016"/>
    <s v="Purchase"/>
    <n v="76"/>
    <n v="76"/>
    <x v="2"/>
    <s v="ConnectX"/>
    <s v="China"/>
    <n v="4.2"/>
    <n v="10"/>
    <s v="PO-84527"/>
    <n v="319.2"/>
    <n v="0"/>
    <n v="319.2"/>
  </r>
  <r>
    <s v="INV-01156"/>
    <d v="2025-04-08T00:00:00"/>
    <s v="P024"/>
    <s v="Sale"/>
    <n v="-2"/>
    <n v="-2"/>
    <x v="0"/>
    <s v="CalcPlus"/>
    <s v="China"/>
    <n v="6"/>
    <n v="14"/>
    <m/>
    <n v="12"/>
    <n v="28"/>
    <n v="0"/>
  </r>
  <r>
    <s v="INV-01104"/>
    <d v="2025-04-09T00:00:00"/>
    <s v="P029"/>
    <s v="Sale"/>
    <n v="-10"/>
    <n v="-10"/>
    <x v="0"/>
    <s v="PackRight"/>
    <s v="Poland"/>
    <n v="4"/>
    <n v="9"/>
    <m/>
    <n v="40"/>
    <n v="90"/>
    <n v="0"/>
  </r>
  <r>
    <s v="INV-01767"/>
    <d v="2025-04-09T00:00:00"/>
    <s v="P024"/>
    <s v="Sale"/>
    <n v="-14"/>
    <n v="-14"/>
    <x v="0"/>
    <s v="CalcPlus"/>
    <s v="China"/>
    <n v="6"/>
    <n v="14"/>
    <m/>
    <n v="84"/>
    <n v="196"/>
    <n v="0"/>
  </r>
  <r>
    <s v="INV-00480"/>
    <d v="2025-04-09T00:00:00"/>
    <s v="P017"/>
    <s v="Purchase"/>
    <n v="76"/>
    <n v="76"/>
    <x v="0"/>
    <s v="SoundMax"/>
    <s v="Vietnam"/>
    <n v="34"/>
    <n v="55"/>
    <s v="PO-95464"/>
    <n v="2584"/>
    <n v="0"/>
    <n v="2584"/>
  </r>
  <r>
    <s v="INV-01253"/>
    <d v="2025-04-09T00:00:00"/>
    <s v="P004"/>
    <s v="Purchase"/>
    <n v="115"/>
    <n v="115"/>
    <x v="2"/>
    <s v="SoundMax"/>
    <s v="Vietnam"/>
    <n v="20"/>
    <n v="35"/>
    <s v="PO-13017"/>
    <n v="2300"/>
    <n v="0"/>
    <n v="2300"/>
  </r>
  <r>
    <s v="INV-01488"/>
    <d v="2025-04-10T00:00:00"/>
    <s v="P022"/>
    <s v="Sale"/>
    <n v="-10"/>
    <n v="-10"/>
    <x v="0"/>
    <s v="HydroLife"/>
    <s v="Germany"/>
    <n v="8.5"/>
    <n v="18"/>
    <m/>
    <n v="85"/>
    <n v="180"/>
    <n v="0"/>
  </r>
  <r>
    <s v="INV-01581"/>
    <d v="2025-04-10T00:00:00"/>
    <s v="P008"/>
    <s v="Sale"/>
    <n v="-2"/>
    <n v="-2"/>
    <x v="2"/>
    <s v="BrightHome"/>
    <s v="China"/>
    <n v="13.5"/>
    <n v="24"/>
    <m/>
    <n v="27"/>
    <n v="48"/>
    <n v="0"/>
  </r>
  <r>
    <s v="INV-01127"/>
    <d v="2025-04-10T00:00:00"/>
    <s v="P003"/>
    <s v="Sale"/>
    <n v="-13"/>
    <n v="-13"/>
    <x v="1"/>
    <s v="ConnectX"/>
    <s v="China"/>
    <n v="16.5"/>
    <n v="28"/>
    <m/>
    <n v="214.5"/>
    <n v="364"/>
    <n v="0"/>
  </r>
  <r>
    <s v="INV-01204"/>
    <d v="2025-04-10T00:00:00"/>
    <s v="P011"/>
    <s v="Sale"/>
    <n v="-6"/>
    <n v="-6"/>
    <x v="2"/>
    <s v="PaperMate"/>
    <s v="Germany"/>
    <n v="2.6"/>
    <n v="5.5"/>
    <m/>
    <n v="15.600000000000001"/>
    <n v="33"/>
    <n v="0"/>
  </r>
  <r>
    <s v="INV-00494"/>
    <d v="2025-04-11T00:00:00"/>
    <s v="P006"/>
    <s v="Sale"/>
    <n v="-5"/>
    <n v="-5"/>
    <x v="0"/>
    <s v="ViewPlus"/>
    <s v="South Korea"/>
    <n v="130"/>
    <n v="185"/>
    <m/>
    <n v="650"/>
    <n v="925"/>
    <n v="0"/>
  </r>
  <r>
    <s v="INV-00186"/>
    <d v="2025-04-11T00:00:00"/>
    <s v="P022"/>
    <s v="Purchase"/>
    <n v="77"/>
    <n v="77"/>
    <x v="2"/>
    <s v="HydroLife"/>
    <s v="Germany"/>
    <n v="8.5"/>
    <n v="18"/>
    <s v="PO-99595"/>
    <n v="654.5"/>
    <n v="0"/>
    <n v="654.5"/>
  </r>
  <r>
    <s v="INV-01351"/>
    <d v="2025-04-11T00:00:00"/>
    <s v="P028"/>
    <s v="Sale"/>
    <n v="-9"/>
    <n v="-9"/>
    <x v="1"/>
    <s v="PackRight"/>
    <s v="Poland"/>
    <n v="3"/>
    <n v="7"/>
    <m/>
    <n v="27"/>
    <n v="63"/>
    <n v="0"/>
  </r>
  <r>
    <s v="INV-01453"/>
    <d v="2025-04-11T00:00:00"/>
    <s v="P028"/>
    <s v="Sale"/>
    <n v="-13"/>
    <n v="-13"/>
    <x v="0"/>
    <s v="PackRight"/>
    <s v="Poland"/>
    <n v="3"/>
    <n v="7"/>
    <m/>
    <n v="39"/>
    <n v="91"/>
    <n v="0"/>
  </r>
  <r>
    <s v="INV-00161"/>
    <d v="2025-04-11T00:00:00"/>
    <s v="P012"/>
    <s v="Purchase"/>
    <n v="40"/>
    <n v="40"/>
    <x v="0"/>
    <s v="WriteWell"/>
    <s v="France"/>
    <n v="3.4"/>
    <n v="8"/>
    <s v="PO-20638"/>
    <n v="136"/>
    <n v="0"/>
    <n v="136"/>
  </r>
  <r>
    <s v="INV-01534"/>
    <d v="2025-04-11T00:00:00"/>
    <s v="P009"/>
    <s v="Purchase"/>
    <n v="61"/>
    <n v="61"/>
    <x v="1"/>
    <s v="ComfortPro"/>
    <s v="Poland"/>
    <n v="105"/>
    <n v="165"/>
    <s v="PO-17043"/>
    <n v="6405"/>
    <n v="0"/>
    <n v="6405"/>
  </r>
  <r>
    <s v="INV-00507"/>
    <d v="2025-04-11T00:00:00"/>
    <s v="P029"/>
    <s v="Purchase"/>
    <n v="120"/>
    <n v="120"/>
    <x v="0"/>
    <s v="PackRight"/>
    <s v="Poland"/>
    <n v="4"/>
    <n v="9"/>
    <s v="PO-58817"/>
    <n v="480"/>
    <n v="0"/>
    <n v="480"/>
  </r>
  <r>
    <s v="INV-01099"/>
    <d v="2025-04-11T00:00:00"/>
    <s v="P025"/>
    <s v="Sale"/>
    <n v="-6"/>
    <n v="-6"/>
    <x v="0"/>
    <s v="PaperMate"/>
    <s v="Germany"/>
    <n v="5.5"/>
    <n v="12"/>
    <m/>
    <n v="33"/>
    <n v="72"/>
    <n v="0"/>
  </r>
  <r>
    <s v="INV-01145"/>
    <d v="2025-04-12T00:00:00"/>
    <s v="P009"/>
    <s v="Sale"/>
    <n v="-11"/>
    <n v="-11"/>
    <x v="2"/>
    <s v="ComfortPro"/>
    <s v="Poland"/>
    <n v="105"/>
    <n v="165"/>
    <m/>
    <n v="1155"/>
    <n v="1815"/>
    <n v="0"/>
  </r>
  <r>
    <s v="INV-00908"/>
    <d v="2025-04-12T00:00:00"/>
    <s v="P012"/>
    <s v="Purchase"/>
    <n v="50"/>
    <n v="50"/>
    <x v="1"/>
    <s v="WriteWell"/>
    <s v="France"/>
    <n v="3.4"/>
    <n v="8"/>
    <s v="PO-46575"/>
    <n v="170"/>
    <n v="0"/>
    <n v="170"/>
  </r>
  <r>
    <s v="INV-01018"/>
    <d v="2025-04-13T00:00:00"/>
    <s v="P018"/>
    <s v="Purchase"/>
    <n v="117"/>
    <n v="117"/>
    <x v="2"/>
    <s v="DataStore"/>
    <s v="South Korea"/>
    <n v="5.2"/>
    <n v="11"/>
    <s v="PO-88616"/>
    <n v="608.4"/>
    <n v="0"/>
    <n v="608.4"/>
  </r>
  <r>
    <s v="INV-00705"/>
    <d v="2025-04-13T00:00:00"/>
    <s v="P002"/>
    <s v="Purchase"/>
    <n v="56"/>
    <n v="56"/>
    <x v="0"/>
    <s v="KeyPro"/>
    <s v="China"/>
    <n v="25"/>
    <n v="42"/>
    <s v="PO-45613"/>
    <n v="1400"/>
    <n v="0"/>
    <n v="1400"/>
  </r>
  <r>
    <s v="INV-01730"/>
    <d v="2025-04-13T00:00:00"/>
    <s v="P020"/>
    <s v="Sale"/>
    <n v="-1"/>
    <n v="-1"/>
    <x v="0"/>
    <s v="PrintTech"/>
    <s v="Japan"/>
    <n v="30"/>
    <n v="48"/>
    <m/>
    <n v="30"/>
    <n v="48"/>
    <n v="0"/>
  </r>
  <r>
    <s v="INV-00132"/>
    <d v="2025-04-13T00:00:00"/>
    <s v="P007"/>
    <s v="Sale"/>
    <n v="-3"/>
    <n v="-3"/>
    <x v="2"/>
    <s v="DeskWorks"/>
    <s v="China"/>
    <n v="16"/>
    <n v="29"/>
    <m/>
    <n v="48"/>
    <n v="87"/>
    <n v="0"/>
  </r>
  <r>
    <s v="INV-01587"/>
    <d v="2025-04-13T00:00:00"/>
    <s v="P022"/>
    <s v="Purchase"/>
    <n v="61"/>
    <n v="61"/>
    <x v="2"/>
    <s v="HydroLife"/>
    <s v="Germany"/>
    <n v="8.5"/>
    <n v="18"/>
    <s v="PO-80966"/>
    <n v="518.5"/>
    <n v="0"/>
    <n v="518.5"/>
  </r>
  <r>
    <s v="INV-01452"/>
    <d v="2025-04-13T00:00:00"/>
    <s v="P020"/>
    <s v="Purchase"/>
    <n v="110"/>
    <n v="110"/>
    <x v="0"/>
    <s v="PrintTech"/>
    <s v="Japan"/>
    <n v="30"/>
    <n v="48"/>
    <s v="PO-38208"/>
    <n v="3300"/>
    <n v="0"/>
    <n v="3300"/>
  </r>
  <r>
    <s v="INV-01049"/>
    <d v="2025-04-13T00:00:00"/>
    <s v="P028"/>
    <s v="Sale"/>
    <n v="-9"/>
    <n v="-9"/>
    <x v="1"/>
    <s v="PackRight"/>
    <s v="Poland"/>
    <n v="3"/>
    <n v="7"/>
    <m/>
    <n v="27"/>
    <n v="63"/>
    <n v="0"/>
  </r>
  <r>
    <s v="INV-01377"/>
    <d v="2025-04-14T00:00:00"/>
    <s v="P015"/>
    <s v="Sale"/>
    <n v="-7"/>
    <n v="-7"/>
    <x v="2"/>
    <s v="VoltPro"/>
    <s v="China"/>
    <n v="23"/>
    <n v="38"/>
    <m/>
    <n v="161"/>
    <n v="266"/>
    <n v="0"/>
  </r>
  <r>
    <s v="INV-01256"/>
    <d v="2025-04-14T00:00:00"/>
    <s v="P014"/>
    <s v="Adjustment"/>
    <n v="7"/>
    <n v="7"/>
    <x v="1"/>
    <s v="DataStore"/>
    <s v="South Korea"/>
    <n v="63"/>
    <n v="95"/>
    <m/>
    <n v="441"/>
    <n v="0"/>
    <n v="0"/>
  </r>
  <r>
    <s v="INV-01655"/>
    <d v="2025-04-14T00:00:00"/>
    <s v="P003"/>
    <s v="Adjustment"/>
    <n v="-19"/>
    <n v="-19"/>
    <x v="0"/>
    <s v="ConnectX"/>
    <s v="China"/>
    <n v="16.5"/>
    <n v="28"/>
    <m/>
    <n v="313.5"/>
    <n v="0"/>
    <n v="0"/>
  </r>
  <r>
    <s v="INV-00492"/>
    <d v="2025-04-15T00:00:00"/>
    <s v="P020"/>
    <s v="Purchase"/>
    <n v="64"/>
    <n v="64"/>
    <x v="2"/>
    <s v="PrintTech"/>
    <s v="Japan"/>
    <n v="30"/>
    <n v="48"/>
    <s v="PO-24179"/>
    <n v="1920"/>
    <n v="0"/>
    <n v="1920"/>
  </r>
  <r>
    <s v="INV-01638"/>
    <d v="2025-04-15T00:00:00"/>
    <s v="P005"/>
    <s v="Sale"/>
    <n v="-13"/>
    <n v="-13"/>
    <x v="0"/>
    <s v="VisionTech"/>
    <s v="China"/>
    <n v="18.5"/>
    <n v="31"/>
    <m/>
    <n v="240.5"/>
    <n v="403"/>
    <n v="0"/>
  </r>
  <r>
    <s v="INV-00513"/>
    <d v="2025-04-15T00:00:00"/>
    <s v="P029"/>
    <s v="Sale"/>
    <n v="-15"/>
    <n v="-15"/>
    <x v="2"/>
    <s v="PackRight"/>
    <s v="Poland"/>
    <n v="4"/>
    <n v="9"/>
    <m/>
    <n v="60"/>
    <n v="135"/>
    <n v="0"/>
  </r>
  <r>
    <s v="INV-01025"/>
    <d v="2025-04-15T00:00:00"/>
    <s v="P029"/>
    <s v="Purchase"/>
    <n v="118"/>
    <n v="118"/>
    <x v="1"/>
    <s v="PackRight"/>
    <s v="Poland"/>
    <n v="4"/>
    <n v="9"/>
    <s v="PO-47805"/>
    <n v="472"/>
    <n v="0"/>
    <n v="472"/>
  </r>
  <r>
    <s v="INV-01231"/>
    <d v="2025-04-16T00:00:00"/>
    <s v="P028"/>
    <s v="Purchase"/>
    <n v="61"/>
    <n v="61"/>
    <x v="0"/>
    <s v="PackRight"/>
    <s v="Poland"/>
    <n v="3"/>
    <n v="7"/>
    <s v="PO-88497"/>
    <n v="183"/>
    <n v="0"/>
    <n v="183"/>
  </r>
  <r>
    <s v="INV-01243"/>
    <d v="2025-04-16T00:00:00"/>
    <s v="P024"/>
    <s v="Purchase"/>
    <n v="68"/>
    <n v="68"/>
    <x v="1"/>
    <s v="CalcPlus"/>
    <s v="China"/>
    <n v="6"/>
    <n v="14"/>
    <s v="PO-59410"/>
    <n v="408"/>
    <n v="0"/>
    <n v="408"/>
  </r>
  <r>
    <s v="INV-00319"/>
    <d v="2025-04-16T00:00:00"/>
    <s v="P005"/>
    <s v="Purchase"/>
    <n v="79"/>
    <n v="79"/>
    <x v="0"/>
    <s v="VisionTech"/>
    <s v="China"/>
    <n v="18.5"/>
    <n v="31"/>
    <s v="PO-30092"/>
    <n v="1461.5"/>
    <n v="0"/>
    <n v="1461.5"/>
  </r>
  <r>
    <s v="INV-01120"/>
    <d v="2025-04-16T00:00:00"/>
    <s v="P004"/>
    <s v="Purchase"/>
    <n v="109"/>
    <n v="109"/>
    <x v="1"/>
    <s v="SoundMax"/>
    <s v="Vietnam"/>
    <n v="20"/>
    <n v="35"/>
    <s v="PO-99900"/>
    <n v="2180"/>
    <n v="0"/>
    <n v="2180"/>
  </r>
  <r>
    <s v="INV-01185"/>
    <d v="2025-04-16T00:00:00"/>
    <s v="P003"/>
    <s v="Sale"/>
    <n v="-5"/>
    <n v="-5"/>
    <x v="0"/>
    <s v="ConnectX"/>
    <s v="China"/>
    <n v="16.5"/>
    <n v="28"/>
    <m/>
    <n v="82.5"/>
    <n v="140"/>
    <n v="0"/>
  </r>
  <r>
    <s v="INV-00815"/>
    <d v="2025-04-17T00:00:00"/>
    <s v="P028"/>
    <s v="Purchase"/>
    <n v="95"/>
    <n v="95"/>
    <x v="2"/>
    <s v="PackRight"/>
    <s v="Poland"/>
    <n v="3"/>
    <n v="7"/>
    <s v="PO-87502"/>
    <n v="285"/>
    <n v="0"/>
    <n v="285"/>
  </r>
  <r>
    <s v="INV-00197"/>
    <d v="2025-04-17T00:00:00"/>
    <s v="P023"/>
    <s v="Adjustment"/>
    <n v="1"/>
    <n v="1"/>
    <x v="2"/>
    <s v="DeskWorks"/>
    <s v="China"/>
    <n v="8.8000000000000007"/>
    <n v="17"/>
    <m/>
    <n v="8.8000000000000007"/>
    <n v="0"/>
    <n v="0"/>
  </r>
  <r>
    <s v="INV-00752"/>
    <d v="2025-04-18T00:00:00"/>
    <s v="P029"/>
    <s v="Purchase"/>
    <n v="114"/>
    <n v="114"/>
    <x v="0"/>
    <s v="PackRight"/>
    <s v="Poland"/>
    <n v="4"/>
    <n v="9"/>
    <s v="PO-30044"/>
    <n v="456"/>
    <n v="0"/>
    <n v="456"/>
  </r>
  <r>
    <s v="INV-00083"/>
    <d v="2025-04-18T00:00:00"/>
    <s v="P011"/>
    <s v="Sale"/>
    <n v="-13"/>
    <n v="-13"/>
    <x v="0"/>
    <s v="PaperMate"/>
    <s v="Germany"/>
    <n v="2.6"/>
    <n v="5.5"/>
    <m/>
    <n v="33.800000000000004"/>
    <n v="71.5"/>
    <n v="0"/>
  </r>
  <r>
    <s v="INV-00431"/>
    <d v="2025-04-18T00:00:00"/>
    <s v="P004"/>
    <s v="Sale"/>
    <n v="-10"/>
    <n v="-10"/>
    <x v="2"/>
    <s v="SoundMax"/>
    <s v="Vietnam"/>
    <n v="20"/>
    <n v="35"/>
    <m/>
    <n v="200"/>
    <n v="350"/>
    <n v="0"/>
  </r>
  <r>
    <s v="INV-00700"/>
    <d v="2025-04-19T00:00:00"/>
    <s v="P016"/>
    <s v="Sale"/>
    <n v="-2"/>
    <n v="-2"/>
    <x v="0"/>
    <s v="ConnectX"/>
    <s v="China"/>
    <n v="4.2"/>
    <n v="10"/>
    <m/>
    <n v="8.4"/>
    <n v="20"/>
    <n v="0"/>
  </r>
  <r>
    <s v="INV-00647"/>
    <d v="2025-04-19T00:00:00"/>
    <s v="P019"/>
    <s v="Purchase"/>
    <n v="86"/>
    <n v="86"/>
    <x v="0"/>
    <s v="PrintTech"/>
    <s v="Japan"/>
    <n v="145"/>
    <n v="210"/>
    <s v="PO-31976"/>
    <n v="12470"/>
    <n v="0"/>
    <n v="12470"/>
  </r>
  <r>
    <s v="INV-01470"/>
    <d v="2025-04-19T00:00:00"/>
    <s v="P025"/>
    <s v="Sale"/>
    <n v="-5"/>
    <n v="-5"/>
    <x v="0"/>
    <s v="PaperMate"/>
    <s v="Germany"/>
    <n v="5.5"/>
    <n v="12"/>
    <m/>
    <n v="27.5"/>
    <n v="60"/>
    <n v="0"/>
  </r>
  <r>
    <s v="INV-01772"/>
    <d v="2025-04-19T00:00:00"/>
    <s v="P025"/>
    <s v="Sale"/>
    <n v="-13"/>
    <n v="-13"/>
    <x v="0"/>
    <s v="PaperMate"/>
    <s v="Germany"/>
    <n v="5.5"/>
    <n v="12"/>
    <m/>
    <n v="71.5"/>
    <n v="156"/>
    <n v="0"/>
  </r>
  <r>
    <s v="INV-01077"/>
    <d v="2025-04-19T00:00:00"/>
    <s v="P013"/>
    <s v="Sale"/>
    <n v="-3"/>
    <n v="-3"/>
    <x v="1"/>
    <s v="DeskWorks"/>
    <s v="China"/>
    <n v="8"/>
    <n v="15"/>
    <m/>
    <n v="24"/>
    <n v="45"/>
    <n v="0"/>
  </r>
  <r>
    <s v="INV-00063"/>
    <d v="2025-04-20T00:00:00"/>
    <s v="P026"/>
    <s v="Purchase"/>
    <n v="78"/>
    <n v="78"/>
    <x v="2"/>
    <s v="ScanPro"/>
    <s v="China"/>
    <n v="78"/>
    <n v="125"/>
    <s v="PO-76793"/>
    <n v="6084"/>
    <n v="0"/>
    <n v="6084"/>
  </r>
  <r>
    <s v="INV-00378"/>
    <d v="2025-04-20T00:00:00"/>
    <s v="P001"/>
    <s v="Sale"/>
    <n v="-3"/>
    <n v="-3"/>
    <x v="0"/>
    <s v="TechGear"/>
    <s v="China"/>
    <n v="7.2"/>
    <n v="12.5"/>
    <m/>
    <n v="21.6"/>
    <n v="37.5"/>
    <n v="0"/>
  </r>
  <r>
    <s v="INV-00912"/>
    <d v="2025-04-21T00:00:00"/>
    <s v="P009"/>
    <s v="Sale"/>
    <n v="-3"/>
    <n v="-3"/>
    <x v="0"/>
    <s v="ComfortPro"/>
    <s v="Poland"/>
    <n v="105"/>
    <n v="165"/>
    <m/>
    <n v="315"/>
    <n v="495"/>
    <n v="0"/>
  </r>
  <r>
    <s v="INV-00055"/>
    <d v="2025-04-22T00:00:00"/>
    <s v="P019"/>
    <s v="Return"/>
    <n v="3"/>
    <n v="3"/>
    <x v="0"/>
    <s v="PrintTech"/>
    <s v="Japan"/>
    <n v="145"/>
    <n v="210"/>
    <m/>
    <n v="435"/>
    <n v="0"/>
    <n v="0"/>
  </r>
  <r>
    <s v="INV-01149"/>
    <d v="2025-04-22T00:00:00"/>
    <s v="P028"/>
    <s v="Sale"/>
    <n v="-1"/>
    <n v="-1"/>
    <x v="0"/>
    <s v="PackRight"/>
    <s v="Poland"/>
    <n v="3"/>
    <n v="7"/>
    <m/>
    <n v="3"/>
    <n v="7"/>
    <n v="0"/>
  </r>
  <r>
    <s v="INV-01070"/>
    <d v="2025-04-22T00:00:00"/>
    <s v="P010"/>
    <s v="Sale"/>
    <n v="-10"/>
    <n v="-10"/>
    <x v="2"/>
    <s v="ErgoSpace"/>
    <s v="Germany"/>
    <n v="220"/>
    <n v="320"/>
    <m/>
    <n v="2200"/>
    <n v="3200"/>
    <n v="0"/>
  </r>
  <r>
    <s v="INV-00420"/>
    <d v="2025-04-22T00:00:00"/>
    <s v="P024"/>
    <s v="Purchase"/>
    <n v="82"/>
    <n v="82"/>
    <x v="0"/>
    <s v="CalcPlus"/>
    <s v="China"/>
    <n v="6"/>
    <n v="14"/>
    <s v="PO-50741"/>
    <n v="492"/>
    <n v="0"/>
    <n v="492"/>
  </r>
  <r>
    <s v="INV-01602"/>
    <d v="2025-04-22T00:00:00"/>
    <s v="P011"/>
    <s v="Purchase"/>
    <n v="32"/>
    <n v="32"/>
    <x v="2"/>
    <s v="PaperMate"/>
    <s v="Germany"/>
    <n v="2.6"/>
    <n v="5.5"/>
    <s v="PO-15806"/>
    <n v="83.2"/>
    <n v="0"/>
    <n v="83.2"/>
  </r>
  <r>
    <s v="INV-00340"/>
    <d v="2025-04-22T00:00:00"/>
    <s v="P003"/>
    <s v="Sale"/>
    <n v="-7"/>
    <n v="-7"/>
    <x v="2"/>
    <s v="ConnectX"/>
    <s v="China"/>
    <n v="16.5"/>
    <n v="28"/>
    <m/>
    <n v="115.5"/>
    <n v="196"/>
    <n v="0"/>
  </r>
  <r>
    <s v="INV-00009"/>
    <d v="2025-04-23T00:00:00"/>
    <s v="P019"/>
    <s v="Purchase"/>
    <n v="22"/>
    <n v="22"/>
    <x v="1"/>
    <s v="PrintTech"/>
    <s v="Japan"/>
    <n v="145"/>
    <n v="210"/>
    <s v="PO-34976"/>
    <n v="3190"/>
    <n v="0"/>
    <n v="3190"/>
  </r>
  <r>
    <s v="INV-01693"/>
    <d v="2025-04-23T00:00:00"/>
    <s v="P013"/>
    <s v="Sale"/>
    <n v="-4"/>
    <n v="-4"/>
    <x v="1"/>
    <s v="DeskWorks"/>
    <s v="China"/>
    <n v="8"/>
    <n v="15"/>
    <m/>
    <n v="32"/>
    <n v="60"/>
    <n v="0"/>
  </r>
  <r>
    <s v="INV-00932"/>
    <d v="2025-04-24T00:00:00"/>
    <s v="P026"/>
    <s v="Sale"/>
    <n v="-12"/>
    <n v="-12"/>
    <x v="0"/>
    <s v="ScanPro"/>
    <s v="China"/>
    <n v="78"/>
    <n v="125"/>
    <m/>
    <n v="936"/>
    <n v="1500"/>
    <n v="0"/>
  </r>
  <r>
    <s v="INV-00151"/>
    <d v="2025-04-24T00:00:00"/>
    <s v="P028"/>
    <s v="Purchase"/>
    <n v="83"/>
    <n v="83"/>
    <x v="0"/>
    <s v="PackRight"/>
    <s v="Poland"/>
    <n v="3"/>
    <n v="7"/>
    <s v="PO-72781"/>
    <n v="249"/>
    <n v="0"/>
    <n v="249"/>
  </r>
  <r>
    <s v="INV-01163"/>
    <d v="2025-04-24T00:00:00"/>
    <s v="P011"/>
    <s v="Purchase"/>
    <n v="72"/>
    <n v="72"/>
    <x v="3"/>
    <s v="PaperMate"/>
    <s v="Germany"/>
    <n v="2.6"/>
    <n v="5.5"/>
    <s v="PO-26924"/>
    <n v="187.20000000000002"/>
    <n v="0"/>
    <n v="187.20000000000002"/>
  </r>
  <r>
    <s v="INV-01789"/>
    <d v="2025-04-24T00:00:00"/>
    <s v="P002"/>
    <s v="Purchase"/>
    <n v="55"/>
    <n v="55"/>
    <x v="0"/>
    <s v="KeyPro"/>
    <s v="China"/>
    <n v="25"/>
    <n v="42"/>
    <s v="PO-34028"/>
    <n v="1375"/>
    <n v="0"/>
    <n v="1375"/>
  </r>
  <r>
    <s v="INV-00555"/>
    <d v="2025-04-24T00:00:00"/>
    <s v="P028"/>
    <s v="Sale"/>
    <n v="-13"/>
    <n v="-13"/>
    <x v="1"/>
    <s v="PackRight"/>
    <s v="Poland"/>
    <n v="3"/>
    <n v="7"/>
    <m/>
    <n v="39"/>
    <n v="91"/>
    <n v="0"/>
  </r>
  <r>
    <s v="INV-00067"/>
    <d v="2025-04-24T00:00:00"/>
    <s v="P004"/>
    <s v="Purchase"/>
    <n v="47"/>
    <n v="47"/>
    <x v="2"/>
    <s v="SoundMax"/>
    <s v="Vietnam"/>
    <n v="20"/>
    <n v="35"/>
    <s v="PO-83786"/>
    <n v="940"/>
    <n v="0"/>
    <n v="940"/>
  </r>
  <r>
    <s v="INV-01130"/>
    <d v="2025-04-24T00:00:00"/>
    <s v="P009"/>
    <s v="Sale"/>
    <n v="-13"/>
    <n v="-13"/>
    <x v="2"/>
    <s v="ComfortPro"/>
    <s v="Poland"/>
    <n v="105"/>
    <n v="165"/>
    <m/>
    <n v="1365"/>
    <n v="2145"/>
    <n v="0"/>
  </r>
  <r>
    <s v="INV-01212"/>
    <d v="2025-04-25T00:00:00"/>
    <s v="P015"/>
    <s v="Purchase"/>
    <n v="77"/>
    <n v="77"/>
    <x v="0"/>
    <s v="VoltPro"/>
    <s v="China"/>
    <n v="23"/>
    <n v="38"/>
    <s v="PO-12419"/>
    <n v="1771"/>
    <n v="0"/>
    <n v="1771"/>
  </r>
  <r>
    <s v="INV-01042"/>
    <d v="2025-04-25T00:00:00"/>
    <s v="P025"/>
    <s v="Sale"/>
    <n v="-11"/>
    <n v="-11"/>
    <x v="0"/>
    <s v="PaperMate"/>
    <s v="Germany"/>
    <n v="5.5"/>
    <n v="12"/>
    <m/>
    <n v="60.5"/>
    <n v="132"/>
    <n v="0"/>
  </r>
  <r>
    <s v="INV-01697"/>
    <d v="2025-04-25T00:00:00"/>
    <s v="P001"/>
    <s v="Sale"/>
    <n v="-2"/>
    <n v="-2"/>
    <x v="2"/>
    <s v="TechGear"/>
    <s v="China"/>
    <n v="7.2"/>
    <n v="12.5"/>
    <m/>
    <n v="14.4"/>
    <n v="25"/>
    <n v="0"/>
  </r>
  <r>
    <s v="INV-01342"/>
    <d v="2025-04-25T00:00:00"/>
    <s v="P016"/>
    <s v="Return"/>
    <n v="3"/>
    <n v="3"/>
    <x v="2"/>
    <s v="ConnectX"/>
    <s v="China"/>
    <n v="4.2"/>
    <n v="10"/>
    <m/>
    <n v="12.600000000000001"/>
    <n v="0"/>
    <n v="0"/>
  </r>
  <r>
    <s v="INV-01618"/>
    <d v="2025-04-25T00:00:00"/>
    <s v="P022"/>
    <s v="Sale"/>
    <n v="-7"/>
    <n v="-7"/>
    <x v="0"/>
    <s v="HydroLife"/>
    <s v="Germany"/>
    <n v="8.5"/>
    <n v="18"/>
    <m/>
    <n v="59.5"/>
    <n v="126"/>
    <n v="0"/>
  </r>
  <r>
    <s v="INV-01570"/>
    <d v="2025-04-26T00:00:00"/>
    <s v="P015"/>
    <s v="Sale"/>
    <n v="-1"/>
    <n v="-1"/>
    <x v="2"/>
    <s v="VoltPro"/>
    <s v="China"/>
    <n v="23"/>
    <n v="38"/>
    <m/>
    <n v="23"/>
    <n v="38"/>
    <n v="0"/>
  </r>
  <r>
    <s v="INV-00837"/>
    <d v="2025-04-26T00:00:00"/>
    <s v="P029"/>
    <s v="Adjustment"/>
    <n v="-12"/>
    <n v="-12"/>
    <x v="0"/>
    <s v="PackRight"/>
    <s v="Poland"/>
    <n v="4"/>
    <n v="9"/>
    <m/>
    <n v="48"/>
    <n v="0"/>
    <n v="0"/>
  </r>
  <r>
    <s v="INV-00178"/>
    <d v="2025-04-27T00:00:00"/>
    <s v="P013"/>
    <s v="Sale"/>
    <n v="-6"/>
    <n v="-6"/>
    <x v="0"/>
    <s v="DeskWorks"/>
    <s v="China"/>
    <n v="8"/>
    <n v="15"/>
    <m/>
    <n v="48"/>
    <n v="90"/>
    <n v="0"/>
  </r>
  <r>
    <s v="INV-01238"/>
    <d v="2025-04-27T00:00:00"/>
    <s v="P016"/>
    <s v="Adjustment"/>
    <n v="16"/>
    <n v="16"/>
    <x v="2"/>
    <s v="ConnectX"/>
    <s v="China"/>
    <n v="4.2"/>
    <n v="10"/>
    <m/>
    <n v="67.2"/>
    <n v="0"/>
    <n v="0"/>
  </r>
  <r>
    <s v="INV-00164"/>
    <d v="2025-04-27T00:00:00"/>
    <s v="P017"/>
    <s v="Sale"/>
    <n v="-15"/>
    <n v="-15"/>
    <x v="1"/>
    <s v="SoundMax"/>
    <s v="Vietnam"/>
    <n v="34"/>
    <n v="55"/>
    <m/>
    <n v="510"/>
    <n v="825"/>
    <n v="0"/>
  </r>
  <r>
    <s v="INV-00583"/>
    <d v="2025-04-27T00:00:00"/>
    <s v="P016"/>
    <s v="Return"/>
    <n v="1"/>
    <n v="1"/>
    <x v="0"/>
    <s v="ConnectX"/>
    <s v="China"/>
    <n v="4.2"/>
    <n v="10"/>
    <m/>
    <n v="4.2"/>
    <n v="0"/>
    <n v="0"/>
  </r>
  <r>
    <s v="INV-01023"/>
    <d v="2025-04-27T00:00:00"/>
    <s v="P029"/>
    <s v="Sale"/>
    <n v="-12"/>
    <n v="-12"/>
    <x v="1"/>
    <s v="PackRight"/>
    <s v="Poland"/>
    <n v="4"/>
    <n v="9"/>
    <m/>
    <n v="48"/>
    <n v="108"/>
    <n v="0"/>
  </r>
  <r>
    <s v="INV-01511"/>
    <d v="2025-04-28T00:00:00"/>
    <s v="P025"/>
    <s v="Sale"/>
    <n v="-13"/>
    <n v="-13"/>
    <x v="0"/>
    <s v="PaperMate"/>
    <s v="Germany"/>
    <n v="5.5"/>
    <n v="12"/>
    <m/>
    <n v="71.5"/>
    <n v="156"/>
    <n v="0"/>
  </r>
  <r>
    <s v="INV-00660"/>
    <d v="2025-04-28T00:00:00"/>
    <s v="P018"/>
    <s v="Sale"/>
    <n v="-4"/>
    <n v="-4"/>
    <x v="0"/>
    <s v="DataStore"/>
    <s v="South Korea"/>
    <n v="5.2"/>
    <n v="11"/>
    <m/>
    <n v="20.8"/>
    <n v="44"/>
    <n v="0"/>
  </r>
  <r>
    <s v="INV-01719"/>
    <d v="2025-04-28T00:00:00"/>
    <s v="P030"/>
    <s v="Purchase"/>
    <n v="73"/>
    <n v="73"/>
    <x v="2"/>
    <s v="StoreMax"/>
    <s v="Germany"/>
    <n v="11"/>
    <n v="22"/>
    <s v="PO-85700"/>
    <n v="803"/>
    <n v="0"/>
    <n v="803"/>
  </r>
  <r>
    <s v="INV-00225"/>
    <d v="2025-04-28T00:00:00"/>
    <s v="P009"/>
    <s v="Sale"/>
    <n v="-14"/>
    <n v="-14"/>
    <x v="2"/>
    <s v="ComfortPro"/>
    <s v="Poland"/>
    <n v="105"/>
    <n v="165"/>
    <m/>
    <n v="1470"/>
    <n v="2310"/>
    <n v="0"/>
  </r>
  <r>
    <s v="INV-01576"/>
    <d v="2025-04-28T00:00:00"/>
    <s v="P003"/>
    <s v="Sale"/>
    <n v="-5"/>
    <n v="-5"/>
    <x v="0"/>
    <s v="ConnectX"/>
    <s v="China"/>
    <n v="16.5"/>
    <n v="28"/>
    <m/>
    <n v="82.5"/>
    <n v="140"/>
    <n v="0"/>
  </r>
  <r>
    <s v="INV-01773"/>
    <d v="2025-04-29T00:00:00"/>
    <s v="P028"/>
    <s v="Sale"/>
    <n v="-13"/>
    <n v="-13"/>
    <x v="1"/>
    <s v="PackRight"/>
    <s v="Poland"/>
    <n v="3"/>
    <n v="7"/>
    <m/>
    <n v="39"/>
    <n v="91"/>
    <n v="0"/>
  </r>
  <r>
    <s v="INV-00761"/>
    <d v="2025-04-29T00:00:00"/>
    <s v="P005"/>
    <s v="Sale"/>
    <n v="-7"/>
    <n v="-7"/>
    <x v="1"/>
    <s v="VisionTech"/>
    <s v="China"/>
    <n v="18.5"/>
    <n v="31"/>
    <m/>
    <n v="129.5"/>
    <n v="217"/>
    <n v="0"/>
  </r>
  <r>
    <s v="INV-01625"/>
    <d v="2025-04-29T00:00:00"/>
    <s v="P006"/>
    <s v="Sale"/>
    <n v="-5"/>
    <n v="-5"/>
    <x v="0"/>
    <s v="ViewPlus"/>
    <s v="South Korea"/>
    <n v="130"/>
    <n v="185"/>
    <m/>
    <n v="650"/>
    <n v="925"/>
    <n v="0"/>
  </r>
  <r>
    <s v="INV-00312"/>
    <d v="2025-04-29T00:00:00"/>
    <s v="P002"/>
    <s v="Purchase"/>
    <n v="78"/>
    <n v="78"/>
    <x v="0"/>
    <s v="KeyPro"/>
    <s v="China"/>
    <n v="25"/>
    <n v="42"/>
    <s v="PO-12693"/>
    <n v="1950"/>
    <n v="0"/>
    <n v="1950"/>
  </r>
  <r>
    <s v="INV-00826"/>
    <d v="2025-04-30T00:00:00"/>
    <s v="P029"/>
    <s v="Adjustment"/>
    <n v="4"/>
    <n v="4"/>
    <x v="0"/>
    <s v="PackRight"/>
    <s v="Poland"/>
    <n v="4"/>
    <n v="9"/>
    <m/>
    <n v="16"/>
    <n v="0"/>
    <n v="0"/>
  </r>
  <r>
    <s v="INV-00171"/>
    <d v="2025-04-30T00:00:00"/>
    <s v="P022"/>
    <s v="Purchase"/>
    <n v="38"/>
    <n v="38"/>
    <x v="1"/>
    <s v="HydroLife"/>
    <s v="Germany"/>
    <n v="8.5"/>
    <n v="18"/>
    <s v="PO-98356"/>
    <n v="323"/>
    <n v="0"/>
    <n v="323"/>
  </r>
  <r>
    <s v="INV-00367"/>
    <d v="2025-04-30T00:00:00"/>
    <s v="P029"/>
    <s v="Sale"/>
    <n v="-1"/>
    <n v="-1"/>
    <x v="2"/>
    <s v="PackRight"/>
    <s v="Poland"/>
    <n v="4"/>
    <n v="9"/>
    <m/>
    <n v="4"/>
    <n v="9"/>
    <n v="0"/>
  </r>
  <r>
    <s v="INV-00243"/>
    <d v="2025-05-01T00:00:00"/>
    <s v="P029"/>
    <s v="Sale"/>
    <n v="-5"/>
    <n v="-5"/>
    <x v="2"/>
    <s v="PackRight"/>
    <s v="Poland"/>
    <n v="4"/>
    <n v="9"/>
    <m/>
    <n v="20"/>
    <n v="45"/>
    <n v="0"/>
  </r>
  <r>
    <s v="INV-01459"/>
    <d v="2025-05-01T00:00:00"/>
    <s v="P007"/>
    <s v="Sale"/>
    <n v="-8"/>
    <n v="-8"/>
    <x v="2"/>
    <s v="DeskWorks"/>
    <s v="China"/>
    <n v="16"/>
    <n v="29"/>
    <m/>
    <n v="128"/>
    <n v="232"/>
    <n v="0"/>
  </r>
  <r>
    <s v="INV-00322"/>
    <d v="2025-05-01T00:00:00"/>
    <s v="P023"/>
    <s v="Sale"/>
    <n v="-11"/>
    <n v="-11"/>
    <x v="0"/>
    <s v="DeskWorks"/>
    <s v="China"/>
    <n v="8.8000000000000007"/>
    <n v="17"/>
    <m/>
    <n v="96.800000000000011"/>
    <n v="187"/>
    <n v="0"/>
  </r>
  <r>
    <s v="INV-01698"/>
    <d v="2025-05-01T00:00:00"/>
    <s v="P004"/>
    <s v="Sale"/>
    <n v="-7"/>
    <n v="-7"/>
    <x v="2"/>
    <s v="SoundMax"/>
    <s v="Vietnam"/>
    <n v="20"/>
    <n v="35"/>
    <m/>
    <n v="140"/>
    <n v="245"/>
    <n v="0"/>
  </r>
  <r>
    <s v="INV-01279"/>
    <d v="2025-05-01T00:00:00"/>
    <s v="P004"/>
    <s v="Purchase"/>
    <n v="66"/>
    <n v="66"/>
    <x v="2"/>
    <s v="SoundMax"/>
    <s v="Vietnam"/>
    <n v="20"/>
    <n v="35"/>
    <s v="PO-41921"/>
    <n v="1320"/>
    <n v="0"/>
    <n v="1320"/>
  </r>
  <r>
    <s v="INV-00057"/>
    <d v="2025-05-02T00:00:00"/>
    <s v="P003"/>
    <s v="Sale"/>
    <n v="-14"/>
    <n v="-14"/>
    <x v="1"/>
    <s v="ConnectX"/>
    <s v="China"/>
    <n v="16.5"/>
    <n v="28"/>
    <m/>
    <n v="231"/>
    <n v="392"/>
    <n v="0"/>
  </r>
  <r>
    <s v="INV-00753"/>
    <d v="2025-05-02T00:00:00"/>
    <s v="P020"/>
    <s v="Sale"/>
    <n v="-1"/>
    <n v="-1"/>
    <x v="3"/>
    <s v="PrintTech"/>
    <s v="Japan"/>
    <n v="30"/>
    <n v="48"/>
    <m/>
    <n v="30"/>
    <n v="48"/>
    <n v="0"/>
  </r>
  <r>
    <s v="INV-00914"/>
    <d v="2025-05-03T00:00:00"/>
    <s v="P013"/>
    <s v="Sale"/>
    <n v="-6"/>
    <n v="-6"/>
    <x v="2"/>
    <s v="DeskWorks"/>
    <s v="China"/>
    <n v="8"/>
    <n v="15"/>
    <m/>
    <n v="48"/>
    <n v="90"/>
    <n v="0"/>
  </r>
  <r>
    <s v="INV-01109"/>
    <d v="2025-05-03T00:00:00"/>
    <s v="P022"/>
    <s v="Purchase"/>
    <n v="110"/>
    <n v="110"/>
    <x v="2"/>
    <s v="HydroLife"/>
    <s v="Germany"/>
    <n v="8.5"/>
    <n v="18"/>
    <s v="PO-26498"/>
    <n v="935"/>
    <n v="0"/>
    <n v="935"/>
  </r>
  <r>
    <s v="INV-00948"/>
    <d v="2025-05-03T00:00:00"/>
    <s v="P028"/>
    <s v="Purchase"/>
    <n v="35"/>
    <n v="35"/>
    <x v="0"/>
    <s v="PackRight"/>
    <s v="Poland"/>
    <n v="3"/>
    <n v="7"/>
    <s v="PO-79374"/>
    <n v="105"/>
    <n v="0"/>
    <n v="105"/>
  </r>
  <r>
    <s v="INV-00278"/>
    <d v="2025-03-05T00:00:00"/>
    <s v="P021"/>
    <s v="Sale"/>
    <n v="-15"/>
    <n v="-15"/>
    <x v="2"/>
    <s v="TravelPro"/>
    <s v="Vietnam"/>
    <n v="25"/>
    <n v="45"/>
    <m/>
    <n v="375"/>
    <n v="675"/>
    <n v="0"/>
  </r>
  <r>
    <s v="INV-01505"/>
    <d v="2025-05-03T00:00:00"/>
    <s v="P012"/>
    <s v="Purchase"/>
    <n v="116"/>
    <n v="116"/>
    <x v="0"/>
    <s v="WriteWell"/>
    <s v="France"/>
    <n v="3.4"/>
    <n v="8"/>
    <s v="PO-16057"/>
    <n v="394.4"/>
    <n v="0"/>
    <n v="394.4"/>
  </r>
  <r>
    <s v="INV-01008"/>
    <d v="2025-05-05T00:00:00"/>
    <s v="P028"/>
    <s v="Purchase"/>
    <n v="98"/>
    <n v="98"/>
    <x v="2"/>
    <s v="PackRight"/>
    <s v="Poland"/>
    <n v="3"/>
    <n v="7"/>
    <s v="PO-37180"/>
    <n v="294"/>
    <n v="0"/>
    <n v="294"/>
  </r>
  <r>
    <s v="INV-00092"/>
    <d v="2025-05-05T00:00:00"/>
    <s v="P023"/>
    <s v="Sale"/>
    <n v="-4"/>
    <n v="-4"/>
    <x v="0"/>
    <s v="DeskWorks"/>
    <s v="China"/>
    <n v="8.8000000000000007"/>
    <n v="17"/>
    <m/>
    <n v="35.200000000000003"/>
    <n v="68"/>
    <n v="0"/>
  </r>
  <r>
    <s v="INV-00923"/>
    <d v="2025-05-06T00:00:00"/>
    <s v="P028"/>
    <s v="Sale"/>
    <n v="-9"/>
    <n v="-9"/>
    <x v="1"/>
    <s v="PackRight"/>
    <s v="Poland"/>
    <n v="3"/>
    <n v="7"/>
    <m/>
    <n v="27"/>
    <n v="63"/>
    <n v="0"/>
  </r>
  <r>
    <s v="INV-00136"/>
    <d v="2025-05-06T00:00:00"/>
    <s v="P011"/>
    <s v="Sale"/>
    <n v="-15"/>
    <n v="-15"/>
    <x v="0"/>
    <s v="PaperMate"/>
    <s v="Germany"/>
    <n v="2.6"/>
    <n v="5.5"/>
    <m/>
    <n v="39"/>
    <n v="82.5"/>
    <n v="0"/>
  </r>
  <r>
    <s v="INV-01196"/>
    <d v="2025-05-06T00:00:00"/>
    <s v="P028"/>
    <s v="Sale"/>
    <n v="-11"/>
    <n v="-11"/>
    <x v="1"/>
    <s v="PackRight"/>
    <s v="Poland"/>
    <n v="3"/>
    <n v="7"/>
    <m/>
    <n v="33"/>
    <n v="77"/>
    <n v="0"/>
  </r>
  <r>
    <s v="INV-00049"/>
    <d v="2025-05-06T00:00:00"/>
    <s v="P018"/>
    <s v="Sale"/>
    <n v="-13"/>
    <n v="-13"/>
    <x v="2"/>
    <s v="DataStore"/>
    <s v="South Korea"/>
    <n v="5.2"/>
    <n v="11"/>
    <m/>
    <n v="67.600000000000009"/>
    <n v="143"/>
    <n v="0"/>
  </r>
  <r>
    <s v="INV-00624"/>
    <d v="2025-05-07T00:00:00"/>
    <s v="P016"/>
    <s v="Sale"/>
    <n v="-13"/>
    <n v="-13"/>
    <x v="1"/>
    <s v="ConnectX"/>
    <s v="China"/>
    <n v="4.2"/>
    <n v="10"/>
    <m/>
    <n v="54.6"/>
    <n v="130"/>
    <n v="0"/>
  </r>
  <r>
    <s v="INV-01654"/>
    <d v="2025-05-07T00:00:00"/>
    <s v="P012"/>
    <s v="Sale"/>
    <n v="-11"/>
    <n v="-11"/>
    <x v="0"/>
    <s v="WriteWell"/>
    <s v="France"/>
    <n v="3.4"/>
    <n v="8"/>
    <m/>
    <n v="37.4"/>
    <n v="88"/>
    <n v="0"/>
  </r>
  <r>
    <s v="INV-00884"/>
    <d v="2025-05-08T00:00:00"/>
    <s v="P003"/>
    <s v="Sale"/>
    <n v="-12"/>
    <n v="-12"/>
    <x v="1"/>
    <s v="ConnectX"/>
    <s v="China"/>
    <n v="16.5"/>
    <n v="28"/>
    <m/>
    <n v="198"/>
    <n v="336"/>
    <n v="0"/>
  </r>
  <r>
    <s v="INV-00035"/>
    <d v="2025-05-08T00:00:00"/>
    <s v="P030"/>
    <s v="Sale"/>
    <n v="-4"/>
    <n v="-4"/>
    <x v="2"/>
    <s v="StoreMax"/>
    <s v="Germany"/>
    <n v="11"/>
    <n v="22"/>
    <m/>
    <n v="44"/>
    <n v="88"/>
    <n v="0"/>
  </r>
  <r>
    <s v="INV-00596"/>
    <d v="2025-05-08T00:00:00"/>
    <s v="P016"/>
    <s v="Sale"/>
    <n v="-6"/>
    <n v="-6"/>
    <x v="0"/>
    <s v="ConnectX"/>
    <s v="China"/>
    <n v="4.2"/>
    <n v="10"/>
    <m/>
    <n v="25.200000000000003"/>
    <n v="60"/>
    <n v="0"/>
  </r>
  <r>
    <s v="INV-01006"/>
    <d v="2025-05-09T00:00:00"/>
    <s v="P022"/>
    <s v="Adjustment"/>
    <n v="19"/>
    <n v="19"/>
    <x v="0"/>
    <s v="HydroLife"/>
    <s v="Germany"/>
    <n v="8.5"/>
    <n v="18"/>
    <m/>
    <n v="161.5"/>
    <n v="0"/>
    <n v="0"/>
  </r>
  <r>
    <s v="INV-01281"/>
    <d v="2025-05-09T00:00:00"/>
    <s v="P020"/>
    <s v="Sale"/>
    <n v="-3"/>
    <n v="-3"/>
    <x v="1"/>
    <s v="PrintTech"/>
    <s v="Japan"/>
    <n v="30"/>
    <n v="48"/>
    <m/>
    <n v="90"/>
    <n v="144"/>
    <n v="0"/>
  </r>
  <r>
    <s v="INV-00222"/>
    <d v="2025-05-09T00:00:00"/>
    <s v="P018"/>
    <s v="Sale"/>
    <n v="-3"/>
    <n v="-3"/>
    <x v="1"/>
    <s v="DataStore"/>
    <s v="South Korea"/>
    <n v="5.2"/>
    <n v="11"/>
    <m/>
    <n v="15.600000000000001"/>
    <n v="33"/>
    <n v="0"/>
  </r>
  <r>
    <s v="INV-00097"/>
    <d v="2025-05-09T00:00:00"/>
    <s v="P017"/>
    <s v="Sale"/>
    <n v="-12"/>
    <n v="-12"/>
    <x v="3"/>
    <s v="SoundMax"/>
    <s v="Vietnam"/>
    <n v="34"/>
    <n v="55"/>
    <m/>
    <n v="408"/>
    <n v="660"/>
    <n v="0"/>
  </r>
  <r>
    <s v="INV-00353"/>
    <d v="2025-05-09T00:00:00"/>
    <s v="P022"/>
    <s v="Sale"/>
    <n v="-9"/>
    <n v="-9"/>
    <x v="2"/>
    <s v="HydroLife"/>
    <s v="Germany"/>
    <n v="8.5"/>
    <n v="18"/>
    <m/>
    <n v="76.5"/>
    <n v="162"/>
    <n v="0"/>
  </r>
  <r>
    <s v="INV-01348"/>
    <d v="2025-05-10T00:00:00"/>
    <s v="P012"/>
    <s v="Sale"/>
    <n v="-1"/>
    <n v="-1"/>
    <x v="0"/>
    <s v="WriteWell"/>
    <s v="France"/>
    <n v="3.4"/>
    <n v="8"/>
    <m/>
    <n v="3.4"/>
    <n v="8"/>
    <n v="0"/>
  </r>
  <r>
    <s v="INV-01287"/>
    <d v="2025-05-10T00:00:00"/>
    <s v="P003"/>
    <s v="Sale"/>
    <n v="-13"/>
    <n v="-13"/>
    <x v="0"/>
    <s v="ConnectX"/>
    <s v="China"/>
    <n v="16.5"/>
    <n v="28"/>
    <m/>
    <n v="214.5"/>
    <n v="364"/>
    <n v="0"/>
  </r>
  <r>
    <s v="INV-00173"/>
    <d v="2025-05-10T00:00:00"/>
    <s v="P016"/>
    <s v="Purchase"/>
    <n v="47"/>
    <n v="47"/>
    <x v="0"/>
    <s v="ConnectX"/>
    <s v="China"/>
    <n v="4.2"/>
    <n v="10"/>
    <s v="PO-42642"/>
    <n v="197.4"/>
    <n v="0"/>
    <n v="197.4"/>
  </r>
  <r>
    <s v="INV-00149"/>
    <d v="2025-05-10T00:00:00"/>
    <s v="P002"/>
    <s v="Purchase"/>
    <n v="56"/>
    <n v="56"/>
    <x v="2"/>
    <s v="KeyPro"/>
    <s v="China"/>
    <n v="25"/>
    <n v="42"/>
    <s v="PO-29340"/>
    <n v="1400"/>
    <n v="0"/>
    <n v="1400"/>
  </r>
  <r>
    <s v="INV-00261"/>
    <d v="2025-05-10T00:00:00"/>
    <s v="P020"/>
    <s v="Purchase"/>
    <n v="49"/>
    <n v="49"/>
    <x v="0"/>
    <s v="PrintTech"/>
    <s v="Japan"/>
    <n v="30"/>
    <n v="48"/>
    <s v="PO-24026"/>
    <n v="1470"/>
    <n v="0"/>
    <n v="1470"/>
  </r>
  <r>
    <s v="INV-00116"/>
    <d v="2025-05-10T00:00:00"/>
    <s v="P028"/>
    <s v="Sale"/>
    <n v="-12"/>
    <n v="-12"/>
    <x v="0"/>
    <s v="PackRight"/>
    <s v="Poland"/>
    <n v="3"/>
    <n v="7"/>
    <m/>
    <n v="36"/>
    <n v="84"/>
    <n v="0"/>
  </r>
  <r>
    <s v="INV-01182"/>
    <d v="2025-05-10T00:00:00"/>
    <s v="P012"/>
    <s v="Purchase"/>
    <n v="61"/>
    <n v="61"/>
    <x v="1"/>
    <s v="WriteWell"/>
    <s v="France"/>
    <n v="3.4"/>
    <n v="8"/>
    <s v="PO-31518"/>
    <n v="207.4"/>
    <n v="0"/>
    <n v="207.4"/>
  </r>
  <r>
    <s v="INV-01746"/>
    <d v="2025-05-10T00:00:00"/>
    <s v="P016"/>
    <s v="Purchase"/>
    <n v="63"/>
    <n v="63"/>
    <x v="0"/>
    <s v="ConnectX"/>
    <s v="China"/>
    <n v="4.2"/>
    <n v="10"/>
    <s v="PO-70162"/>
    <n v="264.60000000000002"/>
    <n v="0"/>
    <n v="264.60000000000002"/>
  </r>
  <r>
    <s v="INV-01496"/>
    <d v="2025-05-10T00:00:00"/>
    <s v="P022"/>
    <s v="Purchase"/>
    <n v="25"/>
    <n v="25"/>
    <x v="1"/>
    <s v="HydroLife"/>
    <s v="Germany"/>
    <n v="8.5"/>
    <n v="18"/>
    <s v="PO-98938"/>
    <n v="212.5"/>
    <n v="0"/>
    <n v="212.5"/>
  </r>
  <r>
    <s v="INV-00211"/>
    <d v="2025-05-11T00:00:00"/>
    <s v="P018"/>
    <s v="Purchase"/>
    <n v="35"/>
    <n v="35"/>
    <x v="2"/>
    <s v="DataStore"/>
    <s v="South Korea"/>
    <n v="5.2"/>
    <n v="11"/>
    <s v="PO-81838"/>
    <n v="182"/>
    <n v="0"/>
    <n v="182"/>
  </r>
  <r>
    <s v="INV-01268"/>
    <d v="2025-05-11T00:00:00"/>
    <s v="P016"/>
    <s v="Adjustment"/>
    <n v="-6"/>
    <n v="-6"/>
    <x v="1"/>
    <s v="ConnectX"/>
    <s v="China"/>
    <n v="4.2"/>
    <n v="10"/>
    <m/>
    <n v="25.200000000000003"/>
    <n v="0"/>
    <n v="0"/>
  </r>
  <r>
    <s v="INV-00323"/>
    <d v="2025-05-12T00:00:00"/>
    <s v="P022"/>
    <s v="Adjustment"/>
    <n v="-12"/>
    <n v="-12"/>
    <x v="2"/>
    <s v="HydroLife"/>
    <s v="Germany"/>
    <n v="8.5"/>
    <n v="18"/>
    <m/>
    <n v="102"/>
    <n v="0"/>
    <n v="0"/>
  </r>
  <r>
    <s v="INV-00531"/>
    <d v="2025-05-12T00:00:00"/>
    <s v="P025"/>
    <s v="Purchase"/>
    <n v="41"/>
    <n v="41"/>
    <x v="0"/>
    <s v="PaperMate"/>
    <s v="Germany"/>
    <n v="5.5"/>
    <n v="12"/>
    <s v="PO-90212"/>
    <n v="225.5"/>
    <n v="0"/>
    <n v="225.5"/>
  </r>
  <r>
    <s v="INV-00193"/>
    <d v="2025-05-12T00:00:00"/>
    <s v="P028"/>
    <s v="Sale"/>
    <n v="-10"/>
    <n v="-10"/>
    <x v="0"/>
    <s v="PackRight"/>
    <s v="Poland"/>
    <n v="3"/>
    <n v="7"/>
    <m/>
    <n v="30"/>
    <n v="70"/>
    <n v="0"/>
  </r>
  <r>
    <s v="INV-01233"/>
    <d v="2025-05-13T00:00:00"/>
    <s v="P007"/>
    <s v="Sale"/>
    <n v="-7"/>
    <n v="-7"/>
    <x v="2"/>
    <s v="DeskWorks"/>
    <s v="China"/>
    <n v="16"/>
    <n v="29"/>
    <m/>
    <n v="112"/>
    <n v="203"/>
    <n v="0"/>
  </r>
  <r>
    <s v="INV-00861"/>
    <d v="2025-05-13T00:00:00"/>
    <s v="P025"/>
    <s v="Sale"/>
    <n v="-13"/>
    <n v="-13"/>
    <x v="0"/>
    <s v="PaperMate"/>
    <s v="Germany"/>
    <n v="5.5"/>
    <n v="12"/>
    <m/>
    <n v="71.5"/>
    <n v="156"/>
    <n v="0"/>
  </r>
  <r>
    <s v="INV-01278"/>
    <d v="2025-05-13T00:00:00"/>
    <s v="P030"/>
    <s v="Purchase"/>
    <n v="103"/>
    <n v="103"/>
    <x v="2"/>
    <s v="StoreMax"/>
    <s v="Germany"/>
    <n v="11"/>
    <n v="22"/>
    <s v="PO-59714"/>
    <n v="1133"/>
    <n v="0"/>
    <n v="1133"/>
  </r>
  <r>
    <s v="INV-00746"/>
    <d v="2025-05-13T00:00:00"/>
    <s v="P028"/>
    <s v="Sale"/>
    <n v="-4"/>
    <n v="-4"/>
    <x v="2"/>
    <s v="PackRight"/>
    <s v="Poland"/>
    <n v="3"/>
    <n v="7"/>
    <m/>
    <n v="12"/>
    <n v="28"/>
    <n v="0"/>
  </r>
  <r>
    <s v="INV-00232"/>
    <d v="2025-05-14T00:00:00"/>
    <s v="P016"/>
    <s v="Sale"/>
    <n v="-3"/>
    <n v="-3"/>
    <x v="0"/>
    <s v="ConnectX"/>
    <s v="China"/>
    <n v="4.2"/>
    <n v="10"/>
    <m/>
    <n v="12.600000000000001"/>
    <n v="30"/>
    <n v="0"/>
  </r>
  <r>
    <s v="INV-00271"/>
    <d v="2025-05-14T00:00:00"/>
    <s v="P025"/>
    <s v="Sale"/>
    <n v="-13"/>
    <n v="-13"/>
    <x v="0"/>
    <s v="PaperMate"/>
    <s v="Germany"/>
    <n v="5.5"/>
    <n v="12"/>
    <m/>
    <n v="71.5"/>
    <n v="156"/>
    <n v="0"/>
  </r>
  <r>
    <s v="INV-01446"/>
    <d v="2025-05-14T00:00:00"/>
    <s v="P006"/>
    <s v="Purchase"/>
    <n v="98"/>
    <n v="98"/>
    <x v="2"/>
    <s v="ViewPlus"/>
    <s v="South Korea"/>
    <n v="130"/>
    <n v="185"/>
    <s v="PO-77965"/>
    <n v="12740"/>
    <n v="0"/>
    <n v="12740"/>
  </r>
  <r>
    <s v="INV-00352"/>
    <d v="2025-05-15T00:00:00"/>
    <s v="P028"/>
    <s v="Purchase"/>
    <n v="84"/>
    <n v="84"/>
    <x v="1"/>
    <s v="PackRight"/>
    <s v="Poland"/>
    <n v="3"/>
    <n v="7"/>
    <s v="PO-82788"/>
    <n v="252"/>
    <n v="0"/>
    <n v="252"/>
  </r>
  <r>
    <s v="INV-00743"/>
    <d v="2025-05-15T00:00:00"/>
    <s v="P024"/>
    <s v="Sale"/>
    <n v="-1"/>
    <n v="-1"/>
    <x v="2"/>
    <s v="CalcPlus"/>
    <s v="China"/>
    <n v="6"/>
    <n v="14"/>
    <m/>
    <n v="6"/>
    <n v="14"/>
    <n v="0"/>
  </r>
  <r>
    <s v="INV-01782"/>
    <d v="2025-05-16T00:00:00"/>
    <s v="P028"/>
    <s v="Sale"/>
    <n v="-2"/>
    <n v="-2"/>
    <x v="0"/>
    <s v="PackRight"/>
    <s v="Poland"/>
    <n v="3"/>
    <n v="7"/>
    <m/>
    <n v="6"/>
    <n v="14"/>
    <n v="0"/>
  </r>
  <r>
    <s v="INV-01681"/>
    <d v="2025-05-16T00:00:00"/>
    <s v="P012"/>
    <s v="Purchase"/>
    <n v="111"/>
    <n v="111"/>
    <x v="2"/>
    <s v="WriteWell"/>
    <s v="France"/>
    <n v="3.4"/>
    <n v="8"/>
    <s v="PO-15913"/>
    <n v="377.4"/>
    <n v="0"/>
    <n v="377.4"/>
  </r>
  <r>
    <s v="INV-01477"/>
    <d v="2025-05-17T00:00:00"/>
    <s v="P025"/>
    <s v="Sale"/>
    <n v="-13"/>
    <n v="-13"/>
    <x v="0"/>
    <s v="PaperMate"/>
    <s v="Germany"/>
    <n v="5.5"/>
    <n v="12"/>
    <m/>
    <n v="71.5"/>
    <n v="156"/>
    <n v="0"/>
  </r>
  <r>
    <s v="INV-01664"/>
    <d v="2025-05-17T00:00:00"/>
    <s v="P016"/>
    <s v="Sale"/>
    <n v="-7"/>
    <n v="-7"/>
    <x v="2"/>
    <s v="ConnectX"/>
    <s v="China"/>
    <n v="4.2"/>
    <n v="10"/>
    <m/>
    <n v="29.400000000000002"/>
    <n v="70"/>
    <n v="0"/>
  </r>
  <r>
    <s v="INV-00782"/>
    <d v="2025-05-18T00:00:00"/>
    <s v="P017"/>
    <s v="Sale"/>
    <n v="-2"/>
    <n v="-2"/>
    <x v="1"/>
    <s v="SoundMax"/>
    <s v="Vietnam"/>
    <n v="34"/>
    <n v="55"/>
    <m/>
    <n v="68"/>
    <n v="110"/>
    <n v="0"/>
  </r>
  <r>
    <s v="INV-00403"/>
    <d v="2025-05-19T00:00:00"/>
    <s v="P016"/>
    <s v="Sale"/>
    <n v="-10"/>
    <n v="-10"/>
    <x v="2"/>
    <s v="ConnectX"/>
    <s v="China"/>
    <n v="4.2"/>
    <n v="10"/>
    <m/>
    <n v="42"/>
    <n v="100"/>
    <n v="0"/>
  </r>
  <r>
    <s v="INV-01507"/>
    <d v="2025-05-19T00:00:00"/>
    <s v="P018"/>
    <s v="Sale"/>
    <n v="-3"/>
    <n v="-3"/>
    <x v="2"/>
    <s v="DataStore"/>
    <s v="South Korea"/>
    <n v="5.2"/>
    <n v="11"/>
    <m/>
    <n v="15.600000000000001"/>
    <n v="33"/>
    <n v="0"/>
  </r>
  <r>
    <s v="INV-01294"/>
    <d v="2025-05-19T00:00:00"/>
    <s v="P022"/>
    <s v="Sale"/>
    <n v="-9"/>
    <n v="-9"/>
    <x v="0"/>
    <s v="HydroLife"/>
    <s v="Germany"/>
    <n v="8.5"/>
    <n v="18"/>
    <m/>
    <n v="76.5"/>
    <n v="162"/>
    <n v="0"/>
  </r>
  <r>
    <s v="INV-00416"/>
    <d v="2025-05-20T00:00:00"/>
    <s v="P015"/>
    <s v="Purchase"/>
    <n v="26"/>
    <n v="26"/>
    <x v="0"/>
    <s v="VoltPro"/>
    <s v="China"/>
    <n v="23"/>
    <n v="38"/>
    <s v="PO-80603"/>
    <n v="598"/>
    <n v="0"/>
    <n v="598"/>
  </r>
  <r>
    <s v="INV-01112"/>
    <d v="2025-05-20T00:00:00"/>
    <s v="P007"/>
    <s v="Purchase"/>
    <n v="20"/>
    <n v="20"/>
    <x v="1"/>
    <s v="DeskWorks"/>
    <s v="China"/>
    <n v="16"/>
    <n v="29"/>
    <s v="PO-76577"/>
    <n v="320"/>
    <n v="0"/>
    <n v="320"/>
  </r>
  <r>
    <s v="INV-00251"/>
    <d v="2025-05-20T00:00:00"/>
    <s v="P011"/>
    <s v="Sale"/>
    <n v="-4"/>
    <n v="-4"/>
    <x v="0"/>
    <s v="PaperMate"/>
    <s v="Germany"/>
    <n v="2.6"/>
    <n v="5.5"/>
    <m/>
    <n v="10.4"/>
    <n v="22"/>
    <n v="0"/>
  </r>
  <r>
    <s v="INV-01755"/>
    <d v="2025-05-20T00:00:00"/>
    <s v="P030"/>
    <s v="Purchase"/>
    <n v="119"/>
    <n v="119"/>
    <x v="1"/>
    <s v="StoreMax"/>
    <s v="Germany"/>
    <n v="11"/>
    <n v="22"/>
    <s v="PO-92015"/>
    <n v="1309"/>
    <n v="0"/>
    <n v="1309"/>
  </r>
  <r>
    <s v="INV-00745"/>
    <d v="2025-05-20T00:00:00"/>
    <s v="P008"/>
    <s v="Purchase"/>
    <n v="104"/>
    <n v="104"/>
    <x v="0"/>
    <s v="BrightHome"/>
    <s v="China"/>
    <n v="13.5"/>
    <n v="24"/>
    <s v="PO-41815"/>
    <n v="1404"/>
    <n v="0"/>
    <n v="1404"/>
  </r>
  <r>
    <s v="INV-01747"/>
    <d v="2025-05-21T00:00:00"/>
    <s v="P001"/>
    <s v="Purchase"/>
    <n v="106"/>
    <n v="106"/>
    <x v="2"/>
    <s v="TechGear"/>
    <s v="China"/>
    <n v="7.2"/>
    <n v="12.5"/>
    <s v="PO-75169"/>
    <n v="763.2"/>
    <n v="0"/>
    <n v="763.2"/>
  </r>
  <r>
    <s v="INV-01173"/>
    <d v="2025-05-21T00:00:00"/>
    <s v="P021"/>
    <s v="Sale"/>
    <n v="-8"/>
    <n v="-8"/>
    <x v="0"/>
    <s v="TravelPro"/>
    <s v="Vietnam"/>
    <n v="25"/>
    <n v="45"/>
    <m/>
    <n v="200"/>
    <n v="360"/>
    <n v="0"/>
  </r>
  <r>
    <s v="INV-01528"/>
    <d v="2025-05-21T00:00:00"/>
    <s v="P011"/>
    <s v="Sale"/>
    <n v="-3"/>
    <n v="-3"/>
    <x v="0"/>
    <s v="PaperMate"/>
    <s v="Germany"/>
    <n v="2.6"/>
    <n v="5.5"/>
    <m/>
    <n v="7.8000000000000007"/>
    <n v="16.5"/>
    <n v="0"/>
  </r>
  <r>
    <s v="INV-00803"/>
    <d v="2025-05-21T00:00:00"/>
    <s v="P018"/>
    <s v="Sale"/>
    <n v="-9"/>
    <n v="-9"/>
    <x v="2"/>
    <s v="DataStore"/>
    <s v="South Korea"/>
    <n v="5.2"/>
    <n v="11"/>
    <m/>
    <n v="46.800000000000004"/>
    <n v="99"/>
    <n v="0"/>
  </r>
  <r>
    <s v="INV-00455"/>
    <d v="2025-05-23T00:00:00"/>
    <s v="P003"/>
    <s v="Sale"/>
    <n v="-4"/>
    <n v="-4"/>
    <x v="0"/>
    <s v="ConnectX"/>
    <s v="China"/>
    <n v="16.5"/>
    <n v="28"/>
    <m/>
    <n v="66"/>
    <n v="112"/>
    <n v="0"/>
  </r>
  <r>
    <s v="INV-00291"/>
    <d v="2025-05-23T00:00:00"/>
    <s v="P001"/>
    <s v="Sale"/>
    <n v="-2"/>
    <n v="-2"/>
    <x v="0"/>
    <s v="TechGear"/>
    <s v="China"/>
    <n v="7.2"/>
    <n v="12.5"/>
    <m/>
    <n v="14.4"/>
    <n v="25"/>
    <n v="0"/>
  </r>
  <r>
    <s v="INV-01132"/>
    <d v="2025-05-23T00:00:00"/>
    <s v="P016"/>
    <s v="Sale"/>
    <n v="-3"/>
    <n v="-3"/>
    <x v="2"/>
    <s v="ConnectX"/>
    <s v="China"/>
    <n v="4.2"/>
    <n v="10"/>
    <m/>
    <n v="12.600000000000001"/>
    <n v="30"/>
    <n v="0"/>
  </r>
  <r>
    <s v="INV-00466"/>
    <d v="2025-05-24T00:00:00"/>
    <s v="P012"/>
    <s v="Sale"/>
    <n v="-8"/>
    <n v="-8"/>
    <x v="0"/>
    <s v="WriteWell"/>
    <s v="France"/>
    <n v="3.4"/>
    <n v="8"/>
    <m/>
    <n v="27.2"/>
    <n v="64"/>
    <n v="0"/>
  </r>
  <r>
    <s v="INV-01239"/>
    <d v="2025-05-24T00:00:00"/>
    <s v="P030"/>
    <s v="Purchase"/>
    <n v="114"/>
    <n v="114"/>
    <x v="0"/>
    <s v="StoreMax"/>
    <s v="Germany"/>
    <n v="11"/>
    <n v="22"/>
    <s v="PO-41110"/>
    <n v="1254"/>
    <n v="0"/>
    <n v="1254"/>
  </r>
  <r>
    <s v="INV-00227"/>
    <d v="2025-05-24T00:00:00"/>
    <s v="P030"/>
    <s v="Sale"/>
    <n v="-10"/>
    <n v="-10"/>
    <x v="0"/>
    <s v="StoreMax"/>
    <s v="Germany"/>
    <n v="11"/>
    <n v="22"/>
    <m/>
    <n v="110"/>
    <n v="220"/>
    <n v="0"/>
  </r>
  <r>
    <s v="INV-00567"/>
    <d v="2025-05-25T00:00:00"/>
    <s v="P013"/>
    <s v="Purchase"/>
    <n v="67"/>
    <n v="67"/>
    <x v="0"/>
    <s v="DeskWorks"/>
    <s v="China"/>
    <n v="8"/>
    <n v="15"/>
    <s v="PO-33086"/>
    <n v="536"/>
    <n v="0"/>
    <n v="536"/>
  </r>
  <r>
    <s v="INV-00604"/>
    <d v="2025-05-25T00:00:00"/>
    <s v="P003"/>
    <s v="Purchase"/>
    <n v="23"/>
    <n v="23"/>
    <x v="0"/>
    <s v="ConnectX"/>
    <s v="China"/>
    <n v="16.5"/>
    <n v="28"/>
    <s v="PO-91481"/>
    <n v="379.5"/>
    <n v="0"/>
    <n v="379.5"/>
  </r>
  <r>
    <s v="INV-01792"/>
    <d v="2025-05-25T00:00:00"/>
    <s v="P024"/>
    <s v="Purchase"/>
    <n v="22"/>
    <n v="22"/>
    <x v="0"/>
    <s v="CalcPlus"/>
    <s v="China"/>
    <n v="6"/>
    <n v="14"/>
    <s v="PO-37301"/>
    <n v="132"/>
    <n v="0"/>
    <n v="132"/>
  </r>
  <r>
    <s v="INV-00706"/>
    <d v="2025-05-26T00:00:00"/>
    <s v="P030"/>
    <s v="Purchase"/>
    <n v="41"/>
    <n v="41"/>
    <x v="0"/>
    <s v="StoreMax"/>
    <s v="Germany"/>
    <n v="11"/>
    <n v="22"/>
    <s v="PO-67016"/>
    <n v="451"/>
    <n v="0"/>
    <n v="451"/>
  </r>
  <r>
    <s v="INV-00682"/>
    <d v="2025-05-26T00:00:00"/>
    <s v="P008"/>
    <s v="Sale"/>
    <n v="-4"/>
    <n v="-4"/>
    <x v="0"/>
    <s v="BrightHome"/>
    <s v="China"/>
    <n v="13.5"/>
    <n v="24"/>
    <m/>
    <n v="54"/>
    <n v="96"/>
    <n v="0"/>
  </r>
  <r>
    <s v="INV-00020"/>
    <d v="2025-05-26T00:00:00"/>
    <s v="P011"/>
    <s v="Sale"/>
    <n v="-3"/>
    <n v="-3"/>
    <x v="0"/>
    <s v="PaperMate"/>
    <s v="Germany"/>
    <n v="2.6"/>
    <n v="5.5"/>
    <m/>
    <n v="7.8000000000000007"/>
    <n v="16.5"/>
    <n v="0"/>
  </r>
  <r>
    <s v="INV-01400"/>
    <d v="2025-05-26T00:00:00"/>
    <s v="P023"/>
    <s v="Sale"/>
    <n v="-11"/>
    <n v="-11"/>
    <x v="2"/>
    <s v="DeskWorks"/>
    <s v="China"/>
    <n v="8.8000000000000007"/>
    <n v="17"/>
    <m/>
    <n v="96.800000000000011"/>
    <n v="187"/>
    <n v="0"/>
  </r>
  <r>
    <s v="INV-00611"/>
    <d v="2025-05-27T00:00:00"/>
    <s v="P001"/>
    <s v="Sale"/>
    <n v="-8"/>
    <n v="-8"/>
    <x v="1"/>
    <s v="TechGear"/>
    <s v="China"/>
    <n v="7.2"/>
    <n v="12.5"/>
    <m/>
    <n v="57.6"/>
    <n v="100"/>
    <n v="0"/>
  </r>
  <r>
    <s v="INV-01632"/>
    <d v="2025-05-27T00:00:00"/>
    <s v="P012"/>
    <s v="Adjustment"/>
    <n v="12"/>
    <n v="12"/>
    <x v="0"/>
    <s v="WriteWell"/>
    <s v="France"/>
    <n v="3.4"/>
    <n v="8"/>
    <m/>
    <n v="40.799999999999997"/>
    <n v="0"/>
    <n v="0"/>
  </r>
  <r>
    <s v="INV-00893"/>
    <d v="2025-05-27T00:00:00"/>
    <s v="P026"/>
    <s v="Purchase"/>
    <n v="63"/>
    <n v="63"/>
    <x v="0"/>
    <s v="ScanPro"/>
    <s v="China"/>
    <n v="78"/>
    <n v="125"/>
    <s v="PO-91147"/>
    <n v="4914"/>
    <n v="0"/>
    <n v="4914"/>
  </r>
  <r>
    <s v="INV-00233"/>
    <d v="2025-05-28T00:00:00"/>
    <s v="P018"/>
    <s v="Sale"/>
    <n v="-3"/>
    <n v="-3"/>
    <x v="0"/>
    <s v="DataStore"/>
    <s v="South Korea"/>
    <n v="5.2"/>
    <n v="11"/>
    <m/>
    <n v="15.600000000000001"/>
    <n v="33"/>
    <n v="0"/>
  </r>
  <r>
    <s v="INV-00304"/>
    <d v="2025-05-29T00:00:00"/>
    <s v="P021"/>
    <s v="Sale"/>
    <n v="-7"/>
    <n v="-7"/>
    <x v="0"/>
    <s v="TravelPro"/>
    <s v="Vietnam"/>
    <n v="25"/>
    <n v="45"/>
    <m/>
    <n v="175"/>
    <n v="315"/>
    <n v="0"/>
  </r>
  <r>
    <s v="INV-01524"/>
    <d v="2025-05-29T00:00:00"/>
    <s v="P003"/>
    <s v="Sale"/>
    <n v="-2"/>
    <n v="-2"/>
    <x v="0"/>
    <s v="ConnectX"/>
    <s v="China"/>
    <n v="16.5"/>
    <n v="28"/>
    <m/>
    <n v="33"/>
    <n v="56"/>
    <n v="0"/>
  </r>
  <r>
    <s v="INV-01316"/>
    <d v="2025-05-29T00:00:00"/>
    <s v="P021"/>
    <s v="Sale"/>
    <n v="-1"/>
    <n v="-1"/>
    <x v="2"/>
    <s v="TravelPro"/>
    <s v="Vietnam"/>
    <n v="25"/>
    <n v="45"/>
    <m/>
    <n v="25"/>
    <n v="45"/>
    <n v="0"/>
  </r>
  <r>
    <s v="INV-00956"/>
    <d v="2025-05-29T00:00:00"/>
    <s v="P013"/>
    <s v="Purchase"/>
    <n v="72"/>
    <n v="72"/>
    <x v="2"/>
    <s v="DeskWorks"/>
    <s v="China"/>
    <n v="8"/>
    <n v="15"/>
    <s v="PO-85783"/>
    <n v="576"/>
    <n v="0"/>
    <n v="576"/>
  </r>
  <r>
    <s v="INV-01250"/>
    <d v="2025-05-30T00:00:00"/>
    <s v="P020"/>
    <s v="Purchase"/>
    <n v="88"/>
    <n v="88"/>
    <x v="1"/>
    <s v="PrintTech"/>
    <s v="Japan"/>
    <n v="30"/>
    <n v="48"/>
    <s v="PO-93038"/>
    <n v="2640"/>
    <n v="0"/>
    <n v="2640"/>
  </r>
  <r>
    <s v="INV-00530"/>
    <d v="2025-05-30T00:00:00"/>
    <s v="P028"/>
    <s v="Purchase"/>
    <n v="103"/>
    <n v="103"/>
    <x v="2"/>
    <s v="PackRight"/>
    <s v="Poland"/>
    <n v="3"/>
    <n v="7"/>
    <s v="PO-24193"/>
    <n v="309"/>
    <n v="0"/>
    <n v="309"/>
  </r>
  <r>
    <s v="INV-00733"/>
    <d v="2025-05-30T00:00:00"/>
    <s v="P022"/>
    <s v="Purchase"/>
    <n v="85"/>
    <n v="85"/>
    <x v="2"/>
    <s v="HydroLife"/>
    <s v="Germany"/>
    <n v="8.5"/>
    <n v="18"/>
    <s v="PO-86695"/>
    <n v="722.5"/>
    <n v="0"/>
    <n v="722.5"/>
  </r>
  <r>
    <s v="INV-00095"/>
    <d v="2025-05-30T00:00:00"/>
    <s v="P024"/>
    <s v="Sale"/>
    <n v="-4"/>
    <n v="-4"/>
    <x v="2"/>
    <s v="CalcPlus"/>
    <s v="China"/>
    <n v="6"/>
    <n v="14"/>
    <m/>
    <n v="24"/>
    <n v="56"/>
    <n v="0"/>
  </r>
  <r>
    <s v="INV-00564"/>
    <d v="2025-05-31T00:00:00"/>
    <s v="P001"/>
    <s v="Sale"/>
    <n v="-9"/>
    <n v="-9"/>
    <x v="0"/>
    <s v="TechGear"/>
    <s v="China"/>
    <n v="7.2"/>
    <n v="12.5"/>
    <m/>
    <n v="64.8"/>
    <n v="112.5"/>
    <n v="0"/>
  </r>
  <r>
    <s v="INV-01527"/>
    <d v="2025-05-31T00:00:00"/>
    <s v="P010"/>
    <s v="Sale"/>
    <n v="-7"/>
    <n v="-7"/>
    <x v="1"/>
    <s v="ErgoSpace"/>
    <s v="Germany"/>
    <n v="220"/>
    <n v="320"/>
    <m/>
    <n v="1540"/>
    <n v="2240"/>
    <n v="0"/>
  </r>
  <r>
    <s v="INV-00438"/>
    <d v="2025-05-31T00:00:00"/>
    <s v="P026"/>
    <s v="Purchase"/>
    <n v="36"/>
    <n v="36"/>
    <x v="1"/>
    <s v="ScanPro"/>
    <s v="China"/>
    <n v="78"/>
    <n v="125"/>
    <s v="PO-71762"/>
    <n v="2808"/>
    <n v="0"/>
    <n v="2808"/>
  </r>
  <r>
    <s v="INV-00183"/>
    <d v="2025-06-01T00:00:00"/>
    <s v="P029"/>
    <s v="Sale"/>
    <n v="-10"/>
    <n v="-10"/>
    <x v="0"/>
    <s v="PackRight"/>
    <s v="Poland"/>
    <n v="4"/>
    <n v="9"/>
    <m/>
    <n v="40"/>
    <n v="90"/>
    <n v="0"/>
  </r>
  <r>
    <s v="INV-00791"/>
    <d v="2025-06-01T00:00:00"/>
    <s v="P005"/>
    <s v="Sale"/>
    <n v="-10"/>
    <n v="-10"/>
    <x v="0"/>
    <s v="VisionTech"/>
    <s v="China"/>
    <n v="18.5"/>
    <n v="31"/>
    <m/>
    <n v="185"/>
    <n v="310"/>
    <n v="0"/>
  </r>
  <r>
    <s v="INV-01674"/>
    <d v="2025-06-01T00:00:00"/>
    <s v="P025"/>
    <s v="Sale"/>
    <n v="-9"/>
    <n v="-9"/>
    <x v="2"/>
    <s v="PaperMate"/>
    <s v="Germany"/>
    <n v="5.5"/>
    <n v="12"/>
    <m/>
    <n v="49.5"/>
    <n v="108"/>
    <n v="0"/>
  </r>
  <r>
    <s v="INV-00643"/>
    <d v="2025-06-02T00:00:00"/>
    <s v="P007"/>
    <s v="Sale"/>
    <n v="-12"/>
    <n v="-12"/>
    <x v="0"/>
    <s v="DeskWorks"/>
    <s v="China"/>
    <n v="16"/>
    <n v="29"/>
    <m/>
    <n v="192"/>
    <n v="348"/>
    <n v="0"/>
  </r>
  <r>
    <s v="INV-01412"/>
    <d v="2025-06-02T00:00:00"/>
    <s v="P003"/>
    <s v="Sale"/>
    <n v="-6"/>
    <n v="-6"/>
    <x v="2"/>
    <s v="ConnectX"/>
    <s v="China"/>
    <n v="16.5"/>
    <n v="28"/>
    <m/>
    <n v="99"/>
    <n v="168"/>
    <n v="0"/>
  </r>
  <r>
    <s v="INV-00205"/>
    <d v="2025-06-03T00:00:00"/>
    <s v="P020"/>
    <s v="Purchase"/>
    <n v="107"/>
    <n v="107"/>
    <x v="2"/>
    <s v="PrintTech"/>
    <s v="Japan"/>
    <n v="30"/>
    <n v="48"/>
    <s v="PO-15492"/>
    <n v="3210"/>
    <n v="0"/>
    <n v="3210"/>
  </r>
  <r>
    <s v="INV-00206"/>
    <d v="2025-06-03T00:00:00"/>
    <s v="P001"/>
    <s v="Sale"/>
    <n v="-2"/>
    <n v="-2"/>
    <x v="0"/>
    <s v="TechGear"/>
    <s v="China"/>
    <n v="7.2"/>
    <n v="12.5"/>
    <m/>
    <n v="14.4"/>
    <n v="25"/>
    <n v="0"/>
  </r>
  <r>
    <s v="INV-00302"/>
    <d v="2025-06-03T00:00:00"/>
    <s v="P017"/>
    <s v="Sale"/>
    <n v="-1"/>
    <n v="-1"/>
    <x v="0"/>
    <s v="SoundMax"/>
    <s v="Vietnam"/>
    <n v="34"/>
    <n v="55"/>
    <m/>
    <n v="34"/>
    <n v="55"/>
    <n v="0"/>
  </r>
  <r>
    <s v="INV-00118"/>
    <d v="2025-06-03T00:00:00"/>
    <s v="P006"/>
    <s v="Sale"/>
    <n v="-13"/>
    <n v="-13"/>
    <x v="1"/>
    <s v="ViewPlus"/>
    <s v="South Korea"/>
    <n v="130"/>
    <n v="185"/>
    <m/>
    <n v="1690"/>
    <n v="2405"/>
    <n v="0"/>
  </r>
  <r>
    <s v="INV-00891"/>
    <d v="2025-06-03T00:00:00"/>
    <s v="P023"/>
    <s v="Sale"/>
    <n v="-14"/>
    <n v="-14"/>
    <x v="0"/>
    <s v="DeskWorks"/>
    <s v="China"/>
    <n v="8.8000000000000007"/>
    <n v="17"/>
    <m/>
    <n v="123.20000000000002"/>
    <n v="238"/>
    <n v="0"/>
  </r>
  <r>
    <s v="INV-00286"/>
    <d v="2025-06-04T00:00:00"/>
    <s v="P001"/>
    <s v="Sale"/>
    <n v="-6"/>
    <n v="-6"/>
    <x v="2"/>
    <s v="TechGear"/>
    <s v="China"/>
    <n v="7.2"/>
    <n v="12.5"/>
    <m/>
    <n v="43.2"/>
    <n v="75"/>
    <n v="0"/>
  </r>
  <r>
    <s v="INV-00958"/>
    <d v="2025-06-04T00:00:00"/>
    <s v="P002"/>
    <s v="Return"/>
    <n v="1"/>
    <n v="1"/>
    <x v="2"/>
    <s v="KeyPro"/>
    <s v="China"/>
    <n v="25"/>
    <n v="42"/>
    <m/>
    <n v="25"/>
    <n v="0"/>
    <n v="0"/>
  </r>
  <r>
    <s v="INV-01657"/>
    <d v="2025-06-04T00:00:00"/>
    <s v="P018"/>
    <s v="Sale"/>
    <n v="-8"/>
    <n v="-8"/>
    <x v="0"/>
    <s v="DataStore"/>
    <s v="South Korea"/>
    <n v="5.2"/>
    <n v="11"/>
    <m/>
    <n v="41.6"/>
    <n v="88"/>
    <n v="0"/>
  </r>
  <r>
    <s v="INV-01549"/>
    <d v="2025-06-05T00:00:00"/>
    <s v="P001"/>
    <s v="Purchase"/>
    <n v="67"/>
    <n v="67"/>
    <x v="2"/>
    <s v="TechGear"/>
    <s v="China"/>
    <n v="7.2"/>
    <n v="12.5"/>
    <s v="PO-88065"/>
    <n v="482.40000000000003"/>
    <n v="0"/>
    <n v="482.40000000000003"/>
  </r>
  <r>
    <s v="INV-00630"/>
    <d v="2025-06-05T00:00:00"/>
    <s v="P008"/>
    <s v="Sale"/>
    <n v="-10"/>
    <n v="-10"/>
    <x v="2"/>
    <s v="BrightHome"/>
    <s v="China"/>
    <n v="13.5"/>
    <n v="24"/>
    <m/>
    <n v="135"/>
    <n v="240"/>
    <n v="0"/>
  </r>
  <r>
    <s v="INV-00192"/>
    <d v="2025-06-06T00:00:00"/>
    <s v="P028"/>
    <s v="Purchase"/>
    <n v="102"/>
    <n v="102"/>
    <x v="2"/>
    <s v="PackRight"/>
    <s v="Poland"/>
    <n v="3"/>
    <n v="7"/>
    <s v="PO-93729"/>
    <n v="306"/>
    <n v="0"/>
    <n v="306"/>
  </r>
  <r>
    <s v="INV-01134"/>
    <d v="2025-06-06T00:00:00"/>
    <s v="P007"/>
    <s v="Sale"/>
    <n v="-2"/>
    <n v="-2"/>
    <x v="0"/>
    <s v="DeskWorks"/>
    <s v="China"/>
    <n v="16"/>
    <n v="29"/>
    <m/>
    <n v="32"/>
    <n v="58"/>
    <n v="0"/>
  </r>
  <r>
    <s v="INV-00230"/>
    <d v="2025-06-06T00:00:00"/>
    <s v="P021"/>
    <s v="Sale"/>
    <n v="-8"/>
    <n v="-8"/>
    <x v="2"/>
    <s v="TravelPro"/>
    <s v="Vietnam"/>
    <n v="25"/>
    <n v="45"/>
    <m/>
    <n v="200"/>
    <n v="360"/>
    <n v="0"/>
  </r>
  <r>
    <s v="INV-00724"/>
    <d v="2025-06-07T00:00:00"/>
    <s v="P024"/>
    <s v="Sale"/>
    <n v="-13"/>
    <n v="-13"/>
    <x v="0"/>
    <s v="CalcPlus"/>
    <s v="China"/>
    <n v="6"/>
    <n v="14"/>
    <m/>
    <n v="78"/>
    <n v="182"/>
    <n v="0"/>
  </r>
  <r>
    <s v="INV-01333"/>
    <d v="2025-06-07T00:00:00"/>
    <s v="P008"/>
    <s v="Return"/>
    <n v="4"/>
    <n v="4"/>
    <x v="0"/>
    <s v="BrightHome"/>
    <s v="China"/>
    <n v="13.5"/>
    <n v="24"/>
    <m/>
    <n v="54"/>
    <n v="0"/>
    <n v="0"/>
  </r>
  <r>
    <s v="INV-00054"/>
    <d v="2025-06-07T00:00:00"/>
    <s v="P028"/>
    <s v="Sale"/>
    <n v="-2"/>
    <n v="-2"/>
    <x v="1"/>
    <s v="PackRight"/>
    <s v="Poland"/>
    <n v="3"/>
    <n v="7"/>
    <m/>
    <n v="6"/>
    <n v="14"/>
    <n v="0"/>
  </r>
  <r>
    <s v="INV-01551"/>
    <d v="2025-06-07T00:00:00"/>
    <s v="P029"/>
    <s v="Purchase"/>
    <n v="50"/>
    <n v="50"/>
    <x v="1"/>
    <s v="PackRight"/>
    <s v="Poland"/>
    <n v="4"/>
    <n v="9"/>
    <s v="PO-36309"/>
    <n v="200"/>
    <n v="0"/>
    <n v="200"/>
  </r>
  <r>
    <s v="INV-01418"/>
    <d v="2025-06-07T00:00:00"/>
    <s v="P004"/>
    <s v="Purchase"/>
    <n v="35"/>
    <n v="35"/>
    <x v="0"/>
    <s v="SoundMax"/>
    <s v="Vietnam"/>
    <n v="20"/>
    <n v="35"/>
    <s v="PO-70422"/>
    <n v="700"/>
    <n v="0"/>
    <n v="700"/>
  </r>
  <r>
    <s v="INV-00734"/>
    <d v="2025-06-08T00:00:00"/>
    <s v="P017"/>
    <s v="Purchase"/>
    <n v="79"/>
    <n v="79"/>
    <x v="2"/>
    <s v="SoundMax"/>
    <s v="Vietnam"/>
    <n v="34"/>
    <n v="55"/>
    <s v="PO-12274"/>
    <n v="2686"/>
    <n v="0"/>
    <n v="2686"/>
  </r>
  <r>
    <s v="INV-00988"/>
    <d v="2025-06-08T00:00:00"/>
    <s v="P015"/>
    <s v="Purchase"/>
    <n v="72"/>
    <n v="72"/>
    <x v="0"/>
    <s v="VoltPro"/>
    <s v="China"/>
    <n v="23"/>
    <n v="38"/>
    <s v="PO-38878"/>
    <n v="1656"/>
    <n v="0"/>
    <n v="1656"/>
  </r>
  <r>
    <s v="INV-00408"/>
    <d v="2025-06-10T00:00:00"/>
    <s v="P001"/>
    <s v="Sale"/>
    <n v="-2"/>
    <n v="-2"/>
    <x v="1"/>
    <s v="TechGear"/>
    <s v="China"/>
    <n v="7.2"/>
    <n v="12.5"/>
    <m/>
    <n v="14.4"/>
    <n v="25"/>
    <n v="0"/>
  </r>
  <r>
    <s v="INV-01688"/>
    <d v="2025-06-10T00:00:00"/>
    <s v="P016"/>
    <s v="Purchase"/>
    <n v="96"/>
    <n v="96"/>
    <x v="0"/>
    <s v="ConnectX"/>
    <s v="China"/>
    <n v="4.2"/>
    <n v="10"/>
    <s v="PO-48379"/>
    <n v="403.20000000000005"/>
    <n v="0"/>
    <n v="403.20000000000005"/>
  </r>
  <r>
    <s v="INV-01059"/>
    <d v="2025-06-10T00:00:00"/>
    <s v="P016"/>
    <s v="Purchase"/>
    <n v="26"/>
    <n v="26"/>
    <x v="0"/>
    <s v="ConnectX"/>
    <s v="China"/>
    <n v="4.2"/>
    <n v="10"/>
    <s v="PO-41159"/>
    <n v="109.2"/>
    <n v="0"/>
    <n v="109.2"/>
  </r>
  <r>
    <s v="INV-00241"/>
    <d v="2025-06-10T00:00:00"/>
    <s v="P029"/>
    <s v="Sale"/>
    <n v="-12"/>
    <n v="-12"/>
    <x v="0"/>
    <s v="PackRight"/>
    <s v="Poland"/>
    <n v="4"/>
    <n v="9"/>
    <m/>
    <n v="48"/>
    <n v="108"/>
    <n v="0"/>
  </r>
  <r>
    <s v="INV-01378"/>
    <d v="2025-06-10T00:00:00"/>
    <s v="P016"/>
    <s v="Sale"/>
    <n v="-5"/>
    <n v="-5"/>
    <x v="0"/>
    <s v="ConnectX"/>
    <s v="China"/>
    <n v="4.2"/>
    <n v="10"/>
    <m/>
    <n v="21"/>
    <n v="50"/>
    <n v="0"/>
  </r>
  <r>
    <s v="INV-00084"/>
    <d v="2025-06-11T00:00:00"/>
    <s v="P002"/>
    <s v="Sale"/>
    <n v="-11"/>
    <n v="-11"/>
    <x v="1"/>
    <s v="KeyPro"/>
    <s v="China"/>
    <n v="25"/>
    <n v="42"/>
    <m/>
    <n v="275"/>
    <n v="462"/>
    <n v="0"/>
  </r>
  <r>
    <s v="INV-00712"/>
    <d v="2025-06-11T00:00:00"/>
    <s v="P019"/>
    <s v="Sale"/>
    <n v="-13"/>
    <n v="-13"/>
    <x v="2"/>
    <s v="PrintTech"/>
    <s v="Japan"/>
    <n v="145"/>
    <n v="210"/>
    <m/>
    <n v="1885"/>
    <n v="2730"/>
    <n v="0"/>
  </r>
  <r>
    <s v="INV-01188"/>
    <d v="2025-06-11T00:00:00"/>
    <s v="P002"/>
    <s v="Sale"/>
    <n v="-11"/>
    <n v="-11"/>
    <x v="0"/>
    <s v="KeyPro"/>
    <s v="China"/>
    <n v="25"/>
    <n v="42"/>
    <m/>
    <n v="275"/>
    <n v="462"/>
    <n v="0"/>
  </r>
  <r>
    <s v="INV-00838"/>
    <d v="2025-06-11T00:00:00"/>
    <s v="P012"/>
    <s v="Sale"/>
    <n v="-5"/>
    <n v="-5"/>
    <x v="0"/>
    <s v="WriteWell"/>
    <s v="France"/>
    <n v="3.4"/>
    <n v="8"/>
    <m/>
    <n v="17"/>
    <n v="40"/>
    <n v="0"/>
  </r>
  <r>
    <s v="INV-00873"/>
    <d v="2025-06-12T00:00:00"/>
    <s v="P021"/>
    <s v="Sale"/>
    <n v="-13"/>
    <n v="-13"/>
    <x v="1"/>
    <s v="TravelPro"/>
    <s v="Vietnam"/>
    <n v="25"/>
    <n v="45"/>
    <m/>
    <n v="325"/>
    <n v="585"/>
    <n v="0"/>
  </r>
  <r>
    <s v="INV-00407"/>
    <d v="2025-06-13T00:00:00"/>
    <s v="P013"/>
    <s v="Purchase"/>
    <n v="83"/>
    <n v="83"/>
    <x v="2"/>
    <s v="DeskWorks"/>
    <s v="China"/>
    <n v="8"/>
    <n v="15"/>
    <s v="PO-16333"/>
    <n v="664"/>
    <n v="0"/>
    <n v="664"/>
  </r>
  <r>
    <s v="INV-01713"/>
    <d v="2025-06-13T00:00:00"/>
    <s v="P025"/>
    <s v="Adjustment"/>
    <n v="-6"/>
    <n v="-6"/>
    <x v="0"/>
    <s v="PaperMate"/>
    <s v="Germany"/>
    <n v="5.5"/>
    <n v="12"/>
    <m/>
    <n v="33"/>
    <n v="0"/>
    <n v="0"/>
  </r>
  <r>
    <s v="INV-00911"/>
    <d v="2025-06-13T00:00:00"/>
    <s v="P018"/>
    <s v="Sale"/>
    <n v="-12"/>
    <n v="-12"/>
    <x v="0"/>
    <s v="DataStore"/>
    <s v="South Korea"/>
    <n v="5.2"/>
    <n v="11"/>
    <m/>
    <n v="62.400000000000006"/>
    <n v="132"/>
    <n v="0"/>
  </r>
  <r>
    <s v="INV-00566"/>
    <d v="2025-06-14T00:00:00"/>
    <s v="P018"/>
    <s v="Purchase"/>
    <n v="118"/>
    <n v="118"/>
    <x v="0"/>
    <s v="DataStore"/>
    <s v="South Korea"/>
    <n v="5.2"/>
    <n v="11"/>
    <s v="PO-71807"/>
    <n v="613.6"/>
    <n v="0"/>
    <n v="613.6"/>
  </r>
  <r>
    <s v="INV-01304"/>
    <d v="2025-06-15T00:00:00"/>
    <s v="P017"/>
    <s v="Sale"/>
    <n v="-12"/>
    <n v="-12"/>
    <x v="0"/>
    <s v="SoundMax"/>
    <s v="Vietnam"/>
    <n v="34"/>
    <n v="55"/>
    <m/>
    <n v="408"/>
    <n v="660"/>
    <n v="0"/>
  </r>
  <r>
    <s v="INV-00165"/>
    <d v="2025-06-15T00:00:00"/>
    <s v="P003"/>
    <s v="Sale"/>
    <n v="-8"/>
    <n v="-8"/>
    <x v="0"/>
    <s v="ConnectX"/>
    <s v="China"/>
    <n v="16.5"/>
    <n v="28"/>
    <m/>
    <n v="132"/>
    <n v="224"/>
    <n v="0"/>
  </r>
  <r>
    <s v="INV-00853"/>
    <d v="2025-06-15T00:00:00"/>
    <s v="P007"/>
    <s v="Sale"/>
    <n v="-6"/>
    <n v="-6"/>
    <x v="2"/>
    <s v="DeskWorks"/>
    <s v="China"/>
    <n v="16"/>
    <n v="29"/>
    <m/>
    <n v="96"/>
    <n v="174"/>
    <n v="0"/>
  </r>
  <r>
    <s v="INV-01502"/>
    <d v="2025-06-15T00:00:00"/>
    <s v="P016"/>
    <s v="Adjustment"/>
    <n v="-3"/>
    <n v="-3"/>
    <x v="2"/>
    <s v="ConnectX"/>
    <s v="China"/>
    <n v="4.2"/>
    <n v="10"/>
    <m/>
    <n v="12.600000000000001"/>
    <n v="0"/>
    <n v="0"/>
  </r>
  <r>
    <s v="INV-00862"/>
    <d v="2025-06-15T00:00:00"/>
    <s v="P015"/>
    <s v="Sale"/>
    <n v="-4"/>
    <n v="-4"/>
    <x v="0"/>
    <s v="VoltPro"/>
    <s v="China"/>
    <n v="23"/>
    <n v="38"/>
    <m/>
    <n v="92"/>
    <n v="152"/>
    <n v="0"/>
  </r>
  <r>
    <s v="INV-01797"/>
    <d v="2025-06-15T00:00:00"/>
    <s v="P023"/>
    <s v="Purchase"/>
    <n v="117"/>
    <n v="117"/>
    <x v="1"/>
    <s v="DeskWorks"/>
    <s v="China"/>
    <n v="8.8000000000000007"/>
    <n v="17"/>
    <s v="PO-48015"/>
    <n v="1029.6000000000001"/>
    <n v="0"/>
    <n v="1029.6000000000001"/>
  </r>
  <r>
    <s v="INV-00523"/>
    <d v="2025-06-16T00:00:00"/>
    <s v="P030"/>
    <s v="Sale"/>
    <n v="-9"/>
    <n v="-9"/>
    <x v="0"/>
    <s v="StoreMax"/>
    <s v="Germany"/>
    <n v="11"/>
    <n v="22"/>
    <m/>
    <n v="99"/>
    <n v="198"/>
    <n v="0"/>
  </r>
  <r>
    <s v="INV-01223"/>
    <d v="2025-06-16T00:00:00"/>
    <s v="P014"/>
    <s v="Sale"/>
    <n v="-1"/>
    <n v="-1"/>
    <x v="1"/>
    <s v="DataStore"/>
    <s v="South Korea"/>
    <n v="63"/>
    <n v="95"/>
    <m/>
    <n v="63"/>
    <n v="95"/>
    <n v="0"/>
  </r>
  <r>
    <s v="INV-00726"/>
    <d v="2025-06-16T00:00:00"/>
    <s v="P027"/>
    <s v="Purchase"/>
    <n v="102"/>
    <n v="102"/>
    <x v="1"/>
    <s v="PrintTech"/>
    <s v="Japan"/>
    <n v="82"/>
    <n v="135"/>
    <s v="PO-55213"/>
    <n v="8364"/>
    <n v="0"/>
    <n v="8364"/>
  </r>
  <r>
    <s v="INV-00181"/>
    <d v="2025-06-17T00:00:00"/>
    <s v="P012"/>
    <s v="Purchase"/>
    <n v="62"/>
    <n v="62"/>
    <x v="2"/>
    <s v="WriteWell"/>
    <s v="France"/>
    <n v="3.4"/>
    <n v="8"/>
    <s v="PO-83686"/>
    <n v="210.79999999999998"/>
    <n v="0"/>
    <n v="210.79999999999998"/>
  </r>
  <r>
    <s v="INV-00795"/>
    <d v="2025-06-17T00:00:00"/>
    <s v="P001"/>
    <s v="Purchase"/>
    <n v="116"/>
    <n v="116"/>
    <x v="0"/>
    <s v="TechGear"/>
    <s v="China"/>
    <n v="7.2"/>
    <n v="12.5"/>
    <s v="PO-45053"/>
    <n v="835.2"/>
    <n v="0"/>
    <n v="835.2"/>
  </r>
  <r>
    <s v="INV-00541"/>
    <d v="2025-06-17T00:00:00"/>
    <s v="P029"/>
    <s v="Sale"/>
    <n v="-1"/>
    <n v="-1"/>
    <x v="0"/>
    <s v="PackRight"/>
    <s v="Poland"/>
    <n v="4"/>
    <n v="9"/>
    <m/>
    <n v="4"/>
    <n v="9"/>
    <n v="0"/>
  </r>
  <r>
    <s v="INV-00447"/>
    <d v="2025-06-18T00:00:00"/>
    <s v="P030"/>
    <s v="Purchase"/>
    <n v="33"/>
    <n v="33"/>
    <x v="2"/>
    <s v="StoreMax"/>
    <s v="Germany"/>
    <n v="11"/>
    <n v="22"/>
    <s v="PO-47338"/>
    <n v="363"/>
    <n v="0"/>
    <n v="363"/>
  </r>
  <r>
    <s v="INV-00315"/>
    <d v="2025-06-18T00:00:00"/>
    <s v="P027"/>
    <s v="Sale"/>
    <n v="-9"/>
    <n v="-9"/>
    <x v="0"/>
    <s v="PrintTech"/>
    <s v="Japan"/>
    <n v="82"/>
    <n v="135"/>
    <m/>
    <n v="738"/>
    <n v="1215"/>
    <n v="0"/>
  </r>
  <r>
    <s v="INV-00122"/>
    <d v="2025-06-18T00:00:00"/>
    <s v="P028"/>
    <s v="Purchase"/>
    <n v="27"/>
    <n v="27"/>
    <x v="0"/>
    <s v="PackRight"/>
    <s v="Poland"/>
    <n v="3"/>
    <n v="7"/>
    <s v="PO-93029"/>
    <n v="81"/>
    <n v="0"/>
    <n v="81"/>
  </r>
  <r>
    <s v="INV-01396"/>
    <d v="2025-06-18T00:00:00"/>
    <s v="P026"/>
    <s v="Sale"/>
    <n v="-12"/>
    <n v="-12"/>
    <x v="2"/>
    <s v="ScanPro"/>
    <s v="China"/>
    <n v="78"/>
    <n v="125"/>
    <m/>
    <n v="936"/>
    <n v="1500"/>
    <n v="0"/>
  </r>
  <r>
    <s v="INV-01224"/>
    <d v="2025-06-18T00:00:00"/>
    <s v="P029"/>
    <s v="Purchase"/>
    <n v="117"/>
    <n v="117"/>
    <x v="1"/>
    <s v="PackRight"/>
    <s v="Poland"/>
    <n v="4"/>
    <n v="9"/>
    <s v="PO-55210"/>
    <n v="468"/>
    <n v="0"/>
    <n v="468"/>
  </r>
  <r>
    <s v="INV-00526"/>
    <d v="2025-06-19T00:00:00"/>
    <s v="P016"/>
    <s v="Adjustment"/>
    <n v="6"/>
    <n v="6"/>
    <x v="0"/>
    <s v="ConnectX"/>
    <s v="China"/>
    <n v="4.2"/>
    <n v="10"/>
    <m/>
    <n v="25.200000000000003"/>
    <n v="0"/>
    <n v="0"/>
  </r>
  <r>
    <s v="INV-00811"/>
    <d v="2025-06-20T00:00:00"/>
    <s v="P030"/>
    <s v="Sale"/>
    <n v="-2"/>
    <n v="-2"/>
    <x v="2"/>
    <s v="StoreMax"/>
    <s v="Germany"/>
    <n v="11"/>
    <n v="22"/>
    <m/>
    <n v="22"/>
    <n v="44"/>
    <n v="0"/>
  </r>
  <r>
    <s v="INV-01520"/>
    <d v="2025-06-20T00:00:00"/>
    <s v="P029"/>
    <s v="Sale"/>
    <n v="-1"/>
    <n v="-1"/>
    <x v="0"/>
    <s v="PackRight"/>
    <s v="Poland"/>
    <n v="4"/>
    <n v="9"/>
    <m/>
    <n v="4"/>
    <n v="9"/>
    <n v="0"/>
  </r>
  <r>
    <s v="INV-00011"/>
    <d v="2025-06-20T00:00:00"/>
    <s v="P001"/>
    <s v="Sale"/>
    <n v="-6"/>
    <n v="-6"/>
    <x v="0"/>
    <s v="TechGear"/>
    <s v="China"/>
    <n v="7.2"/>
    <n v="12.5"/>
    <m/>
    <n v="43.2"/>
    <n v="75"/>
    <n v="0"/>
  </r>
  <r>
    <s v="INV-00078"/>
    <d v="2025-06-20T00:00:00"/>
    <s v="P002"/>
    <s v="Sale"/>
    <n v="-2"/>
    <n v="-2"/>
    <x v="0"/>
    <s v="KeyPro"/>
    <s v="China"/>
    <n v="25"/>
    <n v="42"/>
    <m/>
    <n v="50"/>
    <n v="84"/>
    <n v="0"/>
  </r>
  <r>
    <s v="INV-01123"/>
    <d v="2025-06-20T00:00:00"/>
    <s v="P028"/>
    <s v="Sale"/>
    <n v="-7"/>
    <n v="-7"/>
    <x v="0"/>
    <s v="PackRight"/>
    <s v="Poland"/>
    <n v="3"/>
    <n v="7"/>
    <m/>
    <n v="21"/>
    <n v="49"/>
    <n v="0"/>
  </r>
  <r>
    <s v="INV-00610"/>
    <d v="2025-06-20T00:00:00"/>
    <s v="P022"/>
    <s v="Sale"/>
    <n v="-15"/>
    <n v="-15"/>
    <x v="0"/>
    <s v="HydroLife"/>
    <s v="Germany"/>
    <n v="8.5"/>
    <n v="18"/>
    <m/>
    <n v="127.5"/>
    <n v="270"/>
    <n v="0"/>
  </r>
  <r>
    <s v="INV-01179"/>
    <d v="2025-06-21T00:00:00"/>
    <s v="P024"/>
    <s v="Sale"/>
    <n v="-15"/>
    <n v="-15"/>
    <x v="1"/>
    <s v="CalcPlus"/>
    <s v="China"/>
    <n v="6"/>
    <n v="14"/>
    <m/>
    <n v="90"/>
    <n v="210"/>
    <n v="0"/>
  </r>
  <r>
    <s v="INV-01387"/>
    <d v="2025-06-21T00:00:00"/>
    <s v="P024"/>
    <s v="Sale"/>
    <n v="-3"/>
    <n v="-3"/>
    <x v="0"/>
    <s v="CalcPlus"/>
    <s v="China"/>
    <n v="6"/>
    <n v="14"/>
    <m/>
    <n v="18"/>
    <n v="42"/>
    <n v="0"/>
  </r>
  <r>
    <s v="INV-01139"/>
    <d v="2025-06-21T00:00:00"/>
    <s v="P016"/>
    <s v="Adjustment"/>
    <n v="-18"/>
    <n v="-18"/>
    <x v="2"/>
    <s v="ConnectX"/>
    <s v="China"/>
    <n v="4.2"/>
    <n v="10"/>
    <m/>
    <n v="75.600000000000009"/>
    <n v="0"/>
    <n v="0"/>
  </r>
  <r>
    <s v="INV-01621"/>
    <d v="2025-06-22T00:00:00"/>
    <s v="P016"/>
    <s v="Sale"/>
    <n v="-13"/>
    <n v="-13"/>
    <x v="2"/>
    <s v="ConnectX"/>
    <s v="China"/>
    <n v="4.2"/>
    <n v="10"/>
    <m/>
    <n v="54.6"/>
    <n v="130"/>
    <n v="0"/>
  </r>
  <r>
    <s v="INV-01289"/>
    <d v="2025-06-22T00:00:00"/>
    <s v="P001"/>
    <s v="Sale"/>
    <n v="-9"/>
    <n v="-9"/>
    <x v="0"/>
    <s v="TechGear"/>
    <s v="China"/>
    <n v="7.2"/>
    <n v="12.5"/>
    <m/>
    <n v="64.8"/>
    <n v="112.5"/>
    <n v="0"/>
  </r>
  <r>
    <s v="INV-00831"/>
    <d v="2025-06-22T00:00:00"/>
    <s v="P007"/>
    <s v="Sale"/>
    <n v="-15"/>
    <n v="-15"/>
    <x v="2"/>
    <s v="DeskWorks"/>
    <s v="China"/>
    <n v="16"/>
    <n v="29"/>
    <m/>
    <n v="240"/>
    <n v="435"/>
    <n v="0"/>
  </r>
  <r>
    <s v="INV-01341"/>
    <d v="2025-06-23T00:00:00"/>
    <s v="P008"/>
    <s v="Sale"/>
    <n v="-8"/>
    <n v="-8"/>
    <x v="1"/>
    <s v="BrightHome"/>
    <s v="China"/>
    <n v="13.5"/>
    <n v="24"/>
    <m/>
    <n v="108"/>
    <n v="192"/>
    <n v="0"/>
  </r>
  <r>
    <s v="INV-00961"/>
    <d v="2025-06-23T00:00:00"/>
    <s v="P003"/>
    <s v="Purchase"/>
    <n v="48"/>
    <n v="48"/>
    <x v="0"/>
    <s v="ConnectX"/>
    <s v="China"/>
    <n v="16.5"/>
    <n v="28"/>
    <s v="PO-41655"/>
    <n v="792"/>
    <n v="0"/>
    <n v="792"/>
  </r>
  <r>
    <s v="INV-01296"/>
    <d v="2025-06-23T00:00:00"/>
    <s v="P007"/>
    <s v="Sale"/>
    <n v="-15"/>
    <n v="-15"/>
    <x v="0"/>
    <s v="DeskWorks"/>
    <s v="China"/>
    <n v="16"/>
    <n v="29"/>
    <m/>
    <n v="240"/>
    <n v="435"/>
    <n v="0"/>
  </r>
  <r>
    <s v="INV-01101"/>
    <d v="2025-06-25T00:00:00"/>
    <s v="P002"/>
    <s v="Purchase"/>
    <n v="101"/>
    <n v="101"/>
    <x v="1"/>
    <s v="KeyPro"/>
    <s v="China"/>
    <n v="25"/>
    <n v="42"/>
    <s v="PO-51190"/>
    <n v="2525"/>
    <n v="0"/>
    <n v="2525"/>
  </r>
  <r>
    <s v="INV-00162"/>
    <d v="2025-06-25T00:00:00"/>
    <s v="P021"/>
    <s v="Sale"/>
    <n v="-3"/>
    <n v="-3"/>
    <x v="2"/>
    <s v="TravelPro"/>
    <s v="Vietnam"/>
    <n v="25"/>
    <n v="45"/>
    <m/>
    <n v="75"/>
    <n v="135"/>
    <n v="0"/>
  </r>
  <r>
    <s v="INV-01060"/>
    <d v="2025-06-25T00:00:00"/>
    <s v="P020"/>
    <s v="Purchase"/>
    <n v="30"/>
    <n v="30"/>
    <x v="0"/>
    <s v="PrintTech"/>
    <s v="Japan"/>
    <n v="30"/>
    <n v="48"/>
    <s v="PO-52039"/>
    <n v="900"/>
    <n v="0"/>
    <n v="900"/>
  </r>
  <r>
    <s v="INV-00402"/>
    <d v="2025-06-26T00:00:00"/>
    <s v="P028"/>
    <s v="Purchase"/>
    <n v="24"/>
    <n v="24"/>
    <x v="1"/>
    <s v="PackRight"/>
    <s v="Poland"/>
    <n v="3"/>
    <n v="7"/>
    <s v="PO-75129"/>
    <n v="72"/>
    <n v="0"/>
    <n v="72"/>
  </r>
  <r>
    <s v="INV-01709"/>
    <d v="2025-06-26T00:00:00"/>
    <s v="P020"/>
    <s v="Sale"/>
    <n v="-2"/>
    <n v="-2"/>
    <x v="1"/>
    <s v="PrintTech"/>
    <s v="Japan"/>
    <n v="30"/>
    <n v="48"/>
    <m/>
    <n v="60"/>
    <n v="96"/>
    <n v="0"/>
  </r>
  <r>
    <s v="INV-00214"/>
    <d v="2025-06-26T00:00:00"/>
    <s v="P007"/>
    <s v="Purchase"/>
    <n v="50"/>
    <n v="50"/>
    <x v="0"/>
    <s v="DeskWorks"/>
    <s v="China"/>
    <n v="16"/>
    <n v="29"/>
    <s v="PO-58697"/>
    <n v="800"/>
    <n v="0"/>
    <n v="800"/>
  </r>
  <r>
    <s v="INV-00449"/>
    <d v="2025-06-27T00:00:00"/>
    <s v="P012"/>
    <s v="Sale"/>
    <n v="-15"/>
    <n v="-15"/>
    <x v="0"/>
    <s v="WriteWell"/>
    <s v="France"/>
    <n v="3.4"/>
    <n v="8"/>
    <m/>
    <n v="51"/>
    <n v="120"/>
    <n v="0"/>
  </r>
  <r>
    <s v="INV-01051"/>
    <d v="2025-06-27T00:00:00"/>
    <s v="P028"/>
    <s v="Sale"/>
    <n v="-9"/>
    <n v="-9"/>
    <x v="0"/>
    <s v="PackRight"/>
    <s v="Poland"/>
    <n v="3"/>
    <n v="7"/>
    <m/>
    <n v="27"/>
    <n v="63"/>
    <n v="0"/>
  </r>
  <r>
    <s v="INV-00747"/>
    <d v="2025-06-27T00:00:00"/>
    <s v="P013"/>
    <s v="Purchase"/>
    <n v="90"/>
    <n v="90"/>
    <x v="0"/>
    <s v="DeskWorks"/>
    <s v="China"/>
    <n v="8"/>
    <n v="15"/>
    <s v="PO-86018"/>
    <n v="720"/>
    <n v="0"/>
    <n v="720"/>
  </r>
  <r>
    <s v="INV-00721"/>
    <d v="2025-06-28T00:00:00"/>
    <s v="P029"/>
    <s v="Sale"/>
    <n v="-3"/>
    <n v="-3"/>
    <x v="2"/>
    <s v="PackRight"/>
    <s v="Poland"/>
    <n v="4"/>
    <n v="9"/>
    <m/>
    <n v="12"/>
    <n v="27"/>
    <n v="0"/>
  </r>
  <r>
    <s v="INV-00766"/>
    <d v="2025-06-28T00:00:00"/>
    <s v="P018"/>
    <s v="Purchase"/>
    <n v="38"/>
    <n v="38"/>
    <x v="0"/>
    <s v="DataStore"/>
    <s v="South Korea"/>
    <n v="5.2"/>
    <n v="11"/>
    <s v="PO-11950"/>
    <n v="197.6"/>
    <n v="0"/>
    <n v="197.6"/>
  </r>
  <r>
    <s v="INV-00896"/>
    <d v="2025-06-28T00:00:00"/>
    <s v="P007"/>
    <s v="Sale"/>
    <n v="-6"/>
    <n v="-6"/>
    <x v="0"/>
    <s v="DeskWorks"/>
    <s v="China"/>
    <n v="16"/>
    <n v="29"/>
    <m/>
    <n v="96"/>
    <n v="174"/>
    <n v="0"/>
  </r>
  <r>
    <s v="INV-00070"/>
    <d v="2025-06-28T00:00:00"/>
    <s v="P030"/>
    <s v="Sale"/>
    <n v="-7"/>
    <n v="-7"/>
    <x v="0"/>
    <s v="StoreMax"/>
    <s v="Germany"/>
    <n v="11"/>
    <n v="22"/>
    <m/>
    <n v="77"/>
    <n v="154"/>
    <n v="0"/>
  </r>
  <r>
    <s v="INV-00379"/>
    <d v="2025-06-29T00:00:00"/>
    <s v="P025"/>
    <s v="Sale"/>
    <n v="-14"/>
    <n v="-14"/>
    <x v="0"/>
    <s v="PaperMate"/>
    <s v="Germany"/>
    <n v="5.5"/>
    <n v="12"/>
    <m/>
    <n v="77"/>
    <n v="168"/>
    <n v="0"/>
  </r>
  <r>
    <s v="INV-00130"/>
    <d v="2025-06-29T00:00:00"/>
    <s v="P016"/>
    <s v="Purchase"/>
    <n v="61"/>
    <n v="61"/>
    <x v="2"/>
    <s v="ConnectX"/>
    <s v="China"/>
    <n v="4.2"/>
    <n v="10"/>
    <s v="PO-27634"/>
    <n v="256.2"/>
    <n v="0"/>
    <n v="256.2"/>
  </r>
  <r>
    <s v="INV-00808"/>
    <d v="2025-06-29T00:00:00"/>
    <s v="P029"/>
    <s v="Purchase"/>
    <n v="53"/>
    <n v="53"/>
    <x v="2"/>
    <s v="PackRight"/>
    <s v="Poland"/>
    <n v="4"/>
    <n v="9"/>
    <s v="PO-22026"/>
    <n v="212"/>
    <n v="0"/>
    <n v="212"/>
  </r>
  <r>
    <s v="INV-00277"/>
    <d v="2025-06-29T00:00:00"/>
    <s v="P025"/>
    <s v="Purchase"/>
    <n v="71"/>
    <n v="71"/>
    <x v="0"/>
    <s v="PaperMate"/>
    <s v="Germany"/>
    <n v="5.5"/>
    <n v="12"/>
    <s v="PO-11746"/>
    <n v="390.5"/>
    <n v="0"/>
    <n v="390.5"/>
  </r>
  <r>
    <s v="INV-01721"/>
    <d v="2025-06-29T00:00:00"/>
    <s v="P004"/>
    <s v="Purchase"/>
    <n v="113"/>
    <n v="113"/>
    <x v="0"/>
    <s v="SoundMax"/>
    <s v="Vietnam"/>
    <n v="20"/>
    <n v="35"/>
    <s v="PO-65609"/>
    <n v="2260"/>
    <n v="0"/>
    <n v="2260"/>
  </r>
  <r>
    <s v="INV-01080"/>
    <d v="2025-06-30T00:00:00"/>
    <s v="P029"/>
    <s v="Purchase"/>
    <n v="36"/>
    <n v="36"/>
    <x v="2"/>
    <s v="PackRight"/>
    <s v="Poland"/>
    <n v="4"/>
    <n v="9"/>
    <s v="PO-53663"/>
    <n v="144"/>
    <n v="0"/>
    <n v="144"/>
  </r>
  <r>
    <s v="INV-00879"/>
    <d v="2025-06-30T00:00:00"/>
    <s v="P001"/>
    <s v="Purchase"/>
    <n v="97"/>
    <n v="97"/>
    <x v="1"/>
    <s v="TechGear"/>
    <s v="China"/>
    <n v="7.2"/>
    <n v="12.5"/>
    <s v="PO-57650"/>
    <n v="698.4"/>
    <n v="0"/>
    <n v="698.4"/>
  </r>
  <r>
    <s v="INV-01084"/>
    <d v="2025-06-30T00:00:00"/>
    <s v="P028"/>
    <s v="Purchase"/>
    <n v="112"/>
    <n v="112"/>
    <x v="2"/>
    <s v="PackRight"/>
    <s v="Poland"/>
    <n v="3"/>
    <n v="7"/>
    <s v="PO-45367"/>
    <n v="336"/>
    <n v="0"/>
    <n v="336"/>
  </r>
  <r>
    <s v="INV-00489"/>
    <d v="2025-06-30T00:00:00"/>
    <s v="P029"/>
    <s v="Sale"/>
    <n v="-2"/>
    <n v="-2"/>
    <x v="2"/>
    <s v="PackRight"/>
    <s v="Poland"/>
    <n v="4"/>
    <n v="9"/>
    <m/>
    <n v="8"/>
    <n v="18"/>
    <n v="0"/>
  </r>
  <r>
    <s v="INV-01798"/>
    <d v="2025-06-30T00:00:00"/>
    <s v="P002"/>
    <s v="Sale"/>
    <n v="-8"/>
    <n v="-8"/>
    <x v="1"/>
    <s v="KeyPro"/>
    <s v="China"/>
    <n v="25"/>
    <n v="42"/>
    <m/>
    <n v="200"/>
    <n v="336"/>
    <n v="0"/>
  </r>
  <r>
    <s v="INV-01481"/>
    <d v="2025-07-01T00:00:00"/>
    <s v="P025"/>
    <s v="Sale"/>
    <n v="-5"/>
    <n v="-5"/>
    <x v="0"/>
    <s v="PaperMate"/>
    <s v="Germany"/>
    <n v="5.5"/>
    <n v="12"/>
    <m/>
    <n v="27.5"/>
    <n v="60"/>
    <n v="0"/>
  </r>
  <r>
    <s v="INV-00424"/>
    <d v="2025-07-01T00:00:00"/>
    <s v="P016"/>
    <s v="Purchase"/>
    <n v="100"/>
    <n v="100"/>
    <x v="0"/>
    <s v="ConnectX"/>
    <s v="China"/>
    <n v="4.2"/>
    <n v="10"/>
    <s v="PO-52770"/>
    <n v="420"/>
    <n v="0"/>
    <n v="420"/>
  </r>
  <r>
    <s v="INV-01461"/>
    <d v="2025-07-01T00:00:00"/>
    <s v="P013"/>
    <s v="Purchase"/>
    <n v="61"/>
    <n v="61"/>
    <x v="0"/>
    <s v="DeskWorks"/>
    <s v="China"/>
    <n v="8"/>
    <n v="15"/>
    <s v="PO-82683"/>
    <n v="488"/>
    <n v="0"/>
    <n v="488"/>
  </r>
  <r>
    <s v="INV-00016"/>
    <d v="2025-07-01T00:00:00"/>
    <s v="P006"/>
    <s v="Adjustment"/>
    <n v="6"/>
    <n v="6"/>
    <x v="2"/>
    <s v="ViewPlus"/>
    <s v="South Korea"/>
    <n v="130"/>
    <n v="185"/>
    <m/>
    <n v="780"/>
    <n v="0"/>
    <n v="0"/>
  </r>
  <r>
    <s v="INV-00895"/>
    <d v="2025-07-01T00:00:00"/>
    <s v="P022"/>
    <s v="Adjustment"/>
    <n v="9"/>
    <n v="9"/>
    <x v="2"/>
    <s v="HydroLife"/>
    <s v="Germany"/>
    <n v="8.5"/>
    <n v="18"/>
    <m/>
    <n v="76.5"/>
    <n v="0"/>
    <n v="0"/>
  </r>
  <r>
    <s v="INV-00499"/>
    <d v="2025-07-01T00:00:00"/>
    <s v="P030"/>
    <s v="Purchase"/>
    <n v="112"/>
    <n v="112"/>
    <x v="3"/>
    <s v="StoreMax"/>
    <s v="Germany"/>
    <n v="11"/>
    <n v="22"/>
    <s v="PO-26116"/>
    <n v="1232"/>
    <n v="0"/>
    <n v="1232"/>
  </r>
  <r>
    <s v="INV-01650"/>
    <d v="2025-07-02T00:00:00"/>
    <s v="P023"/>
    <s v="Purchase"/>
    <n v="83"/>
    <n v="83"/>
    <x v="0"/>
    <s v="DeskWorks"/>
    <s v="China"/>
    <n v="8.8000000000000007"/>
    <n v="17"/>
    <s v="PO-74912"/>
    <n v="730.40000000000009"/>
    <n v="0"/>
    <n v="730.40000000000009"/>
  </r>
  <r>
    <s v="INV-00263"/>
    <d v="2025-07-02T00:00:00"/>
    <s v="P004"/>
    <s v="Sale"/>
    <n v="-10"/>
    <n v="-10"/>
    <x v="2"/>
    <s v="SoundMax"/>
    <s v="Vietnam"/>
    <n v="20"/>
    <n v="35"/>
    <m/>
    <n v="200"/>
    <n v="350"/>
    <n v="0"/>
  </r>
  <r>
    <s v="INV-00836"/>
    <d v="2025-07-03T00:00:00"/>
    <s v="P014"/>
    <s v="Sale"/>
    <n v="-15"/>
    <n v="-15"/>
    <x v="2"/>
    <s v="DataStore"/>
    <s v="South Korea"/>
    <n v="63"/>
    <n v="95"/>
    <m/>
    <n v="945"/>
    <n v="1425"/>
    <n v="0"/>
  </r>
  <r>
    <s v="INV-00648"/>
    <d v="2025-07-03T00:00:00"/>
    <s v="P022"/>
    <s v="Purchase"/>
    <n v="34"/>
    <n v="34"/>
    <x v="0"/>
    <s v="HydroLife"/>
    <s v="Germany"/>
    <n v="8.5"/>
    <n v="18"/>
    <s v="PO-72863"/>
    <n v="289"/>
    <n v="0"/>
    <n v="289"/>
  </r>
  <r>
    <s v="INV-00114"/>
    <d v="2025-07-04T00:00:00"/>
    <s v="P025"/>
    <s v="Sale"/>
    <n v="-9"/>
    <n v="-9"/>
    <x v="2"/>
    <s v="PaperMate"/>
    <s v="Germany"/>
    <n v="5.5"/>
    <n v="12"/>
    <m/>
    <n v="49.5"/>
    <n v="108"/>
    <n v="0"/>
  </r>
  <r>
    <s v="INV-01416"/>
    <d v="2025-07-05T00:00:00"/>
    <s v="P029"/>
    <s v="Purchase"/>
    <n v="73"/>
    <n v="73"/>
    <x v="0"/>
    <s v="PackRight"/>
    <s v="Poland"/>
    <n v="4"/>
    <n v="9"/>
    <s v="PO-37370"/>
    <n v="292"/>
    <n v="0"/>
    <n v="292"/>
  </r>
  <r>
    <s v="INV-01248"/>
    <d v="2025-07-05T00:00:00"/>
    <s v="P001"/>
    <s v="Sale"/>
    <n v="-5"/>
    <n v="-5"/>
    <x v="1"/>
    <s v="TechGear"/>
    <s v="China"/>
    <n v="7.2"/>
    <n v="12.5"/>
    <m/>
    <n v="36"/>
    <n v="62.5"/>
    <n v="0"/>
  </r>
  <r>
    <s v="INV-00405"/>
    <d v="2025-07-05T00:00:00"/>
    <s v="P011"/>
    <s v="Sale"/>
    <n v="-6"/>
    <n v="-6"/>
    <x v="2"/>
    <s v="PaperMate"/>
    <s v="Germany"/>
    <n v="2.6"/>
    <n v="5.5"/>
    <m/>
    <n v="15.600000000000001"/>
    <n v="33"/>
    <n v="0"/>
  </r>
  <r>
    <s v="INV-01266"/>
    <d v="2025-07-05T00:00:00"/>
    <s v="P002"/>
    <s v="Purchase"/>
    <n v="98"/>
    <n v="98"/>
    <x v="0"/>
    <s v="KeyPro"/>
    <s v="China"/>
    <n v="25"/>
    <n v="42"/>
    <s v="PO-91301"/>
    <n v="2450"/>
    <n v="0"/>
    <n v="2450"/>
  </r>
  <r>
    <s v="INV-00887"/>
    <d v="2025-07-06T00:00:00"/>
    <s v="P021"/>
    <s v="Purchase"/>
    <n v="106"/>
    <n v="106"/>
    <x v="1"/>
    <s v="TravelPro"/>
    <s v="Vietnam"/>
    <n v="25"/>
    <n v="45"/>
    <s v="PO-72771"/>
    <n v="2650"/>
    <n v="0"/>
    <n v="2650"/>
  </r>
  <r>
    <s v="INV-00146"/>
    <d v="2025-07-06T00:00:00"/>
    <s v="P001"/>
    <s v="Sale"/>
    <n v="-6"/>
    <n v="-6"/>
    <x v="0"/>
    <s v="TechGear"/>
    <s v="China"/>
    <n v="7.2"/>
    <n v="12.5"/>
    <m/>
    <n v="43.2"/>
    <n v="75"/>
    <n v="0"/>
  </r>
  <r>
    <s v="INV-01473"/>
    <d v="2025-07-06T00:00:00"/>
    <s v="P028"/>
    <s v="Sale"/>
    <n v="-5"/>
    <n v="-5"/>
    <x v="0"/>
    <s v="PackRight"/>
    <s v="Poland"/>
    <n v="3"/>
    <n v="7"/>
    <m/>
    <n v="15"/>
    <n v="35"/>
    <n v="0"/>
  </r>
  <r>
    <s v="INV-00440"/>
    <d v="2025-07-07T00:00:00"/>
    <s v="P002"/>
    <s v="Purchase"/>
    <n v="69"/>
    <n v="69"/>
    <x v="0"/>
    <s v="KeyPro"/>
    <s v="China"/>
    <n v="25"/>
    <n v="42"/>
    <s v="PO-38546"/>
    <n v="1725"/>
    <n v="0"/>
    <n v="1725"/>
  </r>
  <r>
    <s v="INV-01199"/>
    <d v="2025-07-07T00:00:00"/>
    <s v="P024"/>
    <s v="Purchase"/>
    <n v="21"/>
    <n v="21"/>
    <x v="0"/>
    <s v="CalcPlus"/>
    <s v="China"/>
    <n v="6"/>
    <n v="14"/>
    <s v="PO-18680"/>
    <n v="126"/>
    <n v="0"/>
    <n v="126"/>
  </r>
  <r>
    <s v="INV-00927"/>
    <d v="2025-07-07T00:00:00"/>
    <s v="P009"/>
    <s v="Purchase"/>
    <n v="114"/>
    <n v="114"/>
    <x v="1"/>
    <s v="ComfortPro"/>
    <s v="Poland"/>
    <n v="105"/>
    <n v="165"/>
    <s v="PO-10634"/>
    <n v="11970"/>
    <n v="0"/>
    <n v="11970"/>
  </r>
  <r>
    <s v="INV-01068"/>
    <d v="2025-07-07T00:00:00"/>
    <s v="P003"/>
    <s v="Sale"/>
    <n v="-12"/>
    <n v="-12"/>
    <x v="0"/>
    <s v="ConnectX"/>
    <s v="China"/>
    <n v="16.5"/>
    <n v="28"/>
    <m/>
    <n v="198"/>
    <n v="336"/>
    <n v="0"/>
  </r>
  <r>
    <s v="INV-01095"/>
    <d v="2025-07-07T00:00:00"/>
    <s v="P008"/>
    <s v="Purchase"/>
    <n v="57"/>
    <n v="57"/>
    <x v="0"/>
    <s v="BrightHome"/>
    <s v="China"/>
    <n v="13.5"/>
    <n v="24"/>
    <s v="PO-61444"/>
    <n v="769.5"/>
    <n v="0"/>
    <n v="769.5"/>
  </r>
  <r>
    <s v="INV-00013"/>
    <d v="2025-07-08T00:00:00"/>
    <s v="P026"/>
    <s v="Purchase"/>
    <n v="57"/>
    <n v="57"/>
    <x v="0"/>
    <s v="ScanPro"/>
    <s v="China"/>
    <n v="78"/>
    <n v="125"/>
    <s v="PO-77865"/>
    <n v="4446"/>
    <n v="0"/>
    <n v="4446"/>
  </r>
  <r>
    <s v="INV-00221"/>
    <d v="2025-07-08T00:00:00"/>
    <s v="P021"/>
    <s v="Adjustment"/>
    <n v="-2"/>
    <n v="-2"/>
    <x v="1"/>
    <s v="TravelPro"/>
    <s v="Vietnam"/>
    <n v="25"/>
    <n v="45"/>
    <m/>
    <n v="50"/>
    <n v="0"/>
    <n v="0"/>
  </r>
  <r>
    <s v="INV-00881"/>
    <d v="2025-07-08T00:00:00"/>
    <s v="P008"/>
    <s v="Purchase"/>
    <n v="114"/>
    <n v="114"/>
    <x v="0"/>
    <s v="BrightHome"/>
    <s v="China"/>
    <n v="13.5"/>
    <n v="24"/>
    <s v="PO-27110"/>
    <n v="1539"/>
    <n v="0"/>
    <n v="1539"/>
  </r>
  <r>
    <s v="INV-00929"/>
    <d v="2025-07-08T00:00:00"/>
    <s v="P021"/>
    <s v="Purchase"/>
    <n v="85"/>
    <n v="85"/>
    <x v="2"/>
    <s v="TravelPro"/>
    <s v="Vietnam"/>
    <n v="25"/>
    <n v="45"/>
    <s v="PO-28298"/>
    <n v="2125"/>
    <n v="0"/>
    <n v="2125"/>
  </r>
  <r>
    <s v="INV-00467"/>
    <d v="2025-07-08T00:00:00"/>
    <s v="P010"/>
    <s v="Sale"/>
    <n v="-15"/>
    <n v="-15"/>
    <x v="2"/>
    <s v="ErgoSpace"/>
    <s v="Germany"/>
    <n v="220"/>
    <n v="320"/>
    <m/>
    <n v="3300"/>
    <n v="4800"/>
    <n v="0"/>
  </r>
  <r>
    <s v="INV-01594"/>
    <d v="2025-07-09T00:00:00"/>
    <s v="P003"/>
    <s v="Purchase"/>
    <n v="86"/>
    <n v="86"/>
    <x v="0"/>
    <s v="ConnectX"/>
    <s v="China"/>
    <n v="16.5"/>
    <n v="28"/>
    <s v="PO-62328"/>
    <n v="1419"/>
    <n v="0"/>
    <n v="1419"/>
  </r>
  <r>
    <s v="INV-01630"/>
    <d v="2025-07-10T00:00:00"/>
    <s v="P015"/>
    <s v="Sale"/>
    <n v="-2"/>
    <n v="-2"/>
    <x v="1"/>
    <s v="VoltPro"/>
    <s v="China"/>
    <n v="23"/>
    <n v="38"/>
    <m/>
    <n v="46"/>
    <n v="76"/>
    <n v="0"/>
  </r>
  <r>
    <s v="INV-00140"/>
    <d v="2025-07-10T00:00:00"/>
    <s v="P030"/>
    <s v="Purchase"/>
    <n v="112"/>
    <n v="112"/>
    <x v="0"/>
    <s v="StoreMax"/>
    <s v="Germany"/>
    <n v="11"/>
    <n v="22"/>
    <s v="PO-28033"/>
    <n v="1232"/>
    <n v="0"/>
    <n v="1232"/>
  </r>
  <r>
    <s v="INV-01729"/>
    <d v="2025-07-11T00:00:00"/>
    <s v="P025"/>
    <s v="Adjustment"/>
    <n v="13"/>
    <n v="13"/>
    <x v="0"/>
    <s v="PaperMate"/>
    <s v="Germany"/>
    <n v="5.5"/>
    <n v="12"/>
    <m/>
    <n v="71.5"/>
    <n v="0"/>
    <n v="0"/>
  </r>
  <r>
    <s v="INV-01301"/>
    <d v="2025-07-11T00:00:00"/>
    <s v="P001"/>
    <s v="Purchase"/>
    <n v="43"/>
    <n v="43"/>
    <x v="0"/>
    <s v="TechGear"/>
    <s v="China"/>
    <n v="7.2"/>
    <n v="12.5"/>
    <s v="PO-32063"/>
    <n v="309.60000000000002"/>
    <n v="0"/>
    <n v="309.60000000000002"/>
  </r>
  <r>
    <s v="INV-00292"/>
    <d v="2025-07-11T00:00:00"/>
    <s v="P001"/>
    <s v="Adjustment"/>
    <n v="-3"/>
    <n v="-3"/>
    <x v="0"/>
    <s v="TechGear"/>
    <s v="China"/>
    <n v="7.2"/>
    <n v="12.5"/>
    <m/>
    <n v="21.6"/>
    <n v="0"/>
    <n v="0"/>
  </r>
  <r>
    <s v="INV-00272"/>
    <d v="2025-07-11T00:00:00"/>
    <s v="P025"/>
    <s v="Sale"/>
    <n v="-1"/>
    <n v="-1"/>
    <x v="2"/>
    <s v="PaperMate"/>
    <s v="Germany"/>
    <n v="5.5"/>
    <n v="12"/>
    <m/>
    <n v="5.5"/>
    <n v="12"/>
    <n v="0"/>
  </r>
  <r>
    <s v="INV-00636"/>
    <d v="2025-07-12T00:00:00"/>
    <s v="P015"/>
    <s v="Sale"/>
    <n v="-14"/>
    <n v="-14"/>
    <x v="3"/>
    <s v="VoltPro"/>
    <s v="China"/>
    <n v="23"/>
    <n v="38"/>
    <m/>
    <n v="322"/>
    <n v="532"/>
    <n v="0"/>
  </r>
  <r>
    <s v="INV-00024"/>
    <d v="2025-07-12T00:00:00"/>
    <s v="P012"/>
    <s v="Sale"/>
    <n v="-11"/>
    <n v="-11"/>
    <x v="2"/>
    <s v="WriteWell"/>
    <s v="France"/>
    <n v="3.4"/>
    <n v="8"/>
    <m/>
    <n v="37.4"/>
    <n v="88"/>
    <n v="0"/>
  </r>
  <r>
    <s v="INV-00599"/>
    <d v="2025-07-12T00:00:00"/>
    <s v="P006"/>
    <s v="Sale"/>
    <n v="-15"/>
    <n v="-15"/>
    <x v="0"/>
    <s v="ViewPlus"/>
    <s v="South Korea"/>
    <n v="130"/>
    <n v="185"/>
    <m/>
    <n v="1950"/>
    <n v="2775"/>
    <n v="0"/>
  </r>
  <r>
    <s v="INV-00731"/>
    <d v="2025-07-13T00:00:00"/>
    <s v="P005"/>
    <s v="Sale"/>
    <n v="-10"/>
    <n v="-10"/>
    <x v="2"/>
    <s v="VisionTech"/>
    <s v="China"/>
    <n v="18.5"/>
    <n v="31"/>
    <m/>
    <n v="185"/>
    <n v="310"/>
    <n v="0"/>
  </r>
  <r>
    <s v="INV-00404"/>
    <d v="2025-07-13T00:00:00"/>
    <s v="P026"/>
    <s v="Purchase"/>
    <n v="39"/>
    <n v="39"/>
    <x v="0"/>
    <s v="ScanPro"/>
    <s v="China"/>
    <n v="78"/>
    <n v="125"/>
    <s v="PO-18328"/>
    <n v="3042"/>
    <n v="0"/>
    <n v="3042"/>
  </r>
  <r>
    <s v="INV-01308"/>
    <d v="2025-07-14T00:00:00"/>
    <s v="P025"/>
    <s v="Purchase"/>
    <n v="99"/>
    <n v="99"/>
    <x v="0"/>
    <s v="PaperMate"/>
    <s v="Germany"/>
    <n v="5.5"/>
    <n v="12"/>
    <s v="PO-98913"/>
    <n v="544.5"/>
    <n v="0"/>
    <n v="544.5"/>
  </r>
  <r>
    <s v="INV-01707"/>
    <d v="2025-07-14T00:00:00"/>
    <s v="P021"/>
    <s v="Adjustment"/>
    <n v="19"/>
    <n v="19"/>
    <x v="2"/>
    <s v="TravelPro"/>
    <s v="Vietnam"/>
    <n v="25"/>
    <n v="45"/>
    <m/>
    <n v="475"/>
    <n v="0"/>
    <n v="0"/>
  </r>
  <r>
    <s v="INV-00755"/>
    <d v="2025-07-15T00:00:00"/>
    <s v="P004"/>
    <s v="Purchase"/>
    <n v="94"/>
    <n v="94"/>
    <x v="0"/>
    <s v="SoundMax"/>
    <s v="Vietnam"/>
    <n v="20"/>
    <n v="35"/>
    <s v="PO-31975"/>
    <n v="1880"/>
    <n v="0"/>
    <n v="1880"/>
  </r>
  <r>
    <s v="INV-00679"/>
    <d v="2025-07-15T00:00:00"/>
    <s v="P030"/>
    <s v="Purchase"/>
    <n v="81"/>
    <n v="81"/>
    <x v="0"/>
    <s v="StoreMax"/>
    <s v="Germany"/>
    <n v="11"/>
    <n v="22"/>
    <s v="PO-51542"/>
    <n v="891"/>
    <n v="0"/>
    <n v="891"/>
  </r>
  <r>
    <s v="INV-00677"/>
    <d v="2025-07-15T00:00:00"/>
    <s v="P003"/>
    <s v="Purchase"/>
    <n v="32"/>
    <n v="32"/>
    <x v="0"/>
    <s v="ConnectX"/>
    <s v="China"/>
    <n v="16.5"/>
    <n v="28"/>
    <s v="PO-47211"/>
    <n v="528"/>
    <n v="0"/>
    <n v="528"/>
  </r>
  <r>
    <s v="INV-01605"/>
    <d v="2025-07-16T00:00:00"/>
    <s v="P002"/>
    <s v="Sale"/>
    <n v="-10"/>
    <n v="-10"/>
    <x v="1"/>
    <s v="KeyPro"/>
    <s v="China"/>
    <n v="25"/>
    <n v="42"/>
    <m/>
    <n v="250"/>
    <n v="420"/>
    <n v="0"/>
  </r>
  <r>
    <s v="INV-00324"/>
    <d v="2025-07-16T00:00:00"/>
    <s v="P010"/>
    <s v="Sale"/>
    <n v="-12"/>
    <n v="-12"/>
    <x v="2"/>
    <s v="ErgoSpace"/>
    <s v="Germany"/>
    <n v="220"/>
    <n v="320"/>
    <m/>
    <n v="2640"/>
    <n v="3840"/>
    <n v="0"/>
  </r>
  <r>
    <s v="INV-00481"/>
    <d v="2025-07-16T00:00:00"/>
    <s v="P021"/>
    <s v="Purchase"/>
    <n v="99"/>
    <n v="99"/>
    <x v="1"/>
    <s v="TravelPro"/>
    <s v="Vietnam"/>
    <n v="25"/>
    <n v="45"/>
    <s v="PO-91991"/>
    <n v="2475"/>
    <n v="0"/>
    <n v="2475"/>
  </r>
  <r>
    <s v="INV-01696"/>
    <d v="2025-07-16T00:00:00"/>
    <s v="P002"/>
    <s v="Purchase"/>
    <n v="43"/>
    <n v="43"/>
    <x v="0"/>
    <s v="KeyPro"/>
    <s v="China"/>
    <n v="25"/>
    <n v="42"/>
    <s v="PO-96120"/>
    <n v="1075"/>
    <n v="0"/>
    <n v="1075"/>
  </r>
  <r>
    <s v="INV-00101"/>
    <d v="2025-07-17T00:00:00"/>
    <s v="P001"/>
    <s v="Sale"/>
    <n v="-4"/>
    <n v="-4"/>
    <x v="0"/>
    <s v="TechGear"/>
    <s v="China"/>
    <n v="7.2"/>
    <n v="12.5"/>
    <m/>
    <n v="28.8"/>
    <n v="50"/>
    <n v="0"/>
  </r>
  <r>
    <s v="INV-00650"/>
    <d v="2025-07-17T00:00:00"/>
    <s v="P016"/>
    <s v="Sale"/>
    <n v="-15"/>
    <n v="-15"/>
    <x v="0"/>
    <s v="ConnectX"/>
    <s v="China"/>
    <n v="4.2"/>
    <n v="10"/>
    <m/>
    <n v="63"/>
    <n v="150"/>
    <n v="0"/>
  </r>
  <r>
    <s v="INV-01198"/>
    <d v="2025-07-17T00:00:00"/>
    <s v="P030"/>
    <s v="Purchase"/>
    <n v="34"/>
    <n v="34"/>
    <x v="0"/>
    <s v="StoreMax"/>
    <s v="Germany"/>
    <n v="11"/>
    <n v="22"/>
    <s v="PO-99572"/>
    <n v="374"/>
    <n v="0"/>
    <n v="374"/>
  </r>
  <r>
    <s v="INV-01321"/>
    <d v="2025-07-17T00:00:00"/>
    <s v="P008"/>
    <s v="Purchase"/>
    <n v="55"/>
    <n v="55"/>
    <x v="0"/>
    <s v="BrightHome"/>
    <s v="China"/>
    <n v="13.5"/>
    <n v="24"/>
    <s v="PO-69940"/>
    <n v="742.5"/>
    <n v="0"/>
    <n v="742.5"/>
  </r>
  <r>
    <s v="INV-01454"/>
    <d v="2025-07-17T00:00:00"/>
    <s v="P018"/>
    <s v="Purchase"/>
    <n v="63"/>
    <n v="63"/>
    <x v="0"/>
    <s v="DataStore"/>
    <s v="South Korea"/>
    <n v="5.2"/>
    <n v="11"/>
    <s v="PO-82980"/>
    <n v="327.60000000000002"/>
    <n v="0"/>
    <n v="327.60000000000002"/>
  </r>
  <r>
    <s v="INV-00034"/>
    <d v="2025-07-17T00:00:00"/>
    <s v="P029"/>
    <s v="Sale"/>
    <n v="-6"/>
    <n v="-6"/>
    <x v="1"/>
    <s v="PackRight"/>
    <s v="Poland"/>
    <n v="4"/>
    <n v="9"/>
    <m/>
    <n v="24"/>
    <n v="54"/>
    <n v="0"/>
  </r>
  <r>
    <s v="INV-00534"/>
    <d v="2025-07-18T00:00:00"/>
    <s v="P018"/>
    <s v="Sale"/>
    <n v="-11"/>
    <n v="-11"/>
    <x v="1"/>
    <s v="DataStore"/>
    <s v="South Korea"/>
    <n v="5.2"/>
    <n v="11"/>
    <m/>
    <n v="57.2"/>
    <n v="121"/>
    <n v="0"/>
  </r>
  <r>
    <s v="INV-00152"/>
    <d v="2025-07-18T00:00:00"/>
    <s v="P008"/>
    <s v="Purchase"/>
    <n v="73"/>
    <n v="73"/>
    <x v="2"/>
    <s v="BrightHome"/>
    <s v="China"/>
    <n v="13.5"/>
    <n v="24"/>
    <s v="PO-24901"/>
    <n v="985.5"/>
    <n v="0"/>
    <n v="985.5"/>
  </r>
  <r>
    <s v="INV-01668"/>
    <d v="2025-07-18T00:00:00"/>
    <s v="P029"/>
    <s v="Sale"/>
    <n v="-6"/>
    <n v="-6"/>
    <x v="1"/>
    <s v="PackRight"/>
    <s v="Poland"/>
    <n v="4"/>
    <n v="9"/>
    <m/>
    <n v="24"/>
    <n v="54"/>
    <n v="0"/>
  </r>
  <r>
    <s v="INV-00964"/>
    <d v="2025-07-18T00:00:00"/>
    <s v="P013"/>
    <s v="Sale"/>
    <n v="-8"/>
    <n v="-8"/>
    <x v="0"/>
    <s v="DeskWorks"/>
    <s v="China"/>
    <n v="8"/>
    <n v="15"/>
    <m/>
    <n v="64"/>
    <n v="120"/>
    <n v="0"/>
  </r>
  <r>
    <s v="INV-00240"/>
    <d v="2025-07-18T00:00:00"/>
    <s v="P006"/>
    <s v="Purchase"/>
    <n v="54"/>
    <n v="54"/>
    <x v="0"/>
    <s v="ViewPlus"/>
    <s v="South Korea"/>
    <n v="130"/>
    <n v="185"/>
    <s v="PO-62115"/>
    <n v="7020"/>
    <n v="0"/>
    <n v="7020"/>
  </r>
  <r>
    <s v="INV-00493"/>
    <d v="2025-07-19T00:00:00"/>
    <s v="P009"/>
    <s v="Purchase"/>
    <n v="42"/>
    <n v="42"/>
    <x v="2"/>
    <s v="ComfortPro"/>
    <s v="Poland"/>
    <n v="105"/>
    <n v="165"/>
    <s v="PO-68726"/>
    <n v="4410"/>
    <n v="0"/>
    <n v="4410"/>
  </r>
  <r>
    <s v="INV-00229"/>
    <d v="2025-07-19T00:00:00"/>
    <s v="P028"/>
    <s v="Purchase"/>
    <n v="83"/>
    <n v="83"/>
    <x v="0"/>
    <s v="PackRight"/>
    <s v="Poland"/>
    <n v="3"/>
    <n v="7"/>
    <s v="PO-70011"/>
    <n v="249"/>
    <n v="0"/>
    <n v="249"/>
  </r>
  <r>
    <s v="INV-01379"/>
    <d v="2025-07-19T00:00:00"/>
    <s v="P012"/>
    <s v="Sale"/>
    <n v="-10"/>
    <n v="-10"/>
    <x v="0"/>
    <s v="WriteWell"/>
    <s v="France"/>
    <n v="3.4"/>
    <n v="8"/>
    <m/>
    <n v="34"/>
    <n v="80"/>
    <n v="0"/>
  </r>
  <r>
    <s v="INV-00967"/>
    <d v="2025-07-19T00:00:00"/>
    <s v="P023"/>
    <s v="Sale"/>
    <n v="-3"/>
    <n v="-3"/>
    <x v="2"/>
    <s v="DeskWorks"/>
    <s v="China"/>
    <n v="8.8000000000000007"/>
    <n v="17"/>
    <m/>
    <n v="26.400000000000002"/>
    <n v="51"/>
    <n v="0"/>
  </r>
  <r>
    <s v="INV-00719"/>
    <d v="2025-07-19T00:00:00"/>
    <s v="P004"/>
    <s v="Sale"/>
    <n v="-14"/>
    <n v="-14"/>
    <x v="1"/>
    <s v="SoundMax"/>
    <s v="Vietnam"/>
    <n v="20"/>
    <n v="35"/>
    <m/>
    <n v="280"/>
    <n v="490"/>
    <n v="0"/>
  </r>
  <r>
    <s v="INV-00654"/>
    <d v="2025-07-20T00:00:00"/>
    <s v="P024"/>
    <s v="Sale"/>
    <n v="-13"/>
    <n v="-13"/>
    <x v="0"/>
    <s v="CalcPlus"/>
    <s v="China"/>
    <n v="6"/>
    <n v="14"/>
    <m/>
    <n v="78"/>
    <n v="182"/>
    <n v="0"/>
  </r>
  <r>
    <s v="INV-01430"/>
    <d v="2025-07-21T00:00:00"/>
    <s v="P028"/>
    <s v="Purchase"/>
    <n v="44"/>
    <n v="44"/>
    <x v="2"/>
    <s v="PackRight"/>
    <s v="Poland"/>
    <n v="3"/>
    <n v="7"/>
    <s v="PO-13823"/>
    <n v="132"/>
    <n v="0"/>
    <n v="132"/>
  </r>
  <r>
    <s v="INV-00905"/>
    <d v="2025-07-22T00:00:00"/>
    <s v="P014"/>
    <s v="Sale"/>
    <n v="-15"/>
    <n v="-15"/>
    <x v="2"/>
    <s v="DataStore"/>
    <s v="South Korea"/>
    <n v="63"/>
    <n v="95"/>
    <m/>
    <n v="945"/>
    <n v="1425"/>
    <n v="0"/>
  </r>
  <r>
    <s v="INV-01016"/>
    <d v="2025-07-23T00:00:00"/>
    <s v="P029"/>
    <s v="Sale"/>
    <n v="-11"/>
    <n v="-11"/>
    <x v="0"/>
    <s v="PackRight"/>
    <s v="Poland"/>
    <n v="4"/>
    <n v="9"/>
    <m/>
    <n v="44"/>
    <n v="99"/>
    <n v="0"/>
  </r>
  <r>
    <s v="INV-00730"/>
    <d v="2025-07-23T00:00:00"/>
    <s v="P005"/>
    <s v="Adjustment"/>
    <n v="-20"/>
    <n v="-20"/>
    <x v="0"/>
    <s v="VisionTech"/>
    <s v="China"/>
    <n v="18.5"/>
    <n v="31"/>
    <m/>
    <n v="370"/>
    <n v="0"/>
    <n v="0"/>
  </r>
  <r>
    <s v="INV-00436"/>
    <d v="2025-07-23T00:00:00"/>
    <s v="P023"/>
    <s v="Sale"/>
    <n v="-13"/>
    <n v="-13"/>
    <x v="2"/>
    <s v="DeskWorks"/>
    <s v="China"/>
    <n v="8.8000000000000007"/>
    <n v="17"/>
    <m/>
    <n v="114.4"/>
    <n v="221"/>
    <n v="0"/>
  </r>
  <r>
    <s v="INV-01164"/>
    <d v="2025-07-23T00:00:00"/>
    <s v="P024"/>
    <s v="Adjustment"/>
    <n v="7"/>
    <n v="7"/>
    <x v="0"/>
    <s v="CalcPlus"/>
    <s v="China"/>
    <n v="6"/>
    <n v="14"/>
    <m/>
    <n v="42"/>
    <n v="0"/>
    <n v="0"/>
  </r>
  <r>
    <s v="INV-01779"/>
    <d v="2025-07-23T00:00:00"/>
    <s v="P008"/>
    <s v="Sale"/>
    <n v="-2"/>
    <n v="-2"/>
    <x v="0"/>
    <s v="BrightHome"/>
    <s v="China"/>
    <n v="13.5"/>
    <n v="24"/>
    <m/>
    <n v="27"/>
    <n v="48"/>
    <n v="0"/>
  </r>
  <r>
    <s v="INV-00676"/>
    <d v="2025-07-23T00:00:00"/>
    <s v="P030"/>
    <s v="Sale"/>
    <n v="-2"/>
    <n v="-2"/>
    <x v="0"/>
    <s v="StoreMax"/>
    <s v="Germany"/>
    <n v="11"/>
    <n v="22"/>
    <m/>
    <n v="22"/>
    <n v="44"/>
    <n v="0"/>
  </r>
  <r>
    <s v="INV-01694"/>
    <d v="2025-07-24T00:00:00"/>
    <s v="P005"/>
    <s v="Sale"/>
    <n v="-9"/>
    <n v="-9"/>
    <x v="1"/>
    <s v="VisionTech"/>
    <s v="China"/>
    <n v="18.5"/>
    <n v="31"/>
    <m/>
    <n v="166.5"/>
    <n v="279"/>
    <n v="0"/>
  </r>
  <r>
    <s v="INV-00256"/>
    <d v="2025-07-24T00:00:00"/>
    <s v="P018"/>
    <s v="Sale"/>
    <n v="-7"/>
    <n v="-7"/>
    <x v="0"/>
    <s v="DataStore"/>
    <s v="South Korea"/>
    <n v="5.2"/>
    <n v="11"/>
    <m/>
    <n v="36.4"/>
    <n v="77"/>
    <n v="0"/>
  </r>
  <r>
    <s v="INV-01371"/>
    <d v="2025-07-24T00:00:00"/>
    <s v="P030"/>
    <s v="Sale"/>
    <n v="-15"/>
    <n v="-15"/>
    <x v="2"/>
    <s v="StoreMax"/>
    <s v="Germany"/>
    <n v="11"/>
    <n v="22"/>
    <m/>
    <n v="165"/>
    <n v="330"/>
    <n v="0"/>
  </r>
  <r>
    <s v="INV-00199"/>
    <d v="2025-07-24T00:00:00"/>
    <s v="P028"/>
    <s v="Purchase"/>
    <n v="101"/>
    <n v="101"/>
    <x v="0"/>
    <s v="PackRight"/>
    <s v="Poland"/>
    <n v="3"/>
    <n v="7"/>
    <s v="PO-74303"/>
    <n v="303"/>
    <n v="0"/>
    <n v="303"/>
  </r>
  <r>
    <s v="INV-00086"/>
    <d v="2025-07-25T00:00:00"/>
    <s v="P011"/>
    <s v="Sale"/>
    <n v="-14"/>
    <n v="-14"/>
    <x v="0"/>
    <s v="PaperMate"/>
    <s v="Germany"/>
    <n v="2.6"/>
    <n v="5.5"/>
    <m/>
    <n v="36.4"/>
    <n v="77"/>
    <n v="0"/>
  </r>
  <r>
    <s v="INV-01573"/>
    <d v="2025-07-25T00:00:00"/>
    <s v="P024"/>
    <s v="Purchase"/>
    <n v="118"/>
    <n v="118"/>
    <x v="0"/>
    <s v="CalcPlus"/>
    <s v="China"/>
    <n v="6"/>
    <n v="14"/>
    <s v="PO-94579"/>
    <n v="708"/>
    <n v="0"/>
    <n v="708"/>
  </r>
  <r>
    <s v="INV-00574"/>
    <d v="2025-07-25T00:00:00"/>
    <s v="P020"/>
    <s v="Sale"/>
    <n v="-5"/>
    <n v="-5"/>
    <x v="1"/>
    <s v="PrintTech"/>
    <s v="Japan"/>
    <n v="30"/>
    <n v="48"/>
    <m/>
    <n v="150"/>
    <n v="240"/>
    <n v="0"/>
  </r>
  <r>
    <s v="INV-01040"/>
    <d v="2025-07-26T00:00:00"/>
    <s v="P011"/>
    <s v="Sale"/>
    <n v="-14"/>
    <n v="-14"/>
    <x v="0"/>
    <s v="PaperMate"/>
    <s v="Germany"/>
    <n v="2.6"/>
    <n v="5.5"/>
    <m/>
    <n v="36.4"/>
    <n v="77"/>
    <n v="0"/>
  </r>
  <r>
    <s v="INV-00062"/>
    <d v="2025-07-26T00:00:00"/>
    <s v="P009"/>
    <s v="Sale"/>
    <n v="-15"/>
    <n v="-15"/>
    <x v="2"/>
    <s v="ComfortPro"/>
    <s v="Poland"/>
    <n v="105"/>
    <n v="165"/>
    <m/>
    <n v="1575"/>
    <n v="2475"/>
    <n v="0"/>
  </r>
  <r>
    <s v="INV-00563"/>
    <d v="2025-07-26T00:00:00"/>
    <s v="P004"/>
    <s v="Purchase"/>
    <n v="60"/>
    <n v="60"/>
    <x v="0"/>
    <s v="SoundMax"/>
    <s v="Vietnam"/>
    <n v="20"/>
    <n v="35"/>
    <s v="PO-92336"/>
    <n v="1200"/>
    <n v="0"/>
    <n v="1200"/>
  </r>
  <r>
    <s v="INV-00518"/>
    <d v="2025-07-26T00:00:00"/>
    <s v="P025"/>
    <s v="Sale"/>
    <n v="-1"/>
    <n v="-1"/>
    <x v="1"/>
    <s v="PaperMate"/>
    <s v="Germany"/>
    <n v="5.5"/>
    <n v="12"/>
    <m/>
    <n v="5.5"/>
    <n v="12"/>
    <n v="0"/>
  </r>
  <r>
    <s v="INV-00954"/>
    <d v="2025-07-27T00:00:00"/>
    <s v="P029"/>
    <s v="Sale"/>
    <n v="-15"/>
    <n v="-15"/>
    <x v="0"/>
    <s v="PackRight"/>
    <s v="Poland"/>
    <n v="4"/>
    <n v="9"/>
    <m/>
    <n v="60"/>
    <n v="135"/>
    <n v="0"/>
  </r>
  <r>
    <s v="INV-01395"/>
    <d v="2025-07-27T00:00:00"/>
    <s v="P011"/>
    <s v="Sale"/>
    <n v="-7"/>
    <n v="-7"/>
    <x v="0"/>
    <s v="PaperMate"/>
    <s v="Germany"/>
    <n v="2.6"/>
    <n v="5.5"/>
    <m/>
    <n v="18.2"/>
    <n v="38.5"/>
    <n v="0"/>
  </r>
  <r>
    <s v="INV-01793"/>
    <d v="2025-07-27T00:00:00"/>
    <s v="P016"/>
    <s v="Sale"/>
    <n v="-14"/>
    <n v="-14"/>
    <x v="2"/>
    <s v="ConnectX"/>
    <s v="China"/>
    <n v="4.2"/>
    <n v="10"/>
    <m/>
    <n v="58.800000000000004"/>
    <n v="140"/>
    <n v="0"/>
  </r>
  <r>
    <s v="INV-00137"/>
    <d v="2025-07-28T00:00:00"/>
    <s v="P017"/>
    <s v="Purchase"/>
    <n v="36"/>
    <n v="36"/>
    <x v="2"/>
    <s v="SoundMax"/>
    <s v="Vietnam"/>
    <n v="34"/>
    <n v="55"/>
    <s v="PO-34561"/>
    <n v="1224"/>
    <n v="0"/>
    <n v="1224"/>
  </r>
  <r>
    <s v="INV-00688"/>
    <d v="2025-07-28T00:00:00"/>
    <s v="P010"/>
    <s v="Sale"/>
    <n v="-7"/>
    <n v="-7"/>
    <x v="1"/>
    <s v="ErgoSpace"/>
    <s v="Germany"/>
    <n v="220"/>
    <n v="320"/>
    <m/>
    <n v="1540"/>
    <n v="2240"/>
    <n v="0"/>
  </r>
  <r>
    <s v="INV-01022"/>
    <d v="2025-07-28T00:00:00"/>
    <s v="P011"/>
    <s v="Purchase"/>
    <n v="61"/>
    <n v="61"/>
    <x v="1"/>
    <s v="PaperMate"/>
    <s v="Germany"/>
    <n v="2.6"/>
    <n v="5.5"/>
    <s v="PO-66363"/>
    <n v="158.6"/>
    <n v="0"/>
    <n v="158.6"/>
  </r>
  <r>
    <s v="INV-00411"/>
    <d v="2025-07-29T00:00:00"/>
    <s v="P011"/>
    <s v="Sale"/>
    <n v="-1"/>
    <n v="-1"/>
    <x v="2"/>
    <s v="PaperMate"/>
    <s v="Germany"/>
    <n v="2.6"/>
    <n v="5.5"/>
    <m/>
    <n v="2.6"/>
    <n v="5.5"/>
    <n v="0"/>
  </r>
  <r>
    <s v="INV-00684"/>
    <d v="2025-07-29T00:00:00"/>
    <s v="P022"/>
    <s v="Purchase"/>
    <n v="71"/>
    <n v="71"/>
    <x v="0"/>
    <s v="HydroLife"/>
    <s v="Germany"/>
    <n v="8.5"/>
    <n v="18"/>
    <s v="PO-97616"/>
    <n v="603.5"/>
    <n v="0"/>
    <n v="603.5"/>
  </r>
  <r>
    <s v="INV-01274"/>
    <d v="2025-07-29T00:00:00"/>
    <s v="P001"/>
    <s v="Purchase"/>
    <n v="38"/>
    <n v="38"/>
    <x v="0"/>
    <s v="TechGear"/>
    <s v="China"/>
    <n v="7.2"/>
    <n v="12.5"/>
    <s v="PO-51300"/>
    <n v="273.60000000000002"/>
    <n v="0"/>
    <n v="273.60000000000002"/>
  </r>
  <r>
    <s v="INV-00922"/>
    <d v="2025-07-29T00:00:00"/>
    <s v="P016"/>
    <s v="Sale"/>
    <n v="-5"/>
    <n v="-5"/>
    <x v="0"/>
    <s v="ConnectX"/>
    <s v="China"/>
    <n v="4.2"/>
    <n v="10"/>
    <m/>
    <n v="21"/>
    <n v="50"/>
    <n v="0"/>
  </r>
  <r>
    <s v="INV-01619"/>
    <d v="2025-07-29T00:00:00"/>
    <s v="P018"/>
    <s v="Purchase"/>
    <n v="104"/>
    <n v="104"/>
    <x v="2"/>
    <s v="DataStore"/>
    <s v="South Korea"/>
    <n v="5.2"/>
    <n v="11"/>
    <s v="PO-81326"/>
    <n v="540.80000000000007"/>
    <n v="0"/>
    <n v="540.80000000000007"/>
  </r>
  <r>
    <s v="INV-00658"/>
    <d v="2025-07-30T00:00:00"/>
    <s v="P012"/>
    <s v="Sale"/>
    <n v="-11"/>
    <n v="-11"/>
    <x v="2"/>
    <s v="WriteWell"/>
    <s v="France"/>
    <n v="3.4"/>
    <n v="8"/>
    <m/>
    <n v="37.4"/>
    <n v="88"/>
    <n v="0"/>
  </r>
  <r>
    <s v="INV-01218"/>
    <d v="2025-07-30T00:00:00"/>
    <s v="P022"/>
    <s v="Sale"/>
    <n v="-11"/>
    <n v="-11"/>
    <x v="2"/>
    <s v="HydroLife"/>
    <s v="Germany"/>
    <n v="8.5"/>
    <n v="18"/>
    <m/>
    <n v="93.5"/>
    <n v="198"/>
    <n v="0"/>
  </r>
  <r>
    <s v="INV-01522"/>
    <d v="2025-07-30T00:00:00"/>
    <s v="P029"/>
    <s v="Purchase"/>
    <n v="117"/>
    <n v="117"/>
    <x v="0"/>
    <s v="PackRight"/>
    <s v="Poland"/>
    <n v="4"/>
    <n v="9"/>
    <s v="PO-63583"/>
    <n v="468"/>
    <n v="0"/>
    <n v="468"/>
  </r>
  <r>
    <s v="INV-00695"/>
    <d v="2025-07-30T00:00:00"/>
    <s v="P003"/>
    <s v="Sale"/>
    <n v="-15"/>
    <n v="-15"/>
    <x v="2"/>
    <s v="ConnectX"/>
    <s v="China"/>
    <n v="16.5"/>
    <n v="28"/>
    <m/>
    <n v="247.5"/>
    <n v="420"/>
    <n v="0"/>
  </r>
  <r>
    <s v="INV-00102"/>
    <d v="2025-07-30T00:00:00"/>
    <s v="P021"/>
    <s v="Purchase"/>
    <n v="49"/>
    <n v="49"/>
    <x v="0"/>
    <s v="TravelPro"/>
    <s v="Vietnam"/>
    <n v="25"/>
    <n v="45"/>
    <s v="PO-78447"/>
    <n v="1225"/>
    <n v="0"/>
    <n v="1225"/>
  </r>
  <r>
    <s v="INV-01108"/>
    <d v="2025-07-30T00:00:00"/>
    <s v="P024"/>
    <s v="Purchase"/>
    <n v="69"/>
    <n v="69"/>
    <x v="0"/>
    <s v="CalcPlus"/>
    <s v="China"/>
    <n v="6"/>
    <n v="14"/>
    <s v="PO-49759"/>
    <n v="414"/>
    <n v="0"/>
    <n v="414"/>
  </r>
  <r>
    <s v="INV-01381"/>
    <d v="2025-07-31T00:00:00"/>
    <s v="P005"/>
    <s v="Purchase"/>
    <n v="33"/>
    <n v="33"/>
    <x v="2"/>
    <s v="VisionTech"/>
    <s v="China"/>
    <n v="18.5"/>
    <n v="31"/>
    <s v="PO-41323"/>
    <n v="610.5"/>
    <n v="0"/>
    <n v="610.5"/>
  </r>
  <r>
    <s v="INV-00048"/>
    <d v="2025-07-31T00:00:00"/>
    <s v="P017"/>
    <s v="Purchase"/>
    <n v="34"/>
    <n v="34"/>
    <x v="1"/>
    <s v="SoundMax"/>
    <s v="Vietnam"/>
    <n v="34"/>
    <n v="55"/>
    <s v="PO-83177"/>
    <n v="1156"/>
    <n v="0"/>
    <n v="1156"/>
  </r>
  <r>
    <s v="INV-01021"/>
    <d v="2025-07-31T00:00:00"/>
    <s v="P022"/>
    <s v="Return"/>
    <n v="4"/>
    <n v="4"/>
    <x v="0"/>
    <s v="HydroLife"/>
    <s v="Germany"/>
    <n v="8.5"/>
    <n v="18"/>
    <m/>
    <n v="34"/>
    <n v="0"/>
    <n v="0"/>
  </r>
  <r>
    <s v="INV-00339"/>
    <d v="2025-07-31T00:00:00"/>
    <s v="P016"/>
    <s v="Purchase"/>
    <n v="53"/>
    <n v="53"/>
    <x v="0"/>
    <s v="ConnectX"/>
    <s v="China"/>
    <n v="4.2"/>
    <n v="10"/>
    <s v="PO-83228"/>
    <n v="222.60000000000002"/>
    <n v="0"/>
    <n v="222.60000000000002"/>
  </r>
  <r>
    <s v="INV-01634"/>
    <d v="2025-08-01T00:00:00"/>
    <s v="P025"/>
    <s v="Sale"/>
    <n v="-1"/>
    <n v="-1"/>
    <x v="1"/>
    <s v="PaperMate"/>
    <s v="Germany"/>
    <n v="5.5"/>
    <n v="12"/>
    <m/>
    <n v="5.5"/>
    <n v="12"/>
    <n v="0"/>
  </r>
  <r>
    <s v="INV-00390"/>
    <d v="2025-08-01T00:00:00"/>
    <s v="P025"/>
    <s v="Sale"/>
    <n v="-5"/>
    <n v="-5"/>
    <x v="2"/>
    <s v="PaperMate"/>
    <s v="Germany"/>
    <n v="5.5"/>
    <n v="12"/>
    <m/>
    <n v="27.5"/>
    <n v="60"/>
    <n v="0"/>
  </r>
  <r>
    <s v="INV-00553"/>
    <d v="2025-08-02T00:00:00"/>
    <s v="P018"/>
    <s v="Sale"/>
    <n v="-12"/>
    <n v="-12"/>
    <x v="0"/>
    <s v="DataStore"/>
    <s v="South Korea"/>
    <n v="5.2"/>
    <n v="11"/>
    <m/>
    <n v="62.400000000000006"/>
    <n v="132"/>
    <n v="0"/>
  </r>
  <r>
    <s v="INV-00321"/>
    <d v="2025-08-02T00:00:00"/>
    <s v="P018"/>
    <s v="Sale"/>
    <n v="-14"/>
    <n v="-14"/>
    <x v="0"/>
    <s v="DataStore"/>
    <s v="South Korea"/>
    <n v="5.2"/>
    <n v="11"/>
    <m/>
    <n v="72.8"/>
    <n v="154"/>
    <n v="0"/>
  </r>
  <r>
    <s v="INV-01394"/>
    <d v="2025-08-02T00:00:00"/>
    <s v="P017"/>
    <s v="Purchase"/>
    <n v="95"/>
    <n v="95"/>
    <x v="1"/>
    <s v="SoundMax"/>
    <s v="Vietnam"/>
    <n v="34"/>
    <n v="55"/>
    <s v="PO-57968"/>
    <n v="3230"/>
    <n v="0"/>
    <n v="3230"/>
  </r>
  <r>
    <s v="INV-00773"/>
    <d v="2025-08-02T00:00:00"/>
    <s v="P004"/>
    <s v="Purchase"/>
    <n v="86"/>
    <n v="86"/>
    <x v="0"/>
    <s v="SoundMax"/>
    <s v="Vietnam"/>
    <n v="20"/>
    <n v="35"/>
    <s v="PO-97231"/>
    <n v="1720"/>
    <n v="0"/>
    <n v="1720"/>
  </r>
  <r>
    <s v="INV-00854"/>
    <d v="2025-08-02T00:00:00"/>
    <s v="P028"/>
    <s v="Purchase"/>
    <n v="89"/>
    <n v="89"/>
    <x v="0"/>
    <s v="PackRight"/>
    <s v="Poland"/>
    <n v="3"/>
    <n v="7"/>
    <s v="PO-50581"/>
    <n v="267"/>
    <n v="0"/>
    <n v="267"/>
  </r>
  <r>
    <s v="INV-01540"/>
    <d v="2025-08-02T00:00:00"/>
    <s v="P017"/>
    <s v="Sale"/>
    <n v="-7"/>
    <n v="-7"/>
    <x v="0"/>
    <s v="SoundMax"/>
    <s v="Vietnam"/>
    <n v="34"/>
    <n v="55"/>
    <m/>
    <n v="238"/>
    <n v="385"/>
    <n v="0"/>
  </r>
  <r>
    <s v="INV-01501"/>
    <d v="2025-08-02T00:00:00"/>
    <s v="P017"/>
    <s v="Sale"/>
    <n v="-8"/>
    <n v="-8"/>
    <x v="0"/>
    <s v="SoundMax"/>
    <s v="Vietnam"/>
    <n v="34"/>
    <n v="55"/>
    <m/>
    <n v="272"/>
    <n v="440"/>
    <n v="0"/>
  </r>
  <r>
    <s v="INV-01562"/>
    <d v="2025-08-02T00:00:00"/>
    <s v="P008"/>
    <s v="Purchase"/>
    <n v="34"/>
    <n v="34"/>
    <x v="0"/>
    <s v="BrightHome"/>
    <s v="China"/>
    <n v="13.5"/>
    <n v="24"/>
    <s v="PO-94179"/>
    <n v="459"/>
    <n v="0"/>
    <n v="459"/>
  </r>
  <r>
    <s v="INV-01332"/>
    <d v="2025-08-03T00:00:00"/>
    <s v="P023"/>
    <s v="Sale"/>
    <n v="-11"/>
    <n v="-11"/>
    <x v="1"/>
    <s v="DeskWorks"/>
    <s v="China"/>
    <n v="8.8000000000000007"/>
    <n v="17"/>
    <m/>
    <n v="96.800000000000011"/>
    <n v="187"/>
    <n v="0"/>
  </r>
  <r>
    <s v="INV-00535"/>
    <d v="2025-08-03T00:00:00"/>
    <s v="P024"/>
    <s v="Purchase"/>
    <n v="22"/>
    <n v="22"/>
    <x v="0"/>
    <s v="CalcPlus"/>
    <s v="China"/>
    <n v="6"/>
    <n v="14"/>
    <s v="PO-53225"/>
    <n v="132"/>
    <n v="0"/>
    <n v="132"/>
  </r>
  <r>
    <s v="INV-00155"/>
    <d v="2025-08-03T00:00:00"/>
    <s v="P030"/>
    <s v="Adjustment"/>
    <n v="-17"/>
    <n v="-17"/>
    <x v="0"/>
    <s v="StoreMax"/>
    <s v="Germany"/>
    <n v="11"/>
    <n v="22"/>
    <m/>
    <n v="187"/>
    <n v="0"/>
    <n v="0"/>
  </r>
  <r>
    <s v="INV-00505"/>
    <d v="2025-08-03T00:00:00"/>
    <s v="P022"/>
    <s v="Return"/>
    <n v="2"/>
    <n v="2"/>
    <x v="2"/>
    <s v="HydroLife"/>
    <s v="Germany"/>
    <n v="8.5"/>
    <n v="18"/>
    <m/>
    <n v="17"/>
    <n v="0"/>
    <n v="0"/>
  </r>
  <r>
    <s v="INV-01052"/>
    <d v="2025-08-03T00:00:00"/>
    <s v="P017"/>
    <s v="Purchase"/>
    <n v="73"/>
    <n v="73"/>
    <x v="1"/>
    <s v="SoundMax"/>
    <s v="Vietnam"/>
    <n v="34"/>
    <n v="55"/>
    <s v="PO-91072"/>
    <n v="2482"/>
    <n v="0"/>
    <n v="2482"/>
  </r>
  <r>
    <s v="INV-01303"/>
    <d v="2025-08-03T00:00:00"/>
    <s v="P002"/>
    <s v="Return"/>
    <n v="5"/>
    <n v="5"/>
    <x v="0"/>
    <s v="KeyPro"/>
    <s v="China"/>
    <n v="25"/>
    <n v="42"/>
    <m/>
    <n v="125"/>
    <n v="0"/>
    <n v="0"/>
  </r>
  <r>
    <s v="INV-01244"/>
    <d v="2025-08-04T00:00:00"/>
    <s v="P027"/>
    <s v="Sale"/>
    <n v="-9"/>
    <n v="-9"/>
    <x v="0"/>
    <s v="PrintTech"/>
    <s v="Japan"/>
    <n v="82"/>
    <n v="135"/>
    <m/>
    <n v="738"/>
    <n v="1215"/>
    <n v="0"/>
  </r>
  <r>
    <s v="INV-01380"/>
    <d v="2025-08-04T00:00:00"/>
    <s v="P019"/>
    <s v="Sale"/>
    <n v="-14"/>
    <n v="-14"/>
    <x v="1"/>
    <s v="PrintTech"/>
    <s v="Japan"/>
    <n v="145"/>
    <n v="210"/>
    <m/>
    <n v="2030"/>
    <n v="2940"/>
    <n v="0"/>
  </r>
  <r>
    <s v="INV-00996"/>
    <d v="2025-08-04T00:00:00"/>
    <s v="P003"/>
    <s v="Sale"/>
    <n v="-10"/>
    <n v="-10"/>
    <x v="0"/>
    <s v="ConnectX"/>
    <s v="China"/>
    <n v="16.5"/>
    <n v="28"/>
    <m/>
    <n v="165"/>
    <n v="280"/>
    <n v="0"/>
  </r>
  <r>
    <s v="INV-01029"/>
    <d v="2025-08-04T00:00:00"/>
    <s v="P011"/>
    <s v="Sale"/>
    <n v="-4"/>
    <n v="-4"/>
    <x v="2"/>
    <s v="PaperMate"/>
    <s v="Germany"/>
    <n v="2.6"/>
    <n v="5.5"/>
    <m/>
    <n v="10.4"/>
    <n v="22"/>
    <n v="0"/>
  </r>
  <r>
    <s v="INV-00351"/>
    <d v="2025-08-04T00:00:00"/>
    <s v="P016"/>
    <s v="Purchase"/>
    <n v="20"/>
    <n v="20"/>
    <x v="0"/>
    <s v="ConnectX"/>
    <s v="China"/>
    <n v="4.2"/>
    <n v="10"/>
    <s v="PO-81934"/>
    <n v="84"/>
    <n v="0"/>
    <n v="84"/>
  </r>
  <r>
    <s v="INV-00962"/>
    <d v="2025-08-05T00:00:00"/>
    <s v="P019"/>
    <s v="Purchase"/>
    <n v="103"/>
    <n v="103"/>
    <x v="0"/>
    <s v="PrintTech"/>
    <s v="Japan"/>
    <n v="145"/>
    <n v="210"/>
    <s v="PO-53039"/>
    <n v="14935"/>
    <n v="0"/>
    <n v="14935"/>
  </r>
  <r>
    <s v="INV-01710"/>
    <d v="2025-08-05T00:00:00"/>
    <s v="P021"/>
    <s v="Purchase"/>
    <n v="47"/>
    <n v="47"/>
    <x v="2"/>
    <s v="TravelPro"/>
    <s v="Vietnam"/>
    <n v="25"/>
    <n v="45"/>
    <s v="PO-71032"/>
    <n v="1175"/>
    <n v="0"/>
    <n v="1175"/>
  </r>
  <r>
    <s v="INV-00741"/>
    <d v="2025-08-05T00:00:00"/>
    <s v="P016"/>
    <s v="Sale"/>
    <n v="-11"/>
    <n v="-11"/>
    <x v="0"/>
    <s v="ConnectX"/>
    <s v="China"/>
    <n v="4.2"/>
    <n v="10"/>
    <m/>
    <n v="46.2"/>
    <n v="110"/>
    <n v="0"/>
  </r>
  <r>
    <s v="INV-00406"/>
    <d v="2025-08-06T00:00:00"/>
    <s v="P028"/>
    <s v="Return"/>
    <n v="3"/>
    <n v="3"/>
    <x v="1"/>
    <s v="PackRight"/>
    <s v="Poland"/>
    <n v="3"/>
    <n v="7"/>
    <m/>
    <n v="9"/>
    <n v="0"/>
    <n v="0"/>
  </r>
  <r>
    <s v="INV-00940"/>
    <d v="2025-08-06T00:00:00"/>
    <s v="P018"/>
    <s v="Purchase"/>
    <n v="58"/>
    <n v="58"/>
    <x v="0"/>
    <s v="DataStore"/>
    <s v="South Korea"/>
    <n v="5.2"/>
    <n v="11"/>
    <s v="PO-45999"/>
    <n v="301.60000000000002"/>
    <n v="0"/>
    <n v="301.60000000000002"/>
  </r>
  <r>
    <s v="INV-01434"/>
    <d v="2025-08-06T00:00:00"/>
    <s v="P022"/>
    <s v="Purchase"/>
    <n v="42"/>
    <n v="42"/>
    <x v="0"/>
    <s v="HydroLife"/>
    <s v="Germany"/>
    <n v="8.5"/>
    <n v="18"/>
    <s v="PO-13932"/>
    <n v="357"/>
    <n v="0"/>
    <n v="357"/>
  </r>
  <r>
    <s v="INV-01715"/>
    <d v="2025-08-06T00:00:00"/>
    <s v="P002"/>
    <s v="Sale"/>
    <n v="-14"/>
    <n v="-14"/>
    <x v="0"/>
    <s v="KeyPro"/>
    <s v="China"/>
    <n v="25"/>
    <n v="42"/>
    <m/>
    <n v="350"/>
    <n v="588"/>
    <n v="0"/>
  </r>
  <r>
    <s v="INV-00621"/>
    <d v="2025-08-07T00:00:00"/>
    <s v="P006"/>
    <s v="Purchase"/>
    <n v="62"/>
    <n v="62"/>
    <x v="2"/>
    <s v="ViewPlus"/>
    <s v="South Korea"/>
    <n v="130"/>
    <n v="185"/>
    <s v="PO-18744"/>
    <n v="8060"/>
    <n v="0"/>
    <n v="8060"/>
  </r>
  <r>
    <s v="INV-00113"/>
    <d v="2025-08-07T00:00:00"/>
    <s v="P029"/>
    <s v="Adjustment"/>
    <n v="16"/>
    <n v="16"/>
    <x v="1"/>
    <s v="PackRight"/>
    <s v="Poland"/>
    <n v="4"/>
    <n v="9"/>
    <m/>
    <n v="64"/>
    <n v="0"/>
    <n v="0"/>
  </r>
  <r>
    <s v="INV-00071"/>
    <d v="2025-08-07T00:00:00"/>
    <s v="P024"/>
    <s v="Sale"/>
    <n v="-2"/>
    <n v="-2"/>
    <x v="0"/>
    <s v="CalcPlus"/>
    <s v="China"/>
    <n v="6"/>
    <n v="14"/>
    <m/>
    <n v="12"/>
    <n v="28"/>
    <n v="0"/>
  </r>
  <r>
    <s v="INV-00463"/>
    <d v="2025-08-07T00:00:00"/>
    <s v="P024"/>
    <s v="Return"/>
    <n v="3"/>
    <n v="3"/>
    <x v="0"/>
    <s v="CalcPlus"/>
    <s v="China"/>
    <n v="6"/>
    <n v="14"/>
    <m/>
    <n v="18"/>
    <n v="0"/>
    <n v="0"/>
  </r>
  <r>
    <s v="INV-01683"/>
    <d v="2025-08-07T00:00:00"/>
    <s v="P021"/>
    <s v="Purchase"/>
    <n v="102"/>
    <n v="102"/>
    <x v="0"/>
    <s v="TravelPro"/>
    <s v="Vietnam"/>
    <n v="25"/>
    <n v="45"/>
    <s v="PO-20567"/>
    <n v="2550"/>
    <n v="0"/>
    <n v="2550"/>
  </r>
  <r>
    <s v="INV-01343"/>
    <d v="2025-08-08T00:00:00"/>
    <s v="P028"/>
    <s v="Sale"/>
    <n v="-15"/>
    <n v="-15"/>
    <x v="2"/>
    <s v="PackRight"/>
    <s v="Poland"/>
    <n v="3"/>
    <n v="7"/>
    <m/>
    <n v="45"/>
    <n v="105"/>
    <n v="0"/>
  </r>
  <r>
    <s v="INV-00998"/>
    <d v="2025-08-08T00:00:00"/>
    <s v="P004"/>
    <s v="Sale"/>
    <n v="-7"/>
    <n v="-7"/>
    <x v="0"/>
    <s v="SoundMax"/>
    <s v="Vietnam"/>
    <n v="20"/>
    <n v="35"/>
    <m/>
    <n v="140"/>
    <n v="245"/>
    <n v="0"/>
  </r>
  <r>
    <s v="INV-00999"/>
    <d v="2025-08-09T00:00:00"/>
    <s v="P029"/>
    <s v="Adjustment"/>
    <n v="-11"/>
    <n v="-11"/>
    <x v="0"/>
    <s v="PackRight"/>
    <s v="Poland"/>
    <n v="4"/>
    <n v="9"/>
    <m/>
    <n v="44"/>
    <n v="0"/>
    <n v="0"/>
  </r>
  <r>
    <s v="INV-00615"/>
    <d v="2025-08-09T00:00:00"/>
    <s v="P028"/>
    <s v="Sale"/>
    <n v="-15"/>
    <n v="-15"/>
    <x v="2"/>
    <s v="PackRight"/>
    <s v="Poland"/>
    <n v="3"/>
    <n v="7"/>
    <m/>
    <n v="45"/>
    <n v="105"/>
    <n v="0"/>
  </r>
  <r>
    <s v="INV-01642"/>
    <d v="2025-08-09T00:00:00"/>
    <s v="P027"/>
    <s v="Sale"/>
    <n v="-7"/>
    <n v="-7"/>
    <x v="2"/>
    <s v="PrintTech"/>
    <s v="Japan"/>
    <n v="82"/>
    <n v="135"/>
    <m/>
    <n v="574"/>
    <n v="945"/>
    <n v="0"/>
  </r>
  <r>
    <s v="INV-00459"/>
    <d v="2025-08-09T00:00:00"/>
    <s v="P002"/>
    <s v="Purchase"/>
    <n v="115"/>
    <n v="115"/>
    <x v="0"/>
    <s v="KeyPro"/>
    <s v="China"/>
    <n v="25"/>
    <n v="42"/>
    <s v="PO-88170"/>
    <n v="2875"/>
    <n v="0"/>
    <n v="2875"/>
  </r>
  <r>
    <s v="INV-00498"/>
    <d v="2025-08-09T00:00:00"/>
    <s v="P002"/>
    <s v="Purchase"/>
    <n v="23"/>
    <n v="23"/>
    <x v="1"/>
    <s v="KeyPro"/>
    <s v="China"/>
    <n v="25"/>
    <n v="42"/>
    <s v="PO-33949"/>
    <n v="575"/>
    <n v="0"/>
    <n v="575"/>
  </r>
  <r>
    <s v="INV-01436"/>
    <d v="2025-08-10T00:00:00"/>
    <s v="P001"/>
    <s v="Purchase"/>
    <n v="83"/>
    <n v="83"/>
    <x v="0"/>
    <s v="TechGear"/>
    <s v="China"/>
    <n v="7.2"/>
    <n v="12.5"/>
    <s v="PO-20220"/>
    <n v="597.6"/>
    <n v="0"/>
    <n v="597.6"/>
  </r>
  <r>
    <s v="INV-01548"/>
    <d v="2025-08-10T00:00:00"/>
    <s v="P018"/>
    <s v="Purchase"/>
    <n v="115"/>
    <n v="115"/>
    <x v="2"/>
    <s v="DataStore"/>
    <s v="South Korea"/>
    <n v="5.2"/>
    <n v="11"/>
    <s v="PO-50642"/>
    <n v="598"/>
    <n v="0"/>
    <n v="598"/>
  </r>
  <r>
    <s v="INV-01644"/>
    <d v="2025-08-10T00:00:00"/>
    <s v="P020"/>
    <s v="Adjustment"/>
    <n v="-3"/>
    <n v="-3"/>
    <x v="0"/>
    <s v="PrintTech"/>
    <s v="Japan"/>
    <n v="30"/>
    <n v="48"/>
    <m/>
    <n v="90"/>
    <n v="0"/>
    <n v="0"/>
  </r>
  <r>
    <s v="INV-01751"/>
    <d v="2025-08-11T00:00:00"/>
    <s v="P017"/>
    <s v="Sale"/>
    <n v="-5"/>
    <n v="-5"/>
    <x v="2"/>
    <s v="SoundMax"/>
    <s v="Vietnam"/>
    <n v="34"/>
    <n v="55"/>
    <m/>
    <n v="170"/>
    <n v="275"/>
    <n v="0"/>
  </r>
  <r>
    <s v="INV-00890"/>
    <d v="2025-08-12T00:00:00"/>
    <s v="P008"/>
    <s v="Sale"/>
    <n v="-7"/>
    <n v="-7"/>
    <x v="0"/>
    <s v="BrightHome"/>
    <s v="China"/>
    <n v="13.5"/>
    <n v="24"/>
    <m/>
    <n v="94.5"/>
    <n v="168"/>
    <n v="0"/>
  </r>
  <r>
    <s v="INV-00991"/>
    <d v="2025-08-13T00:00:00"/>
    <s v="P025"/>
    <s v="Sale"/>
    <n v="-3"/>
    <n v="-3"/>
    <x v="0"/>
    <s v="PaperMate"/>
    <s v="Germany"/>
    <n v="5.5"/>
    <n v="12"/>
    <m/>
    <n v="16.5"/>
    <n v="36"/>
    <n v="0"/>
  </r>
  <r>
    <s v="INV-00870"/>
    <d v="2025-08-13T00:00:00"/>
    <s v="P029"/>
    <s v="Purchase"/>
    <n v="57"/>
    <n v="57"/>
    <x v="0"/>
    <s v="PackRight"/>
    <s v="Poland"/>
    <n v="4"/>
    <n v="9"/>
    <s v="PO-79157"/>
    <n v="228"/>
    <n v="0"/>
    <n v="228"/>
  </r>
  <r>
    <s v="INV-01648"/>
    <d v="2025-08-13T00:00:00"/>
    <s v="P026"/>
    <s v="Sale"/>
    <n v="-6"/>
    <n v="-6"/>
    <x v="1"/>
    <s v="ScanPro"/>
    <s v="China"/>
    <n v="78"/>
    <n v="125"/>
    <m/>
    <n v="468"/>
    <n v="750"/>
    <n v="0"/>
  </r>
  <r>
    <s v="INV-00394"/>
    <d v="2025-08-14T00:00:00"/>
    <s v="P025"/>
    <s v="Sale"/>
    <n v="-5"/>
    <n v="-5"/>
    <x v="1"/>
    <s v="PaperMate"/>
    <s v="Germany"/>
    <n v="5.5"/>
    <n v="12"/>
    <m/>
    <n v="27.5"/>
    <n v="60"/>
    <n v="0"/>
  </r>
  <r>
    <s v="INV-00512"/>
    <d v="2025-08-14T00:00:00"/>
    <s v="P014"/>
    <s v="Sale"/>
    <n v="-11"/>
    <n v="-11"/>
    <x v="1"/>
    <s v="DataStore"/>
    <s v="South Korea"/>
    <n v="63"/>
    <n v="95"/>
    <m/>
    <n v="693"/>
    <n v="1045"/>
    <n v="0"/>
  </r>
  <r>
    <s v="INV-01538"/>
    <d v="2025-08-14T00:00:00"/>
    <s v="P022"/>
    <s v="Sale"/>
    <n v="-12"/>
    <n v="-12"/>
    <x v="0"/>
    <s v="HydroLife"/>
    <s v="Germany"/>
    <n v="8.5"/>
    <n v="18"/>
    <m/>
    <n v="102"/>
    <n v="216"/>
    <n v="0"/>
  </r>
  <r>
    <s v="INV-00135"/>
    <d v="2025-08-14T00:00:00"/>
    <s v="P029"/>
    <s v="Sale"/>
    <n v="-11"/>
    <n v="-11"/>
    <x v="2"/>
    <s v="PackRight"/>
    <s v="Poland"/>
    <n v="4"/>
    <n v="9"/>
    <m/>
    <n v="44"/>
    <n v="99"/>
    <n v="0"/>
  </r>
  <r>
    <s v="INV-00483"/>
    <d v="2025-08-14T00:00:00"/>
    <s v="P015"/>
    <s v="Sale"/>
    <n v="-14"/>
    <n v="-14"/>
    <x v="0"/>
    <s v="VoltPro"/>
    <s v="China"/>
    <n v="23"/>
    <n v="38"/>
    <m/>
    <n v="322"/>
    <n v="532"/>
    <n v="0"/>
  </r>
  <r>
    <s v="INV-01455"/>
    <d v="2025-08-14T00:00:00"/>
    <s v="P001"/>
    <s v="Purchase"/>
    <n v="101"/>
    <n v="101"/>
    <x v="0"/>
    <s v="TechGear"/>
    <s v="China"/>
    <n v="7.2"/>
    <n v="12.5"/>
    <s v="PO-20510"/>
    <n v="727.2"/>
    <n v="0"/>
    <n v="727.2"/>
  </r>
  <r>
    <s v="INV-01264"/>
    <d v="2025-08-14T00:00:00"/>
    <s v="P015"/>
    <s v="Sale"/>
    <n v="-12"/>
    <n v="-12"/>
    <x v="1"/>
    <s v="VoltPro"/>
    <s v="China"/>
    <n v="23"/>
    <n v="38"/>
    <m/>
    <n v="276"/>
    <n v="456"/>
    <n v="0"/>
  </r>
  <r>
    <s v="INV-00817"/>
    <d v="2025-08-15T00:00:00"/>
    <s v="P018"/>
    <s v="Sale"/>
    <n v="-9"/>
    <n v="-9"/>
    <x v="0"/>
    <s v="DataStore"/>
    <s v="South Korea"/>
    <n v="5.2"/>
    <n v="11"/>
    <m/>
    <n v="46.800000000000004"/>
    <n v="99"/>
    <n v="0"/>
  </r>
  <r>
    <s v="INV-00641"/>
    <d v="2025-08-15T00:00:00"/>
    <s v="P001"/>
    <s v="Sale"/>
    <n v="-13"/>
    <n v="-13"/>
    <x v="0"/>
    <s v="TechGear"/>
    <s v="China"/>
    <n v="7.2"/>
    <n v="12.5"/>
    <m/>
    <n v="93.600000000000009"/>
    <n v="162.5"/>
    <n v="0"/>
  </r>
  <r>
    <s v="INV-01407"/>
    <d v="2025-08-15T00:00:00"/>
    <s v="P027"/>
    <s v="Sale"/>
    <n v="-2"/>
    <n v="-2"/>
    <x v="0"/>
    <s v="PrintTech"/>
    <s v="Japan"/>
    <n v="82"/>
    <n v="135"/>
    <m/>
    <n v="164"/>
    <n v="270"/>
    <n v="0"/>
  </r>
  <r>
    <s v="INV-01479"/>
    <d v="2025-08-15T00:00:00"/>
    <s v="P025"/>
    <s v="Purchase"/>
    <n v="106"/>
    <n v="106"/>
    <x v="1"/>
    <s v="PaperMate"/>
    <s v="Germany"/>
    <n v="5.5"/>
    <n v="12"/>
    <s v="PO-92238"/>
    <n v="583"/>
    <n v="0"/>
    <n v="583"/>
  </r>
  <r>
    <s v="INV-01444"/>
    <d v="2025-08-16T00:00:00"/>
    <s v="P015"/>
    <s v="Sale"/>
    <n v="-2"/>
    <n v="-2"/>
    <x v="2"/>
    <s v="VoltPro"/>
    <s v="China"/>
    <n v="23"/>
    <n v="38"/>
    <m/>
    <n v="46"/>
    <n v="76"/>
    <n v="0"/>
  </r>
  <r>
    <s v="INV-00001"/>
    <d v="2025-08-16T00:00:00"/>
    <s v="P012"/>
    <s v="Adjustment"/>
    <n v="6"/>
    <n v="6"/>
    <x v="0"/>
    <s v="WriteWell"/>
    <s v="France"/>
    <n v="3.4"/>
    <n v="8"/>
    <m/>
    <n v="20.399999999999999"/>
    <n v="0"/>
    <n v="0"/>
  </r>
  <r>
    <s v="INV-00393"/>
    <d v="2025-08-17T00:00:00"/>
    <s v="P012"/>
    <s v="Sale"/>
    <n v="-6"/>
    <n v="-6"/>
    <x v="2"/>
    <s v="WriteWell"/>
    <s v="France"/>
    <n v="3.4"/>
    <n v="8"/>
    <m/>
    <n v="20.399999999999999"/>
    <n v="48"/>
    <n v="0"/>
  </r>
  <r>
    <s v="INV-00010"/>
    <d v="2025-08-17T00:00:00"/>
    <s v="P023"/>
    <s v="Purchase"/>
    <n v="117"/>
    <n v="117"/>
    <x v="0"/>
    <s v="DeskWorks"/>
    <s v="China"/>
    <n v="8.8000000000000007"/>
    <n v="17"/>
    <s v="PO-92643"/>
    <n v="1029.6000000000001"/>
    <n v="0"/>
    <n v="1029.6000000000001"/>
  </r>
  <r>
    <s v="INV-00172"/>
    <d v="2025-08-17T00:00:00"/>
    <s v="P001"/>
    <s v="Sale"/>
    <n v="-8"/>
    <n v="-8"/>
    <x v="2"/>
    <s v="TechGear"/>
    <s v="China"/>
    <n v="7.2"/>
    <n v="12.5"/>
    <m/>
    <n v="57.6"/>
    <n v="100"/>
    <n v="0"/>
  </r>
  <r>
    <s v="INV-01110"/>
    <d v="2025-08-17T00:00:00"/>
    <s v="P005"/>
    <s v="Purchase"/>
    <n v="71"/>
    <n v="71"/>
    <x v="2"/>
    <s v="VisionTech"/>
    <s v="China"/>
    <n v="18.5"/>
    <n v="31"/>
    <s v="PO-35989"/>
    <n v="1313.5"/>
    <n v="0"/>
    <n v="1313.5"/>
  </r>
  <r>
    <s v="INV-01558"/>
    <d v="2025-08-17T00:00:00"/>
    <s v="P013"/>
    <s v="Sale"/>
    <n v="-4"/>
    <n v="-4"/>
    <x v="0"/>
    <s v="DeskWorks"/>
    <s v="China"/>
    <n v="8"/>
    <n v="15"/>
    <m/>
    <n v="32"/>
    <n v="60"/>
    <n v="0"/>
  </r>
  <r>
    <s v="INV-01508"/>
    <d v="2025-08-17T00:00:00"/>
    <s v="P017"/>
    <s v="Purchase"/>
    <n v="37"/>
    <n v="37"/>
    <x v="0"/>
    <s v="SoundMax"/>
    <s v="Vietnam"/>
    <n v="34"/>
    <n v="55"/>
    <s v="PO-40916"/>
    <n v="1258"/>
    <n v="0"/>
    <n v="1258"/>
  </r>
  <r>
    <s v="INV-01225"/>
    <d v="2025-08-17T00:00:00"/>
    <s v="P014"/>
    <s v="Purchase"/>
    <n v="112"/>
    <n v="112"/>
    <x v="0"/>
    <s v="DataStore"/>
    <s v="South Korea"/>
    <n v="63"/>
    <n v="95"/>
    <s v="PO-67600"/>
    <n v="7056"/>
    <n v="0"/>
    <n v="7056"/>
  </r>
  <r>
    <s v="INV-00928"/>
    <d v="2025-08-18T00:00:00"/>
    <s v="P017"/>
    <s v="Purchase"/>
    <n v="41"/>
    <n v="41"/>
    <x v="0"/>
    <s v="SoundMax"/>
    <s v="Vietnam"/>
    <n v="34"/>
    <n v="55"/>
    <s v="PO-22771"/>
    <n v="1394"/>
    <n v="0"/>
    <n v="1394"/>
  </r>
  <r>
    <s v="INV-00942"/>
    <d v="2025-08-18T00:00:00"/>
    <s v="P018"/>
    <s v="Purchase"/>
    <n v="73"/>
    <n v="73"/>
    <x v="1"/>
    <s v="DataStore"/>
    <s v="South Korea"/>
    <n v="5.2"/>
    <n v="11"/>
    <s v="PO-81887"/>
    <n v="379.6"/>
    <n v="0"/>
    <n v="379.6"/>
  </r>
  <r>
    <s v="INV-00590"/>
    <d v="2025-08-19T00:00:00"/>
    <s v="P005"/>
    <s v="Sale"/>
    <n v="-3"/>
    <n v="-3"/>
    <x v="0"/>
    <s v="VisionTech"/>
    <s v="China"/>
    <n v="18.5"/>
    <n v="31"/>
    <m/>
    <n v="55.5"/>
    <n v="93"/>
    <n v="0"/>
  </r>
  <r>
    <s v="INV-01733"/>
    <d v="2025-08-19T00:00:00"/>
    <s v="P017"/>
    <s v="Purchase"/>
    <n v="91"/>
    <n v="91"/>
    <x v="2"/>
    <s v="SoundMax"/>
    <s v="Vietnam"/>
    <n v="34"/>
    <n v="55"/>
    <s v="PO-37676"/>
    <n v="3094"/>
    <n v="0"/>
    <n v="3094"/>
  </r>
  <r>
    <s v="INV-01140"/>
    <d v="2025-08-19T00:00:00"/>
    <s v="P019"/>
    <s v="Purchase"/>
    <n v="47"/>
    <n v="47"/>
    <x v="2"/>
    <s v="PrintTech"/>
    <s v="Japan"/>
    <n v="145"/>
    <n v="210"/>
    <s v="PO-97317"/>
    <n v="6815"/>
    <n v="0"/>
    <n v="6815"/>
  </r>
  <r>
    <s v="INV-00783"/>
    <d v="2025-08-19T00:00:00"/>
    <s v="P008"/>
    <s v="Sale"/>
    <n v="-12"/>
    <n v="-12"/>
    <x v="1"/>
    <s v="BrightHome"/>
    <s v="China"/>
    <n v="13.5"/>
    <n v="24"/>
    <m/>
    <n v="162"/>
    <n v="288"/>
    <n v="0"/>
  </r>
  <r>
    <s v="INV-01329"/>
    <d v="2025-08-19T00:00:00"/>
    <s v="P022"/>
    <s v="Adjustment"/>
    <n v="-18"/>
    <n v="-18"/>
    <x v="2"/>
    <s v="HydroLife"/>
    <s v="Germany"/>
    <n v="8.5"/>
    <n v="18"/>
    <m/>
    <n v="153"/>
    <n v="0"/>
    <n v="0"/>
  </r>
  <r>
    <s v="INV-01465"/>
    <d v="2025-08-20T00:00:00"/>
    <s v="P030"/>
    <s v="Sale"/>
    <n v="-4"/>
    <n v="-4"/>
    <x v="0"/>
    <s v="StoreMax"/>
    <s v="Germany"/>
    <n v="11"/>
    <n v="22"/>
    <m/>
    <n v="44"/>
    <n v="88"/>
    <n v="0"/>
  </r>
  <r>
    <s v="INV-01306"/>
    <d v="2025-08-20T00:00:00"/>
    <s v="P028"/>
    <s v="Sale"/>
    <n v="-10"/>
    <n v="-10"/>
    <x v="0"/>
    <s v="PackRight"/>
    <s v="Poland"/>
    <n v="3"/>
    <n v="7"/>
    <m/>
    <n v="30"/>
    <n v="70"/>
    <n v="0"/>
  </r>
  <r>
    <s v="INV-01736"/>
    <d v="2025-08-20T00:00:00"/>
    <s v="P028"/>
    <s v="Purchase"/>
    <n v="54"/>
    <n v="54"/>
    <x v="2"/>
    <s v="PackRight"/>
    <s v="Poland"/>
    <n v="3"/>
    <n v="7"/>
    <s v="PO-99340"/>
    <n v="162"/>
    <n v="0"/>
    <n v="162"/>
  </r>
  <r>
    <s v="INV-00384"/>
    <d v="2025-08-20T00:00:00"/>
    <s v="P028"/>
    <s v="Purchase"/>
    <n v="73"/>
    <n v="73"/>
    <x v="0"/>
    <s v="PackRight"/>
    <s v="Poland"/>
    <n v="3"/>
    <n v="7"/>
    <s v="PO-46648"/>
    <n v="219"/>
    <n v="0"/>
    <n v="219"/>
  </r>
  <r>
    <s v="INV-00388"/>
    <d v="2025-08-20T00:00:00"/>
    <s v="P006"/>
    <s v="Sale"/>
    <n v="-1"/>
    <n v="-1"/>
    <x v="0"/>
    <s v="ViewPlus"/>
    <s v="South Korea"/>
    <n v="130"/>
    <n v="185"/>
    <m/>
    <n v="130"/>
    <n v="185"/>
    <n v="0"/>
  </r>
  <r>
    <s v="INV-01738"/>
    <d v="2025-08-21T00:00:00"/>
    <s v="P006"/>
    <s v="Sale"/>
    <n v="-6"/>
    <n v="-6"/>
    <x v="0"/>
    <s v="ViewPlus"/>
    <s v="South Korea"/>
    <n v="130"/>
    <n v="185"/>
    <m/>
    <n v="780"/>
    <n v="1110"/>
    <n v="0"/>
  </r>
  <r>
    <s v="INV-01706"/>
    <d v="2025-08-21T00:00:00"/>
    <s v="P003"/>
    <s v="Sale"/>
    <n v="-10"/>
    <n v="-10"/>
    <x v="1"/>
    <s v="ConnectX"/>
    <s v="China"/>
    <n v="16.5"/>
    <n v="28"/>
    <m/>
    <n v="165"/>
    <n v="280"/>
    <n v="0"/>
  </r>
  <r>
    <s v="INV-00236"/>
    <d v="2025-08-21T00:00:00"/>
    <s v="P023"/>
    <s v="Sale"/>
    <n v="-10"/>
    <n v="-10"/>
    <x v="0"/>
    <s v="DeskWorks"/>
    <s v="China"/>
    <n v="8.8000000000000007"/>
    <n v="17"/>
    <m/>
    <n v="88"/>
    <n v="170"/>
    <n v="0"/>
  </r>
  <r>
    <s v="INV-01257"/>
    <d v="2025-08-21T00:00:00"/>
    <s v="P007"/>
    <s v="Sale"/>
    <n v="-10"/>
    <n v="-10"/>
    <x v="0"/>
    <s v="DeskWorks"/>
    <s v="China"/>
    <n v="16"/>
    <n v="29"/>
    <m/>
    <n v="160"/>
    <n v="290"/>
    <n v="0"/>
  </r>
  <r>
    <s v="INV-01159"/>
    <d v="2025-08-22T00:00:00"/>
    <s v="P028"/>
    <s v="Purchase"/>
    <n v="113"/>
    <n v="113"/>
    <x v="1"/>
    <s v="PackRight"/>
    <s v="Poland"/>
    <n v="3"/>
    <n v="7"/>
    <s v="PO-45814"/>
    <n v="339"/>
    <n v="0"/>
    <n v="339"/>
  </r>
  <r>
    <s v="INV-01622"/>
    <d v="2025-08-22T00:00:00"/>
    <s v="P002"/>
    <s v="Sale"/>
    <n v="-14"/>
    <n v="-14"/>
    <x v="1"/>
    <s v="KeyPro"/>
    <s v="China"/>
    <n v="25"/>
    <n v="42"/>
    <m/>
    <n v="350"/>
    <n v="588"/>
    <n v="0"/>
  </r>
  <r>
    <s v="INV-01485"/>
    <d v="2025-08-23T00:00:00"/>
    <s v="P011"/>
    <s v="Sale"/>
    <n v="-9"/>
    <n v="-9"/>
    <x v="1"/>
    <s v="PaperMate"/>
    <s v="Germany"/>
    <n v="2.6"/>
    <n v="5.5"/>
    <m/>
    <n v="23.400000000000002"/>
    <n v="49.5"/>
    <n v="0"/>
  </r>
  <r>
    <s v="INV-01678"/>
    <d v="2025-08-23T00:00:00"/>
    <s v="P013"/>
    <s v="Sale"/>
    <n v="-3"/>
    <n v="-3"/>
    <x v="0"/>
    <s v="DeskWorks"/>
    <s v="China"/>
    <n v="8"/>
    <n v="15"/>
    <m/>
    <n v="24"/>
    <n v="45"/>
    <n v="0"/>
  </r>
  <r>
    <s v="INV-00732"/>
    <d v="2025-08-23T00:00:00"/>
    <s v="P025"/>
    <s v="Sale"/>
    <n v="-2"/>
    <n v="-2"/>
    <x v="0"/>
    <s v="PaperMate"/>
    <s v="Germany"/>
    <n v="5.5"/>
    <n v="12"/>
    <m/>
    <n v="11"/>
    <n v="24"/>
    <n v="0"/>
  </r>
  <r>
    <s v="INV-01723"/>
    <d v="2025-08-23T00:00:00"/>
    <s v="P011"/>
    <s v="Purchase"/>
    <n v="91"/>
    <n v="91"/>
    <x v="0"/>
    <s v="PaperMate"/>
    <s v="Germany"/>
    <n v="2.6"/>
    <n v="5.5"/>
    <s v="PO-70562"/>
    <n v="236.6"/>
    <n v="0"/>
    <n v="236.6"/>
  </r>
  <r>
    <s v="INV-01659"/>
    <d v="2025-08-23T00:00:00"/>
    <s v="P013"/>
    <s v="Sale"/>
    <n v="-4"/>
    <n v="-4"/>
    <x v="0"/>
    <s v="DeskWorks"/>
    <s v="China"/>
    <n v="8"/>
    <n v="15"/>
    <m/>
    <n v="32"/>
    <n v="60"/>
    <n v="0"/>
  </r>
  <r>
    <s v="INV-01653"/>
    <d v="2025-08-24T00:00:00"/>
    <s v="P009"/>
    <s v="Sale"/>
    <n v="-6"/>
    <n v="-6"/>
    <x v="0"/>
    <s v="ComfortPro"/>
    <s v="Poland"/>
    <n v="105"/>
    <n v="165"/>
    <m/>
    <n v="630"/>
    <n v="990"/>
    <n v="0"/>
  </r>
  <r>
    <s v="INV-01649"/>
    <d v="2025-08-24T00:00:00"/>
    <s v="P025"/>
    <s v="Sale"/>
    <n v="-4"/>
    <n v="-4"/>
    <x v="0"/>
    <s v="PaperMate"/>
    <s v="Germany"/>
    <n v="5.5"/>
    <n v="12"/>
    <m/>
    <n v="22"/>
    <n v="48"/>
    <n v="0"/>
  </r>
  <r>
    <s v="INV-01157"/>
    <d v="2025-08-24T00:00:00"/>
    <s v="P005"/>
    <s v="Sale"/>
    <n v="-12"/>
    <n v="-12"/>
    <x v="2"/>
    <s v="VisionTech"/>
    <s v="China"/>
    <n v="18.5"/>
    <n v="31"/>
    <m/>
    <n v="222"/>
    <n v="372"/>
    <n v="0"/>
  </r>
  <r>
    <s v="INV-00944"/>
    <d v="2025-08-24T00:00:00"/>
    <s v="P026"/>
    <s v="Purchase"/>
    <n v="94"/>
    <n v="94"/>
    <x v="2"/>
    <s v="ScanPro"/>
    <s v="China"/>
    <n v="78"/>
    <n v="125"/>
    <s v="PO-72668"/>
    <n v="7332"/>
    <n v="0"/>
    <n v="7332"/>
  </r>
  <r>
    <s v="INV-00347"/>
    <d v="2025-08-24T00:00:00"/>
    <s v="P021"/>
    <s v="Sale"/>
    <n v="-6"/>
    <n v="-6"/>
    <x v="0"/>
    <s v="TravelPro"/>
    <s v="Vietnam"/>
    <n v="25"/>
    <n v="45"/>
    <m/>
    <n v="150"/>
    <n v="270"/>
    <n v="0"/>
  </r>
  <r>
    <s v="INV-01577"/>
    <d v="2025-08-25T00:00:00"/>
    <s v="P001"/>
    <s v="Sale"/>
    <n v="-7"/>
    <n v="-7"/>
    <x v="2"/>
    <s v="TechGear"/>
    <s v="China"/>
    <n v="7.2"/>
    <n v="12.5"/>
    <m/>
    <n v="50.4"/>
    <n v="87.5"/>
    <n v="0"/>
  </r>
  <r>
    <s v="INV-00461"/>
    <d v="2025-08-25T00:00:00"/>
    <s v="P004"/>
    <s v="Sale"/>
    <n v="-2"/>
    <n v="-2"/>
    <x v="0"/>
    <s v="SoundMax"/>
    <s v="Vietnam"/>
    <n v="20"/>
    <n v="35"/>
    <m/>
    <n v="40"/>
    <n v="70"/>
    <n v="0"/>
  </r>
  <r>
    <s v="INV-00644"/>
    <d v="2025-08-25T00:00:00"/>
    <s v="P011"/>
    <s v="Sale"/>
    <n v="-13"/>
    <n v="-13"/>
    <x v="1"/>
    <s v="PaperMate"/>
    <s v="Germany"/>
    <n v="2.6"/>
    <n v="5.5"/>
    <m/>
    <n v="33.800000000000004"/>
    <n v="71.5"/>
    <n v="0"/>
  </r>
  <r>
    <s v="INV-00637"/>
    <d v="2025-08-25T00:00:00"/>
    <s v="P017"/>
    <s v="Sale"/>
    <n v="-7"/>
    <n v="-7"/>
    <x v="0"/>
    <s v="SoundMax"/>
    <s v="Vietnam"/>
    <n v="34"/>
    <n v="55"/>
    <m/>
    <n v="238"/>
    <n v="385"/>
    <n v="0"/>
  </r>
  <r>
    <s v="INV-00840"/>
    <d v="2025-08-25T00:00:00"/>
    <s v="P021"/>
    <s v="Sale"/>
    <n v="-13"/>
    <n v="-13"/>
    <x v="3"/>
    <s v="TravelPro"/>
    <s v="Vietnam"/>
    <n v="25"/>
    <n v="45"/>
    <m/>
    <n v="325"/>
    <n v="585"/>
    <n v="0"/>
  </r>
  <r>
    <s v="INV-01544"/>
    <d v="2025-08-25T00:00:00"/>
    <s v="P008"/>
    <s v="Purchase"/>
    <n v="64"/>
    <n v="64"/>
    <x v="1"/>
    <s v="BrightHome"/>
    <s v="China"/>
    <n v="13.5"/>
    <n v="24"/>
    <s v="PO-60430"/>
    <n v="864"/>
    <n v="0"/>
    <n v="864"/>
  </r>
  <r>
    <s v="INV-01457"/>
    <d v="2025-08-25T00:00:00"/>
    <s v="P022"/>
    <s v="Sale"/>
    <n v="-3"/>
    <n v="-3"/>
    <x v="0"/>
    <s v="HydroLife"/>
    <s v="Germany"/>
    <n v="8.5"/>
    <n v="18"/>
    <m/>
    <n v="25.5"/>
    <n v="54"/>
    <n v="0"/>
  </r>
  <r>
    <s v="INV-00462"/>
    <d v="2025-08-25T00:00:00"/>
    <s v="P021"/>
    <s v="Sale"/>
    <n v="-15"/>
    <n v="-15"/>
    <x v="0"/>
    <s v="TravelPro"/>
    <s v="Vietnam"/>
    <n v="25"/>
    <n v="45"/>
    <m/>
    <n v="375"/>
    <n v="675"/>
    <n v="0"/>
  </r>
  <r>
    <s v="INV-01780"/>
    <d v="2025-08-26T00:00:00"/>
    <s v="P027"/>
    <s v="Sale"/>
    <n v="-6"/>
    <n v="-6"/>
    <x v="2"/>
    <s v="PrintTech"/>
    <s v="Japan"/>
    <n v="82"/>
    <n v="135"/>
    <m/>
    <n v="492"/>
    <n v="810"/>
    <n v="0"/>
  </r>
  <r>
    <s v="INV-00270"/>
    <d v="2025-08-26T00:00:00"/>
    <s v="P011"/>
    <s v="Purchase"/>
    <n v="81"/>
    <n v="81"/>
    <x v="2"/>
    <s v="PaperMate"/>
    <s v="Germany"/>
    <n v="2.6"/>
    <n v="5.5"/>
    <s v="PO-68031"/>
    <n v="210.6"/>
    <n v="0"/>
    <n v="210.6"/>
  </r>
  <r>
    <s v="INV-00313"/>
    <d v="2025-08-26T00:00:00"/>
    <s v="P001"/>
    <s v="Purchase"/>
    <n v="112"/>
    <n v="112"/>
    <x v="2"/>
    <s v="TechGear"/>
    <s v="China"/>
    <n v="7.2"/>
    <n v="12.5"/>
    <s v="PO-25858"/>
    <n v="806.4"/>
    <n v="0"/>
    <n v="806.4"/>
  </r>
  <r>
    <s v="INV-01102"/>
    <d v="2025-08-26T00:00:00"/>
    <s v="P030"/>
    <s v="Sale"/>
    <n v="-1"/>
    <n v="-1"/>
    <x v="2"/>
    <s v="StoreMax"/>
    <s v="Germany"/>
    <n v="11"/>
    <n v="22"/>
    <m/>
    <n v="11"/>
    <n v="22"/>
    <n v="0"/>
  </r>
  <r>
    <s v="INV-00626"/>
    <d v="2025-08-26T00:00:00"/>
    <s v="P012"/>
    <s v="Return"/>
    <n v="4"/>
    <n v="4"/>
    <x v="0"/>
    <s v="WriteWell"/>
    <s v="France"/>
    <n v="3.4"/>
    <n v="8"/>
    <m/>
    <n v="13.6"/>
    <n v="0"/>
    <n v="0"/>
  </r>
  <r>
    <s v="INV-00539"/>
    <d v="2025-08-27T00:00:00"/>
    <s v="P015"/>
    <s v="Purchase"/>
    <n v="106"/>
    <n v="106"/>
    <x v="0"/>
    <s v="VoltPro"/>
    <s v="China"/>
    <n v="23"/>
    <n v="38"/>
    <s v="PO-70010"/>
    <n v="2438"/>
    <n v="0"/>
    <n v="2438"/>
  </r>
  <r>
    <s v="INV-01701"/>
    <d v="2025-08-27T00:00:00"/>
    <s v="P030"/>
    <s v="Purchase"/>
    <n v="44"/>
    <n v="44"/>
    <x v="0"/>
    <s v="StoreMax"/>
    <s v="Germany"/>
    <n v="11"/>
    <n v="22"/>
    <s v="PO-10329"/>
    <n v="484"/>
    <n v="0"/>
    <n v="484"/>
  </r>
  <r>
    <s v="INV-00860"/>
    <d v="2025-08-27T00:00:00"/>
    <s v="P002"/>
    <s v="Sale"/>
    <n v="-15"/>
    <n v="-15"/>
    <x v="0"/>
    <s v="KeyPro"/>
    <s v="China"/>
    <n v="25"/>
    <n v="42"/>
    <m/>
    <n v="375"/>
    <n v="630"/>
    <n v="0"/>
  </r>
  <r>
    <s v="INV-01734"/>
    <d v="2025-08-28T00:00:00"/>
    <s v="P014"/>
    <s v="Purchase"/>
    <n v="75"/>
    <n v="75"/>
    <x v="0"/>
    <s v="DataStore"/>
    <s v="South Korea"/>
    <n v="63"/>
    <n v="95"/>
    <s v="PO-71710"/>
    <n v="4725"/>
    <n v="0"/>
    <n v="4725"/>
  </r>
  <r>
    <s v="INV-01608"/>
    <d v="2025-08-28T00:00:00"/>
    <s v="P025"/>
    <s v="Adjustment"/>
    <n v="9"/>
    <n v="9"/>
    <x v="0"/>
    <s v="PaperMate"/>
    <s v="Germany"/>
    <n v="5.5"/>
    <n v="12"/>
    <m/>
    <n v="49.5"/>
    <n v="0"/>
    <n v="0"/>
  </r>
  <r>
    <s v="INV-01762"/>
    <d v="2025-08-28T00:00:00"/>
    <s v="P027"/>
    <s v="Sale"/>
    <n v="-5"/>
    <n v="-5"/>
    <x v="2"/>
    <s v="PrintTech"/>
    <s v="Japan"/>
    <n v="82"/>
    <n v="135"/>
    <m/>
    <n v="410"/>
    <n v="675"/>
    <n v="0"/>
  </r>
  <r>
    <s v="INV-00806"/>
    <d v="2025-08-29T00:00:00"/>
    <s v="P024"/>
    <s v="Sale"/>
    <n v="-9"/>
    <n v="-9"/>
    <x v="0"/>
    <s v="CalcPlus"/>
    <s v="China"/>
    <n v="6"/>
    <n v="14"/>
    <m/>
    <n v="54"/>
    <n v="126"/>
    <n v="0"/>
  </r>
  <r>
    <s v="INV-00039"/>
    <d v="2025-08-29T00:00:00"/>
    <s v="P022"/>
    <s v="Return"/>
    <n v="2"/>
    <n v="2"/>
    <x v="0"/>
    <s v="HydroLife"/>
    <s v="Germany"/>
    <n v="8.5"/>
    <n v="18"/>
    <m/>
    <n v="17"/>
    <n v="0"/>
    <n v="0"/>
  </r>
  <r>
    <s v="INV-00364"/>
    <d v="2025-08-30T00:00:00"/>
    <s v="P017"/>
    <s v="Sale"/>
    <n v="-8"/>
    <n v="-8"/>
    <x v="0"/>
    <s v="SoundMax"/>
    <s v="Vietnam"/>
    <n v="34"/>
    <n v="55"/>
    <m/>
    <n v="272"/>
    <n v="440"/>
    <n v="0"/>
  </r>
  <r>
    <s v="INV-01039"/>
    <d v="2025-08-31T00:00:00"/>
    <s v="P002"/>
    <s v="Sale"/>
    <n v="-6"/>
    <n v="-6"/>
    <x v="1"/>
    <s v="KeyPro"/>
    <s v="China"/>
    <n v="25"/>
    <n v="42"/>
    <m/>
    <n v="150"/>
    <n v="252"/>
    <n v="0"/>
  </r>
  <r>
    <s v="INV-01096"/>
    <d v="2025-08-31T00:00:00"/>
    <s v="P006"/>
    <s v="Sale"/>
    <n v="-7"/>
    <n v="-7"/>
    <x v="1"/>
    <s v="ViewPlus"/>
    <s v="South Korea"/>
    <n v="130"/>
    <n v="185"/>
    <m/>
    <n v="910"/>
    <n v="1295"/>
    <n v="0"/>
  </r>
  <r>
    <s v="INV-01535"/>
    <d v="2025-08-31T00:00:00"/>
    <s v="P013"/>
    <s v="Return"/>
    <n v="3"/>
    <n v="3"/>
    <x v="1"/>
    <s v="DeskWorks"/>
    <s v="China"/>
    <n v="8"/>
    <n v="15"/>
    <m/>
    <n v="24"/>
    <n v="0"/>
    <n v="0"/>
  </r>
  <r>
    <s v="INV-01499"/>
    <d v="2025-09-01T00:00:00"/>
    <s v="P012"/>
    <s v="Sale"/>
    <n v="-14"/>
    <n v="-14"/>
    <x v="2"/>
    <s v="WriteWell"/>
    <s v="France"/>
    <n v="3.4"/>
    <n v="8"/>
    <m/>
    <n v="47.6"/>
    <n v="112"/>
    <n v="0"/>
  </r>
  <r>
    <s v="INV-01251"/>
    <d v="2025-09-03T00:00:00"/>
    <s v="P025"/>
    <s v="Purchase"/>
    <n v="61"/>
    <n v="61"/>
    <x v="0"/>
    <s v="PaperMate"/>
    <s v="Germany"/>
    <n v="5.5"/>
    <n v="12"/>
    <s v="PO-83167"/>
    <n v="335.5"/>
    <n v="0"/>
    <n v="335.5"/>
  </r>
  <r>
    <s v="INV-00357"/>
    <d v="2025-09-03T00:00:00"/>
    <s v="P001"/>
    <s v="Purchase"/>
    <n v="40"/>
    <n v="40"/>
    <x v="0"/>
    <s v="TechGear"/>
    <s v="China"/>
    <n v="7.2"/>
    <n v="12.5"/>
    <s v="PO-21825"/>
    <n v="288"/>
    <n v="0"/>
    <n v="288"/>
  </r>
  <r>
    <s v="INV-00279"/>
    <d v="2025-09-03T00:00:00"/>
    <s v="P023"/>
    <s v="Adjustment"/>
    <n v="14"/>
    <n v="14"/>
    <x v="1"/>
    <s v="DeskWorks"/>
    <s v="China"/>
    <n v="8.8000000000000007"/>
    <n v="17"/>
    <m/>
    <n v="123.20000000000002"/>
    <n v="0"/>
    <n v="0"/>
  </r>
  <r>
    <s v="INV-00561"/>
    <d v="2025-09-03T00:00:00"/>
    <s v="P023"/>
    <s v="Purchase"/>
    <n v="113"/>
    <n v="113"/>
    <x v="2"/>
    <s v="DeskWorks"/>
    <s v="China"/>
    <n v="8.8000000000000007"/>
    <n v="17"/>
    <s v="PO-31209"/>
    <n v="994.40000000000009"/>
    <n v="0"/>
    <n v="994.40000000000009"/>
  </r>
  <r>
    <s v="INV-00202"/>
    <d v="2025-09-04T00:00:00"/>
    <s v="P003"/>
    <s v="Purchase"/>
    <n v="116"/>
    <n v="116"/>
    <x v="2"/>
    <s v="ConnectX"/>
    <s v="China"/>
    <n v="16.5"/>
    <n v="28"/>
    <s v="PO-88343"/>
    <n v="1914"/>
    <n v="0"/>
    <n v="1914"/>
  </r>
  <r>
    <s v="INV-00537"/>
    <d v="2025-09-04T00:00:00"/>
    <s v="P028"/>
    <s v="Sale"/>
    <n v="-12"/>
    <n v="-12"/>
    <x v="1"/>
    <s v="PackRight"/>
    <s v="Poland"/>
    <n v="3"/>
    <n v="7"/>
    <m/>
    <n v="36"/>
    <n v="84"/>
    <n v="0"/>
  </r>
  <r>
    <s v="INV-01330"/>
    <d v="2025-09-05T00:00:00"/>
    <s v="P016"/>
    <s v="Sale"/>
    <n v="-14"/>
    <n v="-14"/>
    <x v="0"/>
    <s v="ConnectX"/>
    <s v="China"/>
    <n v="4.2"/>
    <n v="10"/>
    <m/>
    <n v="58.800000000000004"/>
    <n v="140"/>
    <n v="0"/>
  </r>
  <r>
    <s v="INV-00019"/>
    <d v="2025-09-05T00:00:00"/>
    <s v="P014"/>
    <s v="Sale"/>
    <n v="-10"/>
    <n v="-10"/>
    <x v="2"/>
    <s v="DataStore"/>
    <s v="South Korea"/>
    <n v="63"/>
    <n v="95"/>
    <m/>
    <n v="630"/>
    <n v="950"/>
    <n v="0"/>
  </r>
  <r>
    <s v="INV-00368"/>
    <d v="2025-09-05T00:00:00"/>
    <s v="P028"/>
    <s v="Purchase"/>
    <n v="36"/>
    <n v="36"/>
    <x v="0"/>
    <s v="PackRight"/>
    <s v="Poland"/>
    <n v="3"/>
    <n v="7"/>
    <s v="PO-34151"/>
    <n v="108"/>
    <n v="0"/>
    <n v="108"/>
  </r>
  <r>
    <s v="INV-00970"/>
    <d v="2025-09-05T00:00:00"/>
    <s v="P016"/>
    <s v="Sale"/>
    <n v="-12"/>
    <n v="-12"/>
    <x v="2"/>
    <s v="ConnectX"/>
    <s v="China"/>
    <n v="4.2"/>
    <n v="10"/>
    <m/>
    <n v="50.400000000000006"/>
    <n v="120"/>
    <n v="0"/>
  </r>
  <r>
    <s v="INV-00994"/>
    <d v="2025-09-06T00:00:00"/>
    <s v="P018"/>
    <s v="Purchase"/>
    <n v="91"/>
    <n v="91"/>
    <x v="2"/>
    <s v="DataStore"/>
    <s v="South Korea"/>
    <n v="5.2"/>
    <n v="11"/>
    <s v="PO-46157"/>
    <n v="473.2"/>
    <n v="0"/>
    <n v="473.2"/>
  </r>
  <r>
    <s v="INV-00976"/>
    <d v="2025-09-06T00:00:00"/>
    <s v="P009"/>
    <s v="Sale"/>
    <n v="-4"/>
    <n v="-4"/>
    <x v="0"/>
    <s v="ComfortPro"/>
    <s v="Poland"/>
    <n v="105"/>
    <n v="165"/>
    <m/>
    <n v="420"/>
    <n v="660"/>
    <n v="0"/>
  </r>
  <r>
    <s v="INV-01607"/>
    <d v="2025-09-07T00:00:00"/>
    <s v="P002"/>
    <s v="Sale"/>
    <n v="-8"/>
    <n v="-8"/>
    <x v="2"/>
    <s v="KeyPro"/>
    <s v="China"/>
    <n v="25"/>
    <n v="42"/>
    <m/>
    <n v="200"/>
    <n v="336"/>
    <n v="0"/>
  </r>
  <r>
    <s v="INV-00429"/>
    <d v="2025-09-07T00:00:00"/>
    <s v="P012"/>
    <s v="Purchase"/>
    <n v="54"/>
    <n v="54"/>
    <x v="2"/>
    <s v="WriteWell"/>
    <s v="France"/>
    <n v="3.4"/>
    <n v="8"/>
    <s v="PO-45497"/>
    <n v="183.6"/>
    <n v="0"/>
    <n v="183.6"/>
  </r>
  <r>
    <s v="INV-00414"/>
    <d v="2025-09-08T00:00:00"/>
    <s v="P018"/>
    <s v="Adjustment"/>
    <n v="-14"/>
    <n v="-14"/>
    <x v="0"/>
    <s v="DataStore"/>
    <s v="South Korea"/>
    <n v="5.2"/>
    <n v="11"/>
    <m/>
    <n v="72.8"/>
    <n v="0"/>
    <n v="0"/>
  </r>
  <r>
    <s v="INV-00525"/>
    <d v="2025-09-08T00:00:00"/>
    <s v="P027"/>
    <s v="Sale"/>
    <n v="-5"/>
    <n v="-5"/>
    <x v="2"/>
    <s v="PrintTech"/>
    <s v="Japan"/>
    <n v="82"/>
    <n v="135"/>
    <m/>
    <n v="410"/>
    <n v="675"/>
    <n v="0"/>
  </r>
  <r>
    <s v="INV-01260"/>
    <d v="2025-09-08T00:00:00"/>
    <s v="P018"/>
    <s v="Adjustment"/>
    <n v="15"/>
    <n v="15"/>
    <x v="0"/>
    <s v="DataStore"/>
    <s v="South Korea"/>
    <n v="5.2"/>
    <n v="11"/>
    <m/>
    <n v="78"/>
    <n v="0"/>
    <n v="0"/>
  </r>
  <r>
    <s v="INV-00691"/>
    <d v="2025-09-09T00:00:00"/>
    <s v="P011"/>
    <s v="Purchase"/>
    <n v="57"/>
    <n v="57"/>
    <x v="1"/>
    <s v="PaperMate"/>
    <s v="Germany"/>
    <n v="2.6"/>
    <n v="5.5"/>
    <s v="PO-74732"/>
    <n v="148.20000000000002"/>
    <n v="0"/>
    <n v="148.20000000000002"/>
  </r>
  <r>
    <s v="INV-00759"/>
    <d v="2025-09-09T00:00:00"/>
    <s v="P028"/>
    <s v="Purchase"/>
    <n v="72"/>
    <n v="72"/>
    <x v="1"/>
    <s v="PackRight"/>
    <s v="Poland"/>
    <n v="3"/>
    <n v="7"/>
    <s v="PO-15974"/>
    <n v="216"/>
    <n v="0"/>
    <n v="216"/>
  </r>
  <r>
    <s v="INV-00344"/>
    <d v="2025-10-09T00:00:00"/>
    <s v="P015"/>
    <s v="Purchase"/>
    <n v="95"/>
    <n v="95"/>
    <x v="0"/>
    <s v="VoltPro"/>
    <s v="China"/>
    <n v="23"/>
    <n v="38"/>
    <s v="PO-38555"/>
    <n v="2185"/>
    <n v="0"/>
    <n v="2185"/>
  </r>
  <r>
    <s v="INV-01720"/>
    <d v="2025-09-10T00:00:00"/>
    <s v="P008"/>
    <s v="Purchase"/>
    <n v="75"/>
    <n v="75"/>
    <x v="2"/>
    <s v="BrightHome"/>
    <s v="China"/>
    <n v="13.5"/>
    <n v="24"/>
    <s v="PO-60945"/>
    <n v="1012.5"/>
    <n v="0"/>
    <n v="1012.5"/>
  </r>
  <r>
    <s v="INV-01167"/>
    <d v="2025-09-10T00:00:00"/>
    <s v="P026"/>
    <s v="Sale"/>
    <n v="-15"/>
    <n v="-15"/>
    <x v="2"/>
    <s v="ScanPro"/>
    <s v="China"/>
    <n v="78"/>
    <n v="125"/>
    <m/>
    <n v="1170"/>
    <n v="1875"/>
    <n v="0"/>
  </r>
  <r>
    <s v="INV-00258"/>
    <d v="2025-09-11T00:00:00"/>
    <s v="P022"/>
    <s v="Sale"/>
    <n v="-6"/>
    <n v="-6"/>
    <x v="0"/>
    <s v="HydroLife"/>
    <s v="Germany"/>
    <n v="8.5"/>
    <n v="18"/>
    <m/>
    <n v="51"/>
    <n v="108"/>
    <n v="0"/>
  </r>
  <r>
    <s v="INV-01787"/>
    <d v="2025-09-11T00:00:00"/>
    <s v="P021"/>
    <s v="Sale"/>
    <n v="-15"/>
    <n v="-15"/>
    <x v="2"/>
    <s v="TravelPro"/>
    <s v="Vietnam"/>
    <n v="25"/>
    <n v="45"/>
    <m/>
    <n v="375"/>
    <n v="675"/>
    <n v="0"/>
  </r>
  <r>
    <s v="INV-00439"/>
    <d v="2025-09-11T00:00:00"/>
    <s v="P023"/>
    <s v="Purchase"/>
    <n v="90"/>
    <n v="90"/>
    <x v="0"/>
    <s v="DeskWorks"/>
    <s v="China"/>
    <n v="8.8000000000000007"/>
    <n v="17"/>
    <s v="PO-89099"/>
    <n v="792.00000000000011"/>
    <n v="0"/>
    <n v="792.00000000000011"/>
  </r>
  <r>
    <s v="INV-00454"/>
    <d v="2025-09-12T00:00:00"/>
    <s v="P028"/>
    <s v="Sale"/>
    <n v="-14"/>
    <n v="-14"/>
    <x v="2"/>
    <s v="PackRight"/>
    <s v="Poland"/>
    <n v="3"/>
    <n v="7"/>
    <m/>
    <n v="42"/>
    <n v="98"/>
    <n v="0"/>
  </r>
  <r>
    <s v="INV-00515"/>
    <d v="2025-09-12T00:00:00"/>
    <s v="P001"/>
    <s v="Adjustment"/>
    <n v="-10"/>
    <n v="-10"/>
    <x v="0"/>
    <s v="TechGear"/>
    <s v="China"/>
    <n v="7.2"/>
    <n v="12.5"/>
    <m/>
    <n v="72"/>
    <n v="0"/>
    <n v="0"/>
  </r>
  <r>
    <s v="INV-00943"/>
    <d v="2025-09-12T00:00:00"/>
    <s v="P021"/>
    <s v="Purchase"/>
    <n v="107"/>
    <n v="107"/>
    <x v="0"/>
    <s v="TravelPro"/>
    <s v="Vietnam"/>
    <n v="25"/>
    <n v="45"/>
    <s v="PO-69648"/>
    <n v="2675"/>
    <n v="0"/>
    <n v="2675"/>
  </r>
  <r>
    <s v="INV-01207"/>
    <d v="2025-09-12T00:00:00"/>
    <s v="P022"/>
    <s v="Return"/>
    <n v="3"/>
    <n v="3"/>
    <x v="1"/>
    <s v="HydroLife"/>
    <s v="Germany"/>
    <n v="8.5"/>
    <n v="18"/>
    <m/>
    <n v="25.5"/>
    <n v="0"/>
    <n v="0"/>
  </r>
  <r>
    <s v="INV-01357"/>
    <d v="2025-09-12T00:00:00"/>
    <s v="P028"/>
    <s v="Return"/>
    <n v="5"/>
    <n v="5"/>
    <x v="2"/>
    <s v="PackRight"/>
    <s v="Poland"/>
    <n v="3"/>
    <n v="7"/>
    <m/>
    <n v="15"/>
    <n v="0"/>
    <n v="0"/>
  </r>
  <r>
    <s v="INV-00430"/>
    <d v="2025-09-12T00:00:00"/>
    <s v="P004"/>
    <s v="Purchase"/>
    <n v="51"/>
    <n v="51"/>
    <x v="2"/>
    <s v="SoundMax"/>
    <s v="Vietnam"/>
    <n v="20"/>
    <n v="35"/>
    <s v="PO-71009"/>
    <n v="1020"/>
    <n v="0"/>
    <n v="1020"/>
  </r>
  <r>
    <s v="INV-01147"/>
    <d v="2025-09-12T00:00:00"/>
    <s v="P025"/>
    <s v="Sale"/>
    <n v="-4"/>
    <n v="-4"/>
    <x v="2"/>
    <s v="PaperMate"/>
    <s v="Germany"/>
    <n v="5.5"/>
    <n v="12"/>
    <m/>
    <n v="22"/>
    <n v="48"/>
    <n v="0"/>
  </r>
  <r>
    <s v="INV-00720"/>
    <d v="2025-09-12T00:00:00"/>
    <s v="P023"/>
    <s v="Sale"/>
    <n v="-15"/>
    <n v="-15"/>
    <x v="2"/>
    <s v="DeskWorks"/>
    <s v="China"/>
    <n v="8.8000000000000007"/>
    <n v="17"/>
    <m/>
    <n v="132"/>
    <n v="255"/>
    <n v="0"/>
  </r>
  <r>
    <s v="INV-00468"/>
    <d v="2025-09-12T00:00:00"/>
    <s v="P028"/>
    <s v="Sale"/>
    <n v="-11"/>
    <n v="-11"/>
    <x v="0"/>
    <s v="PackRight"/>
    <s v="Poland"/>
    <n v="3"/>
    <n v="7"/>
    <m/>
    <n v="33"/>
    <n v="77"/>
    <n v="0"/>
  </r>
  <r>
    <s v="INV-00474"/>
    <d v="2025-09-13T00:00:00"/>
    <s v="P028"/>
    <s v="Sale"/>
    <n v="-7"/>
    <n v="-7"/>
    <x v="1"/>
    <s v="PackRight"/>
    <s v="Poland"/>
    <n v="3"/>
    <n v="7"/>
    <m/>
    <n v="21"/>
    <n v="49"/>
    <n v="0"/>
  </r>
  <r>
    <s v="INV-01386"/>
    <d v="2025-09-13T00:00:00"/>
    <s v="P011"/>
    <s v="Sale"/>
    <n v="-1"/>
    <n v="-1"/>
    <x v="2"/>
    <s v="PaperMate"/>
    <s v="Germany"/>
    <n v="2.6"/>
    <n v="5.5"/>
    <m/>
    <n v="2.6"/>
    <n v="5.5"/>
    <n v="0"/>
  </r>
  <r>
    <s v="INV-01658"/>
    <d v="2025-09-14T00:00:00"/>
    <s v="P011"/>
    <s v="Sale"/>
    <n v="-9"/>
    <n v="-9"/>
    <x v="0"/>
    <s v="PaperMate"/>
    <s v="Germany"/>
    <n v="2.6"/>
    <n v="5.5"/>
    <m/>
    <n v="23.400000000000002"/>
    <n v="49.5"/>
    <n v="0"/>
  </r>
  <r>
    <s v="INV-00949"/>
    <d v="2025-09-14T00:00:00"/>
    <s v="P028"/>
    <s v="Sale"/>
    <n v="-3"/>
    <n v="-3"/>
    <x v="0"/>
    <s v="PackRight"/>
    <s v="Poland"/>
    <n v="3"/>
    <n v="7"/>
    <m/>
    <n v="9"/>
    <n v="21"/>
    <n v="0"/>
  </r>
  <r>
    <s v="INV-00926"/>
    <d v="2025-09-15T00:00:00"/>
    <s v="P001"/>
    <s v="Purchase"/>
    <n v="44"/>
    <n v="44"/>
    <x v="0"/>
    <s v="TechGear"/>
    <s v="China"/>
    <n v="7.2"/>
    <n v="12.5"/>
    <s v="PO-97493"/>
    <n v="316.8"/>
    <n v="0"/>
    <n v="316.8"/>
  </r>
  <r>
    <s v="INV-01645"/>
    <d v="2025-09-15T00:00:00"/>
    <s v="P003"/>
    <s v="Adjustment"/>
    <n v="3"/>
    <n v="3"/>
    <x v="0"/>
    <s v="ConnectX"/>
    <s v="China"/>
    <n v="16.5"/>
    <n v="28"/>
    <m/>
    <n v="49.5"/>
    <n v="0"/>
    <n v="0"/>
  </r>
  <r>
    <s v="INV-00433"/>
    <d v="2025-09-15T00:00:00"/>
    <s v="P020"/>
    <s v="Return"/>
    <n v="4"/>
    <n v="4"/>
    <x v="0"/>
    <s v="PrintTech"/>
    <s v="Japan"/>
    <n v="30"/>
    <n v="48"/>
    <m/>
    <n v="120"/>
    <n v="0"/>
    <n v="0"/>
  </r>
  <r>
    <s v="INV-00666"/>
    <d v="2025-09-15T00:00:00"/>
    <s v="P005"/>
    <s v="Purchase"/>
    <n v="21"/>
    <n v="21"/>
    <x v="1"/>
    <s v="VisionTech"/>
    <s v="China"/>
    <n v="18.5"/>
    <n v="31"/>
    <s v="PO-12260"/>
    <n v="388.5"/>
    <n v="0"/>
    <n v="388.5"/>
  </r>
  <r>
    <s v="INV-00391"/>
    <d v="2025-09-15T00:00:00"/>
    <s v="P030"/>
    <s v="Purchase"/>
    <n v="54"/>
    <n v="54"/>
    <x v="0"/>
    <s v="StoreMax"/>
    <s v="Germany"/>
    <n v="11"/>
    <n v="22"/>
    <s v="PO-81468"/>
    <n v="594"/>
    <n v="0"/>
    <n v="594"/>
  </r>
  <r>
    <s v="INV-00427"/>
    <d v="2025-09-16T00:00:00"/>
    <s v="P015"/>
    <s v="Purchase"/>
    <n v="39"/>
    <n v="39"/>
    <x v="0"/>
    <s v="VoltPro"/>
    <s v="China"/>
    <n v="23"/>
    <n v="38"/>
    <s v="PO-34918"/>
    <n v="897"/>
    <n v="0"/>
    <n v="897"/>
  </r>
  <r>
    <s v="INV-00951"/>
    <d v="2025-09-16T00:00:00"/>
    <s v="P019"/>
    <s v="Sale"/>
    <n v="-14"/>
    <n v="-14"/>
    <x v="0"/>
    <s v="PrintTech"/>
    <s v="Japan"/>
    <n v="145"/>
    <n v="210"/>
    <m/>
    <n v="2030"/>
    <n v="2940"/>
    <n v="0"/>
  </r>
  <r>
    <s v="INV-01451"/>
    <d v="2025-09-16T00:00:00"/>
    <s v="P016"/>
    <s v="Sale"/>
    <n v="-7"/>
    <n v="-7"/>
    <x v="2"/>
    <s v="ConnectX"/>
    <s v="China"/>
    <n v="4.2"/>
    <n v="10"/>
    <m/>
    <n v="29.400000000000002"/>
    <n v="70"/>
    <n v="0"/>
  </r>
  <r>
    <s v="INV-01055"/>
    <d v="2025-09-16T00:00:00"/>
    <s v="P030"/>
    <s v="Purchase"/>
    <n v="23"/>
    <n v="23"/>
    <x v="1"/>
    <s v="StoreMax"/>
    <s v="Germany"/>
    <n v="11"/>
    <n v="22"/>
    <s v="PO-91462"/>
    <n v="253"/>
    <n v="0"/>
    <n v="253"/>
  </r>
  <r>
    <s v="INV-00832"/>
    <d v="2025-09-16T00:00:00"/>
    <s v="P015"/>
    <s v="Sale"/>
    <n v="-9"/>
    <n v="-9"/>
    <x v="2"/>
    <s v="VoltPro"/>
    <s v="China"/>
    <n v="23"/>
    <n v="38"/>
    <m/>
    <n v="207"/>
    <n v="342"/>
    <n v="0"/>
  </r>
  <r>
    <s v="INV-00793"/>
    <d v="2025-09-16T00:00:00"/>
    <s v="P016"/>
    <s v="Sale"/>
    <n v="-10"/>
    <n v="-10"/>
    <x v="0"/>
    <s v="ConnectX"/>
    <s v="China"/>
    <n v="4.2"/>
    <n v="10"/>
    <m/>
    <n v="42"/>
    <n v="100"/>
    <n v="0"/>
  </r>
  <r>
    <s v="INV-01136"/>
    <d v="2025-09-17T00:00:00"/>
    <s v="P002"/>
    <s v="Purchase"/>
    <n v="62"/>
    <n v="62"/>
    <x v="1"/>
    <s v="KeyPro"/>
    <s v="China"/>
    <n v="25"/>
    <n v="42"/>
    <s v="PO-65261"/>
    <n v="1550"/>
    <n v="0"/>
    <n v="1550"/>
  </r>
  <r>
    <s v="INV-00946"/>
    <d v="2025-09-18T00:00:00"/>
    <s v="P001"/>
    <s v="Sale"/>
    <n v="-6"/>
    <n v="-6"/>
    <x v="2"/>
    <s v="TechGear"/>
    <s v="China"/>
    <n v="7.2"/>
    <n v="12.5"/>
    <m/>
    <n v="43.2"/>
    <n v="75"/>
    <n v="0"/>
  </r>
  <r>
    <s v="INV-01370"/>
    <d v="2025-09-18T00:00:00"/>
    <s v="P008"/>
    <s v="Sale"/>
    <n v="-12"/>
    <n v="-12"/>
    <x v="0"/>
    <s v="BrightHome"/>
    <s v="China"/>
    <n v="13.5"/>
    <n v="24"/>
    <m/>
    <n v="162"/>
    <n v="288"/>
    <n v="0"/>
  </r>
  <r>
    <s v="INV-01582"/>
    <d v="2025-09-18T00:00:00"/>
    <s v="P013"/>
    <s v="Sale"/>
    <n v="-15"/>
    <n v="-15"/>
    <x v="2"/>
    <s v="DeskWorks"/>
    <s v="China"/>
    <n v="8"/>
    <n v="15"/>
    <m/>
    <n v="120"/>
    <n v="225"/>
    <n v="0"/>
  </r>
  <r>
    <s v="INV-01556"/>
    <d v="2025-09-19T00:00:00"/>
    <s v="P007"/>
    <s v="Purchase"/>
    <n v="79"/>
    <n v="79"/>
    <x v="2"/>
    <s v="DeskWorks"/>
    <s v="China"/>
    <n v="16"/>
    <n v="29"/>
    <s v="PO-79000"/>
    <n v="1264"/>
    <n v="0"/>
    <n v="1264"/>
  </r>
  <r>
    <s v="INV-00619"/>
    <d v="2025-09-19T00:00:00"/>
    <s v="P025"/>
    <s v="Purchase"/>
    <n v="32"/>
    <n v="32"/>
    <x v="1"/>
    <s v="PaperMate"/>
    <s v="Germany"/>
    <n v="5.5"/>
    <n v="12"/>
    <s v="PO-45050"/>
    <n v="176"/>
    <n v="0"/>
    <n v="176"/>
  </r>
  <r>
    <s v="INV-00804"/>
    <d v="2025-09-19T00:00:00"/>
    <s v="P020"/>
    <s v="Purchase"/>
    <n v="103"/>
    <n v="103"/>
    <x v="0"/>
    <s v="PrintTech"/>
    <s v="Japan"/>
    <n v="30"/>
    <n v="48"/>
    <s v="PO-44386"/>
    <n v="3090"/>
    <n v="0"/>
    <n v="3090"/>
  </r>
  <r>
    <s v="INV-00971"/>
    <d v="2025-09-21T00:00:00"/>
    <s v="P022"/>
    <s v="Purchase"/>
    <n v="54"/>
    <n v="54"/>
    <x v="1"/>
    <s v="HydroLife"/>
    <s v="Germany"/>
    <n v="8.5"/>
    <n v="18"/>
    <s v="PO-64989"/>
    <n v="459"/>
    <n v="0"/>
    <n v="459"/>
  </r>
  <r>
    <s v="INV-01210"/>
    <d v="2025-09-21T00:00:00"/>
    <s v="P030"/>
    <s v="Purchase"/>
    <n v="57"/>
    <n v="57"/>
    <x v="0"/>
    <s v="StoreMax"/>
    <s v="Germany"/>
    <n v="11"/>
    <n v="22"/>
    <s v="PO-30043"/>
    <n v="627"/>
    <n v="0"/>
    <n v="627"/>
  </r>
  <r>
    <s v="INV-00692"/>
    <d v="2025-09-22T00:00:00"/>
    <s v="P014"/>
    <s v="Purchase"/>
    <n v="89"/>
    <n v="89"/>
    <x v="0"/>
    <s v="DataStore"/>
    <s v="South Korea"/>
    <n v="63"/>
    <n v="95"/>
    <s v="PO-29422"/>
    <n v="5607"/>
    <n v="0"/>
    <n v="5607"/>
  </r>
  <r>
    <s v="INV-00198"/>
    <d v="2025-09-22T00:00:00"/>
    <s v="P028"/>
    <s v="Purchase"/>
    <n v="61"/>
    <n v="61"/>
    <x v="0"/>
    <s v="PackRight"/>
    <s v="Poland"/>
    <n v="3"/>
    <n v="7"/>
    <s v="PO-64691"/>
    <n v="183"/>
    <n v="0"/>
    <n v="183"/>
  </r>
  <r>
    <s v="INV-00366"/>
    <d v="2025-09-23T00:00:00"/>
    <s v="P013"/>
    <s v="Adjustment"/>
    <n v="15"/>
    <n v="15"/>
    <x v="0"/>
    <s v="DeskWorks"/>
    <s v="China"/>
    <n v="8"/>
    <n v="15"/>
    <m/>
    <n v="120"/>
    <n v="0"/>
    <n v="0"/>
  </r>
  <r>
    <s v="INV-00617"/>
    <d v="2025-09-23T00:00:00"/>
    <s v="P002"/>
    <s v="Sale"/>
    <n v="-12"/>
    <n v="-12"/>
    <x v="0"/>
    <s v="KeyPro"/>
    <s v="China"/>
    <n v="25"/>
    <n v="42"/>
    <m/>
    <n v="300"/>
    <n v="504"/>
    <n v="0"/>
  </r>
  <r>
    <s v="INV-00224"/>
    <d v="2025-09-23T00:00:00"/>
    <s v="P012"/>
    <s v="Purchase"/>
    <n v="43"/>
    <n v="43"/>
    <x v="0"/>
    <s v="WriteWell"/>
    <s v="France"/>
    <n v="3.4"/>
    <n v="8"/>
    <s v="PO-69567"/>
    <n v="146.19999999999999"/>
    <n v="0"/>
    <n v="146.19999999999999"/>
  </r>
  <r>
    <s v="INV-00331"/>
    <d v="2025-09-24T00:00:00"/>
    <s v="P012"/>
    <s v="Purchase"/>
    <n v="73"/>
    <n v="73"/>
    <x v="2"/>
    <s v="WriteWell"/>
    <s v="France"/>
    <n v="3.4"/>
    <n v="8"/>
    <s v="PO-58700"/>
    <n v="248.2"/>
    <n v="0"/>
    <n v="248.2"/>
  </r>
  <r>
    <s v="INV-01337"/>
    <d v="2025-09-24T00:00:00"/>
    <s v="P007"/>
    <s v="Sale"/>
    <n v="-15"/>
    <n v="-15"/>
    <x v="1"/>
    <s v="DeskWorks"/>
    <s v="China"/>
    <n v="16"/>
    <n v="29"/>
    <m/>
    <n v="240"/>
    <n v="435"/>
    <n v="0"/>
  </r>
  <r>
    <s v="INV-00305"/>
    <d v="2025-09-24T00:00:00"/>
    <s v="P023"/>
    <s v="Sale"/>
    <n v="-11"/>
    <n v="-11"/>
    <x v="2"/>
    <s v="DeskWorks"/>
    <s v="China"/>
    <n v="8.8000000000000007"/>
    <n v="17"/>
    <m/>
    <n v="96.800000000000011"/>
    <n v="187"/>
    <n v="0"/>
  </r>
  <r>
    <s v="INV-00264"/>
    <d v="2025-09-25T00:00:00"/>
    <s v="P017"/>
    <s v="Sale"/>
    <n v="-5"/>
    <n v="-5"/>
    <x v="2"/>
    <s v="SoundMax"/>
    <s v="Vietnam"/>
    <n v="34"/>
    <n v="55"/>
    <m/>
    <n v="170"/>
    <n v="275"/>
    <n v="0"/>
  </r>
  <r>
    <s v="INV-00824"/>
    <d v="2025-09-25T00:00:00"/>
    <s v="P013"/>
    <s v="Return"/>
    <n v="1"/>
    <n v="1"/>
    <x v="0"/>
    <s v="DeskWorks"/>
    <s v="China"/>
    <n v="8"/>
    <n v="15"/>
    <m/>
    <n v="8"/>
    <n v="0"/>
    <n v="0"/>
  </r>
  <r>
    <s v="INV-00779"/>
    <d v="2025-09-26T00:00:00"/>
    <s v="P023"/>
    <s v="Sale"/>
    <n v="-2"/>
    <n v="-2"/>
    <x v="0"/>
    <s v="DeskWorks"/>
    <s v="China"/>
    <n v="8.8000000000000007"/>
    <n v="17"/>
    <m/>
    <n v="17.600000000000001"/>
    <n v="34"/>
    <n v="0"/>
  </r>
  <r>
    <s v="INV-01235"/>
    <d v="2025-09-26T00:00:00"/>
    <s v="P021"/>
    <s v="Purchase"/>
    <n v="104"/>
    <n v="104"/>
    <x v="0"/>
    <s v="TravelPro"/>
    <s v="Vietnam"/>
    <n v="25"/>
    <n v="45"/>
    <s v="PO-70692"/>
    <n v="2600"/>
    <n v="0"/>
    <n v="2600"/>
  </r>
  <r>
    <s v="INV-00129"/>
    <d v="2025-09-27T00:00:00"/>
    <s v="P001"/>
    <s v="Sale"/>
    <n v="-8"/>
    <n v="-8"/>
    <x v="1"/>
    <s v="TechGear"/>
    <s v="China"/>
    <n v="7.2"/>
    <n v="12.5"/>
    <m/>
    <n v="57.6"/>
    <n v="100"/>
    <n v="0"/>
  </r>
  <r>
    <s v="INV-01115"/>
    <d v="2025-09-27T00:00:00"/>
    <s v="P019"/>
    <s v="Purchase"/>
    <n v="23"/>
    <n v="23"/>
    <x v="0"/>
    <s v="PrintTech"/>
    <s v="Japan"/>
    <n v="145"/>
    <n v="210"/>
    <s v="PO-40099"/>
    <n v="3335"/>
    <n v="0"/>
    <n v="3335"/>
  </r>
  <r>
    <s v="INV-01142"/>
    <d v="2025-09-27T00:00:00"/>
    <s v="P012"/>
    <s v="Sale"/>
    <n v="-3"/>
    <n v="-3"/>
    <x v="2"/>
    <s v="WriteWell"/>
    <s v="France"/>
    <n v="3.4"/>
    <n v="8"/>
    <m/>
    <n v="10.199999999999999"/>
    <n v="24"/>
    <n v="0"/>
  </r>
  <r>
    <s v="INV-01758"/>
    <d v="2025-09-27T00:00:00"/>
    <s v="P016"/>
    <s v="Sale"/>
    <n v="-15"/>
    <n v="-15"/>
    <x v="2"/>
    <s v="ConnectX"/>
    <s v="China"/>
    <n v="4.2"/>
    <n v="10"/>
    <m/>
    <n v="63"/>
    <n v="150"/>
    <n v="0"/>
  </r>
  <r>
    <s v="INV-01041"/>
    <d v="2025-09-28T00:00:00"/>
    <s v="P017"/>
    <s v="Sale"/>
    <n v="-12"/>
    <n v="-12"/>
    <x v="2"/>
    <s v="SoundMax"/>
    <s v="Vietnam"/>
    <n v="34"/>
    <n v="55"/>
    <m/>
    <n v="408"/>
    <n v="660"/>
    <n v="0"/>
  </r>
  <r>
    <s v="INV-00693"/>
    <d v="2025-09-28T00:00:00"/>
    <s v="P016"/>
    <s v="Sale"/>
    <n v="-4"/>
    <n v="-4"/>
    <x v="0"/>
    <s v="ConnectX"/>
    <s v="China"/>
    <n v="4.2"/>
    <n v="10"/>
    <m/>
    <n v="16.8"/>
    <n v="40"/>
    <n v="0"/>
  </r>
  <r>
    <s v="INV-00977"/>
    <d v="2025-09-28T00:00:00"/>
    <s v="P019"/>
    <s v="Purchase"/>
    <n v="39"/>
    <n v="39"/>
    <x v="0"/>
    <s v="PrintTech"/>
    <s v="Japan"/>
    <n v="145"/>
    <n v="210"/>
    <s v="PO-68595"/>
    <n v="5655"/>
    <n v="0"/>
    <n v="5655"/>
  </r>
  <r>
    <s v="INV-00298"/>
    <d v="2025-09-28T00:00:00"/>
    <s v="P007"/>
    <s v="Sale"/>
    <n v="-2"/>
    <n v="-2"/>
    <x v="0"/>
    <s v="DeskWorks"/>
    <s v="China"/>
    <n v="16"/>
    <n v="29"/>
    <m/>
    <n v="32"/>
    <n v="58"/>
    <n v="0"/>
  </r>
  <r>
    <s v="INV-00154"/>
    <d v="2025-09-28T00:00:00"/>
    <s v="P016"/>
    <s v="Sale"/>
    <n v="-9"/>
    <n v="-9"/>
    <x v="1"/>
    <s v="ConnectX"/>
    <s v="China"/>
    <n v="4.2"/>
    <n v="10"/>
    <m/>
    <n v="37.800000000000004"/>
    <n v="90"/>
    <n v="0"/>
  </r>
  <r>
    <s v="INV-00947"/>
    <d v="2025-09-28T00:00:00"/>
    <s v="P004"/>
    <s v="Sale"/>
    <n v="-10"/>
    <n v="-10"/>
    <x v="2"/>
    <s v="SoundMax"/>
    <s v="Vietnam"/>
    <n v="20"/>
    <n v="35"/>
    <m/>
    <n v="200"/>
    <n v="350"/>
    <n v="0"/>
  </r>
  <r>
    <s v="INV-01498"/>
    <d v="2025-09-28T00:00:00"/>
    <s v="P016"/>
    <s v="Purchase"/>
    <n v="94"/>
    <n v="94"/>
    <x v="1"/>
    <s v="ConnectX"/>
    <s v="China"/>
    <n v="4.2"/>
    <n v="10"/>
    <s v="PO-82746"/>
    <n v="394.8"/>
    <n v="0"/>
    <n v="394.8"/>
  </r>
  <r>
    <s v="INV-01439"/>
    <d v="2025-09-29T00:00:00"/>
    <s v="P007"/>
    <s v="Sale"/>
    <n v="-11"/>
    <n v="-11"/>
    <x v="2"/>
    <s v="DeskWorks"/>
    <s v="China"/>
    <n v="16"/>
    <n v="29"/>
    <m/>
    <n v="176"/>
    <n v="319"/>
    <n v="0"/>
  </r>
  <r>
    <s v="INV-00213"/>
    <d v="2025-09-30T00:00:00"/>
    <s v="P021"/>
    <s v="Return"/>
    <n v="4"/>
    <n v="4"/>
    <x v="1"/>
    <s v="TravelPro"/>
    <s v="Vietnam"/>
    <n v="25"/>
    <n v="45"/>
    <m/>
    <n v="100"/>
    <n v="0"/>
    <n v="0"/>
  </r>
  <r>
    <s v="INV-00177"/>
    <d v="2025-09-30T00:00:00"/>
    <s v="P022"/>
    <s v="Purchase"/>
    <n v="87"/>
    <n v="87"/>
    <x v="0"/>
    <s v="HydroLife"/>
    <s v="Germany"/>
    <n v="8.5"/>
    <n v="18"/>
    <s v="PO-60867"/>
    <n v="739.5"/>
    <n v="0"/>
    <n v="739.5"/>
  </r>
  <r>
    <s v="INV-00079"/>
    <d v="2025-09-30T00:00:00"/>
    <s v="P012"/>
    <s v="Purchase"/>
    <n v="112"/>
    <n v="112"/>
    <x v="0"/>
    <s v="WriteWell"/>
    <s v="France"/>
    <n v="3.4"/>
    <n v="8"/>
    <s v="PO-80394"/>
    <n v="380.8"/>
    <n v="0"/>
    <n v="380.8"/>
  </r>
  <r>
    <s v="INV-01464"/>
    <d v="2025-09-30T00:00:00"/>
    <s v="P021"/>
    <s v="Purchase"/>
    <n v="67"/>
    <n v="67"/>
    <x v="0"/>
    <s v="TravelPro"/>
    <s v="Vietnam"/>
    <n v="25"/>
    <n v="45"/>
    <s v="PO-79134"/>
    <n v="1675"/>
    <n v="0"/>
    <n v="1675"/>
  </r>
  <r>
    <s v="INV-00058"/>
    <d v="2025-09-30T00:00:00"/>
    <s v="P007"/>
    <s v="Sale"/>
    <n v="-8"/>
    <n v="-8"/>
    <x v="2"/>
    <s v="DeskWorks"/>
    <s v="China"/>
    <n v="16"/>
    <n v="29"/>
    <m/>
    <n v="128"/>
    <n v="232"/>
    <n v="0"/>
  </r>
  <r>
    <s v="INV-01687"/>
    <d v="2025-09-30T00:00:00"/>
    <s v="P029"/>
    <s v="Sale"/>
    <n v="-13"/>
    <n v="-13"/>
    <x v="0"/>
    <s v="PackRight"/>
    <s v="Poland"/>
    <n v="4"/>
    <n v="9"/>
    <m/>
    <n v="52"/>
    <n v="117"/>
    <n v="0"/>
  </r>
  <r>
    <s v="INV-00184"/>
    <d v="2025-10-01T00:00:00"/>
    <s v="P028"/>
    <s v="Sale"/>
    <n v="-13"/>
    <n v="-13"/>
    <x v="1"/>
    <s v="PackRight"/>
    <s v="Poland"/>
    <n v="3"/>
    <n v="7"/>
    <m/>
    <n v="39"/>
    <n v="91"/>
    <n v="0"/>
  </r>
  <r>
    <s v="INV-01509"/>
    <d v="2025-10-01T00:00:00"/>
    <s v="P020"/>
    <s v="Sale"/>
    <n v="-1"/>
    <n v="-1"/>
    <x v="0"/>
    <s v="PrintTech"/>
    <s v="Japan"/>
    <n v="30"/>
    <n v="48"/>
    <m/>
    <n v="30"/>
    <n v="48"/>
    <n v="0"/>
  </r>
  <r>
    <s v="INV-01565"/>
    <d v="2025-10-01T00:00:00"/>
    <s v="P026"/>
    <s v="Return"/>
    <n v="1"/>
    <n v="1"/>
    <x v="0"/>
    <s v="ScanPro"/>
    <s v="China"/>
    <n v="78"/>
    <n v="125"/>
    <m/>
    <n v="78"/>
    <n v="0"/>
    <n v="0"/>
  </r>
  <r>
    <s v="INV-00412"/>
    <d v="2025-10-02T00:00:00"/>
    <s v="P029"/>
    <s v="Sale"/>
    <n v="-9"/>
    <n v="-9"/>
    <x v="2"/>
    <s v="PackRight"/>
    <s v="Poland"/>
    <n v="4"/>
    <n v="9"/>
    <m/>
    <n v="36"/>
    <n v="81"/>
    <n v="0"/>
  </r>
  <r>
    <s v="INV-01216"/>
    <d v="2025-10-02T00:00:00"/>
    <s v="P007"/>
    <s v="Purchase"/>
    <n v="114"/>
    <n v="114"/>
    <x v="0"/>
    <s v="DeskWorks"/>
    <s v="China"/>
    <n v="16"/>
    <n v="29"/>
    <s v="PO-27140"/>
    <n v="1824"/>
    <n v="0"/>
    <n v="1824"/>
  </r>
  <r>
    <s v="INV-00657"/>
    <d v="2025-10-02T00:00:00"/>
    <s v="P010"/>
    <s v="Sale"/>
    <n v="-5"/>
    <n v="-5"/>
    <x v="1"/>
    <s v="ErgoSpace"/>
    <s v="Germany"/>
    <n v="220"/>
    <n v="320"/>
    <m/>
    <n v="1100"/>
    <n v="1600"/>
    <n v="0"/>
  </r>
  <r>
    <s v="INV-00262"/>
    <d v="2025-10-03T00:00:00"/>
    <s v="P030"/>
    <s v="Sale"/>
    <n v="-3"/>
    <n v="-3"/>
    <x v="1"/>
    <s v="StoreMax"/>
    <s v="Germany"/>
    <n v="11"/>
    <n v="22"/>
    <m/>
    <n v="33"/>
    <n v="66"/>
    <n v="0"/>
  </r>
  <r>
    <s v="INV-01754"/>
    <d v="2025-10-03T00:00:00"/>
    <s v="P008"/>
    <s v="Sale"/>
    <n v="-15"/>
    <n v="-15"/>
    <x v="0"/>
    <s v="BrightHome"/>
    <s v="China"/>
    <n v="13.5"/>
    <n v="24"/>
    <m/>
    <n v="202.5"/>
    <n v="360"/>
    <n v="0"/>
  </r>
  <r>
    <s v="INV-01213"/>
    <d v="2025-10-03T00:00:00"/>
    <s v="P005"/>
    <s v="Purchase"/>
    <n v="52"/>
    <n v="52"/>
    <x v="2"/>
    <s v="VisionTech"/>
    <s v="China"/>
    <n v="18.5"/>
    <n v="31"/>
    <s v="PO-66892"/>
    <n v="962"/>
    <n v="0"/>
    <n v="962"/>
  </r>
  <r>
    <s v="INV-01700"/>
    <d v="2025-10-03T00:00:00"/>
    <s v="P018"/>
    <s v="Sale"/>
    <n v="-13"/>
    <n v="-13"/>
    <x v="2"/>
    <s v="DataStore"/>
    <s v="South Korea"/>
    <n v="5.2"/>
    <n v="11"/>
    <m/>
    <n v="67.600000000000009"/>
    <n v="143"/>
    <n v="0"/>
  </r>
  <r>
    <s v="INV-01063"/>
    <d v="2025-10-03T00:00:00"/>
    <s v="P024"/>
    <s v="Adjustment"/>
    <n v="-9"/>
    <n v="-9"/>
    <x v="2"/>
    <s v="CalcPlus"/>
    <s v="China"/>
    <n v="6"/>
    <n v="14"/>
    <m/>
    <n v="54"/>
    <n v="0"/>
    <n v="0"/>
  </r>
  <r>
    <s v="INV-00787"/>
    <d v="2025-10-04T00:00:00"/>
    <s v="P018"/>
    <s v="Purchase"/>
    <n v="57"/>
    <n v="57"/>
    <x v="0"/>
    <s v="DataStore"/>
    <s v="South Korea"/>
    <n v="5.2"/>
    <n v="11"/>
    <s v="PO-27771"/>
    <n v="296.40000000000003"/>
    <n v="0"/>
    <n v="296.40000000000003"/>
  </r>
  <r>
    <s v="INV-00640"/>
    <d v="2025-10-04T00:00:00"/>
    <s v="P012"/>
    <s v="Purchase"/>
    <n v="90"/>
    <n v="90"/>
    <x v="0"/>
    <s v="WriteWell"/>
    <s v="France"/>
    <n v="3.4"/>
    <n v="8"/>
    <s v="PO-52687"/>
    <n v="306"/>
    <n v="0"/>
    <n v="306"/>
  </r>
  <r>
    <s v="INV-00065"/>
    <d v="2025-10-05T00:00:00"/>
    <s v="P010"/>
    <s v="Adjustment"/>
    <n v="-7"/>
    <n v="-7"/>
    <x v="2"/>
    <s v="ErgoSpace"/>
    <s v="Germany"/>
    <n v="220"/>
    <n v="320"/>
    <m/>
    <n v="1540"/>
    <n v="0"/>
    <n v="0"/>
  </r>
  <r>
    <s v="INV-01254"/>
    <d v="2025-10-05T00:00:00"/>
    <s v="P004"/>
    <s v="Purchase"/>
    <n v="78"/>
    <n v="78"/>
    <x v="0"/>
    <s v="SoundMax"/>
    <s v="Vietnam"/>
    <n v="20"/>
    <n v="35"/>
    <s v="PO-96261"/>
    <n v="1560"/>
    <n v="0"/>
    <n v="1560"/>
  </r>
  <r>
    <s v="INV-00274"/>
    <d v="2025-10-05T00:00:00"/>
    <s v="P029"/>
    <s v="Sale"/>
    <n v="-13"/>
    <n v="-13"/>
    <x v="0"/>
    <s v="PackRight"/>
    <s v="Poland"/>
    <n v="4"/>
    <n v="9"/>
    <m/>
    <n v="52"/>
    <n v="117"/>
    <n v="0"/>
  </r>
  <r>
    <s v="INV-01676"/>
    <d v="2025-10-05T00:00:00"/>
    <s v="P011"/>
    <s v="Sale"/>
    <n v="-6"/>
    <n v="-6"/>
    <x v="1"/>
    <s v="PaperMate"/>
    <s v="Germany"/>
    <n v="2.6"/>
    <n v="5.5"/>
    <m/>
    <n v="15.600000000000001"/>
    <n v="33"/>
    <n v="0"/>
  </r>
  <r>
    <s v="INV-01205"/>
    <d v="2025-10-05T00:00:00"/>
    <s v="P016"/>
    <s v="Sale"/>
    <n v="-2"/>
    <n v="-2"/>
    <x v="0"/>
    <s v="ConnectX"/>
    <s v="China"/>
    <n v="4.2"/>
    <n v="10"/>
    <m/>
    <n v="8.4"/>
    <n v="20"/>
    <n v="0"/>
  </r>
  <r>
    <s v="INV-00687"/>
    <d v="2025-10-06T00:00:00"/>
    <s v="P018"/>
    <s v="Sale"/>
    <n v="-9"/>
    <n v="-9"/>
    <x v="0"/>
    <s v="DataStore"/>
    <s v="South Korea"/>
    <n v="5.2"/>
    <n v="11"/>
    <m/>
    <n v="46.800000000000004"/>
    <n v="99"/>
    <n v="0"/>
  </r>
  <r>
    <s v="INV-01414"/>
    <d v="2025-10-06T00:00:00"/>
    <s v="P002"/>
    <s v="Sale"/>
    <n v="-14"/>
    <n v="-14"/>
    <x v="1"/>
    <s v="KeyPro"/>
    <s v="China"/>
    <n v="25"/>
    <n v="42"/>
    <m/>
    <n v="350"/>
    <n v="588"/>
    <n v="0"/>
  </r>
  <r>
    <s v="INV-00735"/>
    <d v="2025-10-06T00:00:00"/>
    <s v="P012"/>
    <s v="Sale"/>
    <n v="-8"/>
    <n v="-8"/>
    <x v="1"/>
    <s v="WriteWell"/>
    <s v="France"/>
    <n v="3.4"/>
    <n v="8"/>
    <m/>
    <n v="27.2"/>
    <n v="64"/>
    <n v="0"/>
  </r>
  <r>
    <s v="INV-00105"/>
    <d v="2025-10-06T00:00:00"/>
    <s v="P028"/>
    <s v="Sale"/>
    <n v="-4"/>
    <n v="-4"/>
    <x v="2"/>
    <s v="PackRight"/>
    <s v="Poland"/>
    <n v="3"/>
    <n v="7"/>
    <m/>
    <n v="12"/>
    <n v="28"/>
    <n v="0"/>
  </r>
  <r>
    <s v="INV-00413"/>
    <d v="2025-10-06T00:00:00"/>
    <s v="P029"/>
    <s v="Purchase"/>
    <n v="33"/>
    <n v="33"/>
    <x v="0"/>
    <s v="PackRight"/>
    <s v="Poland"/>
    <n v="4"/>
    <n v="9"/>
    <s v="PO-21268"/>
    <n v="132"/>
    <n v="0"/>
    <n v="132"/>
  </r>
  <r>
    <s v="INV-01559"/>
    <d v="2025-10-07T00:00:00"/>
    <s v="P027"/>
    <s v="Sale"/>
    <n v="-13"/>
    <n v="-13"/>
    <x v="0"/>
    <s v="PrintTech"/>
    <s v="Japan"/>
    <n v="82"/>
    <n v="135"/>
    <m/>
    <n v="1066"/>
    <n v="1755"/>
    <n v="0"/>
  </r>
  <r>
    <s v="INV-01398"/>
    <d v="2025-10-07T00:00:00"/>
    <s v="P008"/>
    <s v="Sale"/>
    <n v="-3"/>
    <n v="-3"/>
    <x v="0"/>
    <s v="BrightHome"/>
    <s v="China"/>
    <n v="13.5"/>
    <n v="24"/>
    <m/>
    <n v="40.5"/>
    <n v="72"/>
    <n v="0"/>
  </r>
  <r>
    <s v="INV-01575"/>
    <d v="2025-10-07T00:00:00"/>
    <s v="P007"/>
    <s v="Sale"/>
    <n v="-4"/>
    <n v="-4"/>
    <x v="1"/>
    <s v="DeskWorks"/>
    <s v="China"/>
    <n v="16"/>
    <n v="29"/>
    <m/>
    <n v="64"/>
    <n v="116"/>
    <n v="0"/>
  </r>
  <r>
    <s v="INV-01215"/>
    <d v="2025-10-08T00:00:00"/>
    <s v="P022"/>
    <s v="Sale"/>
    <n v="-11"/>
    <n v="-11"/>
    <x v="0"/>
    <s v="HydroLife"/>
    <s v="Germany"/>
    <n v="8.5"/>
    <n v="18"/>
    <m/>
    <n v="93.5"/>
    <n v="198"/>
    <n v="0"/>
  </r>
  <r>
    <s v="INV-00504"/>
    <d v="2025-10-08T00:00:00"/>
    <s v="P025"/>
    <s v="Purchase"/>
    <n v="34"/>
    <n v="34"/>
    <x v="2"/>
    <s v="PaperMate"/>
    <s v="Germany"/>
    <n v="5.5"/>
    <n v="12"/>
    <s v="PO-61369"/>
    <n v="187"/>
    <n v="0"/>
    <n v="187"/>
  </r>
  <r>
    <s v="INV-01672"/>
    <d v="2025-10-08T00:00:00"/>
    <s v="P028"/>
    <s v="Sale"/>
    <n v="-3"/>
    <n v="-3"/>
    <x v="1"/>
    <s v="PackRight"/>
    <s v="Poland"/>
    <n v="3"/>
    <n v="7"/>
    <m/>
    <n v="9"/>
    <n v="21"/>
    <n v="0"/>
  </r>
  <r>
    <s v="INV-00918"/>
    <d v="2025-10-08T00:00:00"/>
    <s v="P029"/>
    <s v="Adjustment"/>
    <n v="-13"/>
    <n v="-13"/>
    <x v="2"/>
    <s v="PackRight"/>
    <s v="Poland"/>
    <n v="4"/>
    <n v="9"/>
    <m/>
    <n v="52"/>
    <n v="0"/>
    <n v="0"/>
  </r>
  <r>
    <s v="INV-00252"/>
    <d v="2025-10-09T00:00:00"/>
    <s v="P013"/>
    <s v="Sale"/>
    <n v="-12"/>
    <n v="-12"/>
    <x v="2"/>
    <s v="DeskWorks"/>
    <s v="China"/>
    <n v="8"/>
    <n v="15"/>
    <m/>
    <n v="96"/>
    <n v="180"/>
    <n v="0"/>
  </r>
  <r>
    <s v="INV-01589"/>
    <d v="2025-10-09T00:00:00"/>
    <s v="P014"/>
    <s v="Purchase"/>
    <n v="93"/>
    <n v="93"/>
    <x v="0"/>
    <s v="DataStore"/>
    <s v="South Korea"/>
    <n v="63"/>
    <n v="95"/>
    <s v="PO-51366"/>
    <n v="5859"/>
    <n v="0"/>
    <n v="5859"/>
  </r>
  <r>
    <s v="INV-00434"/>
    <d v="2025-10-09T00:00:00"/>
    <s v="P003"/>
    <s v="Sale"/>
    <n v="-8"/>
    <n v="-8"/>
    <x v="1"/>
    <s v="ConnectX"/>
    <s v="China"/>
    <n v="16.5"/>
    <n v="28"/>
    <m/>
    <n v="132"/>
    <n v="224"/>
    <n v="0"/>
  </r>
  <r>
    <s v="INV-01232"/>
    <d v="2025-10-09T00:00:00"/>
    <s v="P008"/>
    <s v="Sale"/>
    <n v="-9"/>
    <n v="-9"/>
    <x v="0"/>
    <s v="BrightHome"/>
    <s v="China"/>
    <n v="13.5"/>
    <n v="24"/>
    <m/>
    <n v="121.5"/>
    <n v="216"/>
    <n v="0"/>
  </r>
  <r>
    <s v="INV-00377"/>
    <d v="2025-10-10T00:00:00"/>
    <s v="P027"/>
    <s v="Purchase"/>
    <n v="25"/>
    <n v="25"/>
    <x v="2"/>
    <s v="PrintTech"/>
    <s v="Japan"/>
    <n v="82"/>
    <n v="135"/>
    <s v="PO-83596"/>
    <n v="2050"/>
    <n v="0"/>
    <n v="2050"/>
  </r>
  <r>
    <s v="INV-01318"/>
    <d v="2025-10-10T00:00:00"/>
    <s v="P023"/>
    <s v="Purchase"/>
    <n v="45"/>
    <n v="45"/>
    <x v="1"/>
    <s v="DeskWorks"/>
    <s v="China"/>
    <n v="8.8000000000000007"/>
    <n v="17"/>
    <s v="PO-20564"/>
    <n v="396.00000000000006"/>
    <n v="0"/>
    <n v="396.00000000000006"/>
  </r>
  <r>
    <s v="INV-01447"/>
    <d v="2025-10-10T00:00:00"/>
    <s v="P022"/>
    <s v="Sale"/>
    <n v="-1"/>
    <n v="-1"/>
    <x v="1"/>
    <s v="HydroLife"/>
    <s v="Germany"/>
    <n v="8.5"/>
    <n v="18"/>
    <m/>
    <n v="8.5"/>
    <n v="18"/>
    <n v="0"/>
  </r>
  <r>
    <s v="INV-01002"/>
    <d v="2025-10-10T00:00:00"/>
    <s v="P017"/>
    <s v="Return"/>
    <n v="1"/>
    <n v="1"/>
    <x v="0"/>
    <s v="SoundMax"/>
    <s v="Vietnam"/>
    <n v="34"/>
    <n v="55"/>
    <m/>
    <n v="34"/>
    <n v="0"/>
    <n v="0"/>
  </r>
  <r>
    <s v="INV-01557"/>
    <d v="2025-10-10T00:00:00"/>
    <s v="P020"/>
    <s v="Sale"/>
    <n v="-8"/>
    <n v="-8"/>
    <x v="1"/>
    <s v="PrintTech"/>
    <s v="Japan"/>
    <n v="30"/>
    <n v="48"/>
    <m/>
    <n v="240"/>
    <n v="384"/>
    <n v="0"/>
  </r>
  <r>
    <s v="INV-00665"/>
    <d v="2025-10-10T00:00:00"/>
    <s v="P003"/>
    <s v="Sale"/>
    <n v="-4"/>
    <n v="-4"/>
    <x v="1"/>
    <s v="ConnectX"/>
    <s v="China"/>
    <n v="16.5"/>
    <n v="28"/>
    <m/>
    <n v="66"/>
    <n v="112"/>
    <n v="0"/>
  </r>
  <r>
    <s v="INV-01750"/>
    <d v="2025-10-11T00:00:00"/>
    <s v="P004"/>
    <s v="Sale"/>
    <n v="-10"/>
    <n v="-10"/>
    <x v="0"/>
    <s v="SoundMax"/>
    <s v="Vietnam"/>
    <n v="20"/>
    <n v="35"/>
    <m/>
    <n v="200"/>
    <n v="350"/>
    <n v="0"/>
  </r>
  <r>
    <s v="INV-00144"/>
    <d v="2025-10-11T00:00:00"/>
    <s v="P011"/>
    <s v="Sale"/>
    <n v="-7"/>
    <n v="-7"/>
    <x v="0"/>
    <s v="PaperMate"/>
    <s v="Germany"/>
    <n v="2.6"/>
    <n v="5.5"/>
    <m/>
    <n v="18.2"/>
    <n v="38.5"/>
    <n v="0"/>
  </r>
  <r>
    <s v="INV-01633"/>
    <d v="2025-10-11T00:00:00"/>
    <s v="P022"/>
    <s v="Sale"/>
    <n v="-7"/>
    <n v="-7"/>
    <x v="2"/>
    <s v="HydroLife"/>
    <s v="Germany"/>
    <n v="8.5"/>
    <n v="18"/>
    <m/>
    <n v="59.5"/>
    <n v="126"/>
    <n v="0"/>
  </r>
  <r>
    <s v="INV-00478"/>
    <d v="2025-10-11T00:00:00"/>
    <s v="P018"/>
    <s v="Sale"/>
    <n v="-10"/>
    <n v="-10"/>
    <x v="2"/>
    <s v="DataStore"/>
    <s v="South Korea"/>
    <n v="5.2"/>
    <n v="11"/>
    <m/>
    <n v="52"/>
    <n v="110"/>
    <n v="0"/>
  </r>
  <r>
    <s v="INV-01093"/>
    <d v="2025-10-12T00:00:00"/>
    <s v="P020"/>
    <s v="Sale"/>
    <n v="-6"/>
    <n v="-6"/>
    <x v="0"/>
    <s v="PrintTech"/>
    <s v="Japan"/>
    <n v="30"/>
    <n v="48"/>
    <m/>
    <n v="180"/>
    <n v="288"/>
    <n v="0"/>
  </r>
  <r>
    <s v="INV-00678"/>
    <d v="2025-10-12T00:00:00"/>
    <s v="P013"/>
    <s v="Sale"/>
    <n v="-11"/>
    <n v="-11"/>
    <x v="1"/>
    <s v="DeskWorks"/>
    <s v="China"/>
    <n v="8"/>
    <n v="15"/>
    <m/>
    <n v="88"/>
    <n v="165"/>
    <n v="0"/>
  </r>
  <r>
    <s v="INV-01189"/>
    <d v="2025-10-13T00:00:00"/>
    <s v="P011"/>
    <s v="Sale"/>
    <n v="-7"/>
    <n v="-7"/>
    <x v="0"/>
    <s v="PaperMate"/>
    <s v="Germany"/>
    <n v="2.6"/>
    <n v="5.5"/>
    <m/>
    <n v="18.2"/>
    <n v="38.5"/>
    <n v="0"/>
  </r>
  <r>
    <s v="INV-01585"/>
    <d v="2025-10-13T00:00:00"/>
    <s v="P030"/>
    <s v="Purchase"/>
    <n v="32"/>
    <n v="32"/>
    <x v="0"/>
    <s v="StoreMax"/>
    <s v="Germany"/>
    <n v="11"/>
    <n v="22"/>
    <s v="PO-85838"/>
    <n v="352"/>
    <n v="0"/>
    <n v="352"/>
  </r>
  <r>
    <s v="INV-00250"/>
    <d v="2025-10-13T00:00:00"/>
    <s v="P028"/>
    <s v="Purchase"/>
    <n v="69"/>
    <n v="69"/>
    <x v="1"/>
    <s v="PackRight"/>
    <s v="Poland"/>
    <n v="3"/>
    <n v="7"/>
    <s v="PO-46723"/>
    <n v="207"/>
    <n v="0"/>
    <n v="207"/>
  </r>
  <r>
    <s v="INV-00045"/>
    <d v="2025-10-13T00:00:00"/>
    <s v="P008"/>
    <s v="Adjustment"/>
    <n v="-4"/>
    <n v="-4"/>
    <x v="2"/>
    <s v="BrightHome"/>
    <s v="China"/>
    <n v="13.5"/>
    <n v="24"/>
    <m/>
    <n v="54"/>
    <n v="0"/>
    <n v="0"/>
  </r>
  <r>
    <s v="INV-00126"/>
    <d v="2025-10-14T00:00:00"/>
    <s v="P014"/>
    <s v="Purchase"/>
    <n v="31"/>
    <n v="31"/>
    <x v="0"/>
    <s v="DataStore"/>
    <s v="South Korea"/>
    <n v="63"/>
    <n v="95"/>
    <s v="PO-49697"/>
    <n v="1953"/>
    <n v="0"/>
    <n v="1953"/>
  </r>
  <r>
    <s v="INV-01474"/>
    <d v="2025-10-15T00:00:00"/>
    <s v="P013"/>
    <s v="Sale"/>
    <n v="-10"/>
    <n v="-10"/>
    <x v="2"/>
    <s v="DeskWorks"/>
    <s v="China"/>
    <n v="8"/>
    <n v="15"/>
    <m/>
    <n v="80"/>
    <n v="150"/>
    <n v="0"/>
  </r>
  <r>
    <s v="INV-01445"/>
    <d v="2025-10-15T00:00:00"/>
    <s v="P028"/>
    <s v="Sale"/>
    <n v="-7"/>
    <n v="-7"/>
    <x v="0"/>
    <s v="PackRight"/>
    <s v="Poland"/>
    <n v="3"/>
    <n v="7"/>
    <m/>
    <n v="21"/>
    <n v="49"/>
    <n v="0"/>
  </r>
  <r>
    <s v="INV-00690"/>
    <d v="2025-10-15T00:00:00"/>
    <s v="P006"/>
    <s v="Sale"/>
    <n v="-3"/>
    <n v="-3"/>
    <x v="1"/>
    <s v="ViewPlus"/>
    <s v="South Korea"/>
    <n v="130"/>
    <n v="185"/>
    <m/>
    <n v="390"/>
    <n v="555"/>
    <n v="0"/>
  </r>
  <r>
    <s v="INV-01161"/>
    <d v="2025-10-16T00:00:00"/>
    <s v="P026"/>
    <s v="Purchase"/>
    <n v="37"/>
    <n v="37"/>
    <x v="2"/>
    <s v="ScanPro"/>
    <s v="China"/>
    <n v="78"/>
    <n v="125"/>
    <s v="PO-69694"/>
    <n v="2886"/>
    <n v="0"/>
    <n v="2886"/>
  </r>
  <r>
    <s v="INV-00389"/>
    <d v="2025-10-16T00:00:00"/>
    <s v="P024"/>
    <s v="Sale"/>
    <n v="-15"/>
    <n v="-15"/>
    <x v="2"/>
    <s v="CalcPlus"/>
    <s v="China"/>
    <n v="6"/>
    <n v="14"/>
    <m/>
    <n v="90"/>
    <n v="210"/>
    <n v="0"/>
  </r>
  <r>
    <s v="INV-01661"/>
    <d v="2025-10-16T00:00:00"/>
    <s v="P019"/>
    <s v="Purchase"/>
    <n v="108"/>
    <n v="108"/>
    <x v="0"/>
    <s v="PrintTech"/>
    <s v="Japan"/>
    <n v="145"/>
    <n v="210"/>
    <s v="PO-17232"/>
    <n v="15660"/>
    <n v="0"/>
    <n v="15660"/>
  </r>
  <r>
    <s v="INV-01777"/>
    <d v="2025-10-16T00:00:00"/>
    <s v="P022"/>
    <s v="Purchase"/>
    <n v="42"/>
    <n v="42"/>
    <x v="0"/>
    <s v="HydroLife"/>
    <s v="Germany"/>
    <n v="8.5"/>
    <n v="18"/>
    <s v="PO-83973"/>
    <n v="357"/>
    <n v="0"/>
    <n v="357"/>
  </r>
  <r>
    <s v="INV-00859"/>
    <d v="2025-10-16T00:00:00"/>
    <s v="P018"/>
    <s v="Purchase"/>
    <n v="97"/>
    <n v="97"/>
    <x v="0"/>
    <s v="DataStore"/>
    <s v="South Korea"/>
    <n v="5.2"/>
    <n v="11"/>
    <s v="PO-56628"/>
    <n v="504.40000000000003"/>
    <n v="0"/>
    <n v="504.40000000000003"/>
  </r>
  <r>
    <s v="INV-01560"/>
    <d v="2025-10-17T00:00:00"/>
    <s v="P028"/>
    <s v="Sale"/>
    <n v="-9"/>
    <n v="-9"/>
    <x v="0"/>
    <s v="PackRight"/>
    <s v="Poland"/>
    <n v="3"/>
    <n v="7"/>
    <m/>
    <n v="27"/>
    <n v="63"/>
    <n v="0"/>
  </r>
  <r>
    <s v="INV-01613"/>
    <d v="2025-10-17T00:00:00"/>
    <s v="P017"/>
    <s v="Purchase"/>
    <n v="79"/>
    <n v="79"/>
    <x v="2"/>
    <s v="SoundMax"/>
    <s v="Vietnam"/>
    <n v="34"/>
    <n v="55"/>
    <s v="PO-92533"/>
    <n v="2686"/>
    <n v="0"/>
    <n v="2686"/>
  </r>
  <r>
    <s v="INV-01368"/>
    <d v="2025-10-18T00:00:00"/>
    <s v="P029"/>
    <s v="Purchase"/>
    <n v="66"/>
    <n v="66"/>
    <x v="1"/>
    <s v="PackRight"/>
    <s v="Poland"/>
    <n v="4"/>
    <n v="9"/>
    <s v="PO-53952"/>
    <n v="264"/>
    <n v="0"/>
    <n v="264"/>
  </r>
  <r>
    <s v="INV-00916"/>
    <d v="2025-10-18T00:00:00"/>
    <s v="P015"/>
    <s v="Purchase"/>
    <n v="106"/>
    <n v="106"/>
    <x v="0"/>
    <s v="VoltPro"/>
    <s v="China"/>
    <n v="23"/>
    <n v="38"/>
    <s v="PO-32553"/>
    <n v="2438"/>
    <n v="0"/>
    <n v="2438"/>
  </r>
  <r>
    <s v="INV-00150"/>
    <d v="2025-10-19T00:00:00"/>
    <s v="P010"/>
    <s v="Sale"/>
    <n v="-13"/>
    <n v="-13"/>
    <x v="2"/>
    <s v="ErgoSpace"/>
    <s v="Germany"/>
    <n v="220"/>
    <n v="320"/>
    <m/>
    <n v="2860"/>
    <n v="4160"/>
    <n v="0"/>
  </r>
  <r>
    <s v="INV-01743"/>
    <d v="2025-10-19T00:00:00"/>
    <s v="P024"/>
    <s v="Purchase"/>
    <n v="110"/>
    <n v="110"/>
    <x v="2"/>
    <s v="CalcPlus"/>
    <s v="China"/>
    <n v="6"/>
    <n v="14"/>
    <s v="PO-72904"/>
    <n v="660"/>
    <n v="0"/>
    <n v="660"/>
  </r>
  <r>
    <s v="INV-01083"/>
    <d v="2025-10-19T00:00:00"/>
    <s v="P014"/>
    <s v="Purchase"/>
    <n v="49"/>
    <n v="49"/>
    <x v="0"/>
    <s v="DataStore"/>
    <s v="South Korea"/>
    <n v="63"/>
    <n v="95"/>
    <s v="PO-50412"/>
    <n v="3087"/>
    <n v="0"/>
    <n v="3087"/>
  </r>
  <r>
    <s v="INV-00296"/>
    <d v="2025-10-20T00:00:00"/>
    <s v="P017"/>
    <s v="Sale"/>
    <n v="-3"/>
    <n v="-3"/>
    <x v="0"/>
    <s v="SoundMax"/>
    <s v="Vietnam"/>
    <n v="34"/>
    <n v="55"/>
    <m/>
    <n v="102"/>
    <n v="165"/>
    <n v="0"/>
  </r>
  <r>
    <s v="INV-01591"/>
    <d v="2025-10-20T00:00:00"/>
    <s v="P022"/>
    <s v="Purchase"/>
    <n v="114"/>
    <n v="114"/>
    <x v="1"/>
    <s v="HydroLife"/>
    <s v="Germany"/>
    <n v="8.5"/>
    <n v="18"/>
    <s v="PO-37425"/>
    <n v="969"/>
    <n v="0"/>
    <n v="969"/>
  </r>
  <r>
    <s v="INV-01288"/>
    <d v="2025-10-20T00:00:00"/>
    <s v="P012"/>
    <s v="Purchase"/>
    <n v="86"/>
    <n v="86"/>
    <x v="2"/>
    <s v="WriteWell"/>
    <s v="France"/>
    <n v="3.4"/>
    <n v="8"/>
    <s v="PO-78535"/>
    <n v="292.39999999999998"/>
    <n v="0"/>
    <n v="292.39999999999998"/>
  </r>
  <r>
    <s v="INV-00356"/>
    <d v="2025-10-21T00:00:00"/>
    <s v="P021"/>
    <s v="Purchase"/>
    <n v="61"/>
    <n v="61"/>
    <x v="2"/>
    <s v="TravelPro"/>
    <s v="Vietnam"/>
    <n v="25"/>
    <n v="45"/>
    <s v="PO-27939"/>
    <n v="1525"/>
    <n v="0"/>
    <n v="1525"/>
  </r>
  <r>
    <s v="INV-00529"/>
    <d v="2025-10-21T00:00:00"/>
    <s v="P002"/>
    <s v="Sale"/>
    <n v="-1"/>
    <n v="-1"/>
    <x v="2"/>
    <s v="KeyPro"/>
    <s v="China"/>
    <n v="25"/>
    <n v="42"/>
    <m/>
    <n v="25"/>
    <n v="42"/>
    <n v="0"/>
  </r>
  <r>
    <s v="INV-00059"/>
    <d v="2025-10-21T00:00:00"/>
    <s v="P001"/>
    <s v="Sale"/>
    <n v="-8"/>
    <n v="-8"/>
    <x v="0"/>
    <s v="TechGear"/>
    <s v="China"/>
    <n v="7.2"/>
    <n v="12.5"/>
    <m/>
    <n v="57.6"/>
    <n v="100"/>
    <n v="0"/>
  </r>
  <r>
    <s v="INV-00365"/>
    <d v="2025-10-21T00:00:00"/>
    <s v="P029"/>
    <s v="Sale"/>
    <n v="-14"/>
    <n v="-14"/>
    <x v="0"/>
    <s v="PackRight"/>
    <s v="Poland"/>
    <n v="4"/>
    <n v="9"/>
    <m/>
    <n v="56"/>
    <n v="126"/>
    <n v="0"/>
  </r>
  <r>
    <s v="INV-01518"/>
    <d v="2025-10-22T00:00:00"/>
    <s v="P028"/>
    <s v="Purchase"/>
    <n v="44"/>
    <n v="44"/>
    <x v="0"/>
    <s v="PackRight"/>
    <s v="Poland"/>
    <n v="3"/>
    <n v="7"/>
    <s v="PO-33259"/>
    <n v="132"/>
    <n v="0"/>
    <n v="132"/>
  </r>
  <r>
    <s v="INV-00012"/>
    <d v="2025-10-22T00:00:00"/>
    <s v="P030"/>
    <s v="Sale"/>
    <n v="-13"/>
    <n v="-13"/>
    <x v="2"/>
    <s v="StoreMax"/>
    <s v="Germany"/>
    <n v="11"/>
    <n v="22"/>
    <m/>
    <n v="143"/>
    <n v="286"/>
    <n v="0"/>
  </r>
  <r>
    <s v="INV-00021"/>
    <d v="2025-10-23T00:00:00"/>
    <s v="P020"/>
    <s v="Purchase"/>
    <n v="78"/>
    <n v="78"/>
    <x v="0"/>
    <s v="PrintTech"/>
    <s v="Japan"/>
    <n v="30"/>
    <n v="48"/>
    <s v="PO-26651"/>
    <n v="2340"/>
    <n v="0"/>
    <n v="2340"/>
  </r>
  <r>
    <s v="INV-00609"/>
    <d v="2025-10-23T00:00:00"/>
    <s v="P016"/>
    <s v="Adjustment"/>
    <n v="-15"/>
    <n v="-15"/>
    <x v="2"/>
    <s v="ConnectX"/>
    <s v="China"/>
    <n v="4.2"/>
    <n v="10"/>
    <m/>
    <n v="63"/>
    <n v="0"/>
    <n v="0"/>
  </r>
  <r>
    <s v="INV-00800"/>
    <d v="2025-10-23T00:00:00"/>
    <s v="P029"/>
    <s v="Purchase"/>
    <n v="99"/>
    <n v="99"/>
    <x v="1"/>
    <s v="PackRight"/>
    <s v="Poland"/>
    <n v="4"/>
    <n v="9"/>
    <s v="PO-67623"/>
    <n v="396"/>
    <n v="0"/>
    <n v="396"/>
  </r>
  <r>
    <s v="INV-01050"/>
    <d v="2025-10-24T00:00:00"/>
    <s v="P001"/>
    <s v="Sale"/>
    <n v="-13"/>
    <n v="-13"/>
    <x v="2"/>
    <s v="TechGear"/>
    <s v="China"/>
    <n v="7.2"/>
    <n v="12.5"/>
    <m/>
    <n v="93.600000000000009"/>
    <n v="162.5"/>
    <n v="0"/>
  </r>
  <r>
    <s v="INV-00589"/>
    <d v="2025-10-24T00:00:00"/>
    <s v="P004"/>
    <s v="Sale"/>
    <n v="-1"/>
    <n v="-1"/>
    <x v="2"/>
    <s v="SoundMax"/>
    <s v="Vietnam"/>
    <n v="20"/>
    <n v="35"/>
    <m/>
    <n v="20"/>
    <n v="35"/>
    <n v="0"/>
  </r>
  <r>
    <s v="INV-01286"/>
    <d v="2025-10-24T00:00:00"/>
    <s v="P017"/>
    <s v="Sale"/>
    <n v="-7"/>
    <n v="-7"/>
    <x v="1"/>
    <s v="SoundMax"/>
    <s v="Vietnam"/>
    <n v="34"/>
    <n v="55"/>
    <m/>
    <n v="238"/>
    <n v="385"/>
    <n v="0"/>
  </r>
  <r>
    <s v="INV-01107"/>
    <d v="2025-10-24T00:00:00"/>
    <s v="P013"/>
    <s v="Adjustment"/>
    <n v="-7"/>
    <n v="-7"/>
    <x v="0"/>
    <s v="DeskWorks"/>
    <s v="China"/>
    <n v="8"/>
    <n v="15"/>
    <m/>
    <n v="56"/>
    <n v="0"/>
    <n v="0"/>
  </r>
  <r>
    <s v="INV-01663"/>
    <d v="2025-10-25T00:00:00"/>
    <s v="P029"/>
    <s v="Sale"/>
    <n v="-3"/>
    <n v="-3"/>
    <x v="0"/>
    <s v="PackRight"/>
    <s v="Poland"/>
    <n v="4"/>
    <n v="9"/>
    <m/>
    <n v="12"/>
    <n v="27"/>
    <n v="0"/>
  </r>
  <r>
    <s v="INV-00376"/>
    <d v="2025-10-25T00:00:00"/>
    <s v="P011"/>
    <s v="Sale"/>
    <n v="-13"/>
    <n v="-13"/>
    <x v="1"/>
    <s v="PaperMate"/>
    <s v="Germany"/>
    <n v="2.6"/>
    <n v="5.5"/>
    <m/>
    <n v="33.800000000000004"/>
    <n v="71.5"/>
    <n v="0"/>
  </r>
  <r>
    <s v="INV-00032"/>
    <d v="2025-10-25T00:00:00"/>
    <s v="P005"/>
    <s v="Sale"/>
    <n v="-7"/>
    <n v="-7"/>
    <x v="0"/>
    <s v="VisionTech"/>
    <s v="China"/>
    <n v="18.5"/>
    <n v="31"/>
    <m/>
    <n v="129.5"/>
    <n v="217"/>
    <n v="0"/>
  </r>
  <r>
    <s v="INV-01043"/>
    <d v="2025-10-26T00:00:00"/>
    <s v="P011"/>
    <s v="Return"/>
    <n v="3"/>
    <n v="3"/>
    <x v="0"/>
    <s v="PaperMate"/>
    <s v="Germany"/>
    <n v="2.6"/>
    <n v="5.5"/>
    <m/>
    <n v="7.8000000000000007"/>
    <n v="0"/>
    <n v="0"/>
  </r>
  <r>
    <s v="INV-01300"/>
    <d v="2025-10-26T00:00:00"/>
    <s v="P023"/>
    <s v="Sale"/>
    <n v="-6"/>
    <n v="-6"/>
    <x v="0"/>
    <s v="DeskWorks"/>
    <s v="China"/>
    <n v="8.8000000000000007"/>
    <n v="17"/>
    <m/>
    <n v="52.800000000000004"/>
    <n v="102"/>
    <n v="0"/>
  </r>
  <r>
    <s v="INV-01765"/>
    <d v="2025-10-26T00:00:00"/>
    <s v="P005"/>
    <s v="Sale"/>
    <n v="-4"/>
    <n v="-4"/>
    <x v="0"/>
    <s v="VisionTech"/>
    <s v="China"/>
    <n v="18.5"/>
    <n v="31"/>
    <m/>
    <n v="74"/>
    <n v="124"/>
    <n v="0"/>
  </r>
  <r>
    <s v="INV-00867"/>
    <d v="2025-10-27T00:00:00"/>
    <s v="P005"/>
    <s v="Purchase"/>
    <n v="55"/>
    <n v="55"/>
    <x v="1"/>
    <s v="VisionTech"/>
    <s v="China"/>
    <n v="18.5"/>
    <n v="31"/>
    <s v="PO-89830"/>
    <n v="1017.5"/>
    <n v="0"/>
    <n v="1017.5"/>
  </r>
  <r>
    <s v="INV-01174"/>
    <d v="2025-10-27T00:00:00"/>
    <s v="P009"/>
    <s v="Sale"/>
    <n v="-8"/>
    <n v="-8"/>
    <x v="0"/>
    <s v="ComfortPro"/>
    <s v="Poland"/>
    <n v="105"/>
    <n v="165"/>
    <m/>
    <n v="840"/>
    <n v="1320"/>
    <n v="0"/>
  </r>
  <r>
    <s v="INV-00472"/>
    <d v="2025-10-27T00:00:00"/>
    <s v="P030"/>
    <s v="Sale"/>
    <n v="-2"/>
    <n v="-2"/>
    <x v="1"/>
    <s v="StoreMax"/>
    <s v="Germany"/>
    <n v="11"/>
    <n v="22"/>
    <m/>
    <n v="22"/>
    <n v="44"/>
    <n v="0"/>
  </r>
  <r>
    <s v="INV-00580"/>
    <d v="2025-10-27T00:00:00"/>
    <s v="P008"/>
    <s v="Sale"/>
    <n v="-14"/>
    <n v="-14"/>
    <x v="0"/>
    <s v="BrightHome"/>
    <s v="China"/>
    <n v="13.5"/>
    <n v="24"/>
    <m/>
    <n v="189"/>
    <n v="336"/>
    <n v="0"/>
  </r>
  <r>
    <s v="INV-00244"/>
    <d v="2025-10-28T00:00:00"/>
    <s v="P012"/>
    <s v="Purchase"/>
    <n v="63"/>
    <n v="63"/>
    <x v="2"/>
    <s v="WriteWell"/>
    <s v="France"/>
    <n v="3.4"/>
    <n v="8"/>
    <s v="PO-70719"/>
    <n v="214.2"/>
    <n v="0"/>
    <n v="214.2"/>
  </r>
  <r>
    <s v="INV-00880"/>
    <d v="2025-10-28T00:00:00"/>
    <s v="P007"/>
    <s v="Sale"/>
    <n v="-7"/>
    <n v="-7"/>
    <x v="2"/>
    <s v="DeskWorks"/>
    <s v="China"/>
    <n v="16"/>
    <n v="29"/>
    <m/>
    <n v="112"/>
    <n v="203"/>
    <n v="0"/>
  </r>
  <r>
    <s v="INV-00219"/>
    <d v="2025-10-29T00:00:00"/>
    <s v="P021"/>
    <s v="Purchase"/>
    <n v="44"/>
    <n v="44"/>
    <x v="0"/>
    <s v="TravelPro"/>
    <s v="Vietnam"/>
    <n v="25"/>
    <n v="45"/>
    <s v="PO-80283"/>
    <n v="1100"/>
    <n v="0"/>
    <n v="1100"/>
  </r>
  <r>
    <s v="INV-01679"/>
    <d v="2025-10-29T00:00:00"/>
    <s v="P005"/>
    <s v="Sale"/>
    <n v="-8"/>
    <n v="-8"/>
    <x v="0"/>
    <s v="VisionTech"/>
    <s v="China"/>
    <n v="18.5"/>
    <n v="31"/>
    <m/>
    <n v="148"/>
    <n v="248"/>
    <n v="0"/>
  </r>
  <r>
    <s v="INV-00973"/>
    <d v="2025-10-29T00:00:00"/>
    <s v="P024"/>
    <s v="Sale"/>
    <n v="-11"/>
    <n v="-11"/>
    <x v="2"/>
    <s v="CalcPlus"/>
    <s v="China"/>
    <n v="6"/>
    <n v="14"/>
    <m/>
    <n v="66"/>
    <n v="154"/>
    <n v="0"/>
  </r>
  <r>
    <s v="INV-01675"/>
    <d v="2025-10-29T00:00:00"/>
    <s v="P025"/>
    <s v="Sale"/>
    <n v="-15"/>
    <n v="-15"/>
    <x v="0"/>
    <s v="PaperMate"/>
    <s v="Germany"/>
    <n v="5.5"/>
    <n v="12"/>
    <m/>
    <n v="82.5"/>
    <n v="180"/>
    <n v="0"/>
  </r>
  <r>
    <s v="INV-01702"/>
    <d v="2025-10-29T00:00:00"/>
    <s v="P014"/>
    <s v="Sale"/>
    <n v="-7"/>
    <n v="-7"/>
    <x v="0"/>
    <s v="DataStore"/>
    <s v="South Korea"/>
    <n v="63"/>
    <n v="95"/>
    <m/>
    <n v="441"/>
    <n v="665"/>
    <n v="0"/>
  </r>
  <r>
    <s v="INV-01331"/>
    <d v="2025-10-29T00:00:00"/>
    <s v="P018"/>
    <s v="Sale"/>
    <n v="-13"/>
    <n v="-13"/>
    <x v="1"/>
    <s v="DataStore"/>
    <s v="South Korea"/>
    <n v="5.2"/>
    <n v="11"/>
    <m/>
    <n v="67.600000000000009"/>
    <n v="143"/>
    <n v="0"/>
  </r>
  <r>
    <s v="INV-00259"/>
    <d v="2025-10-31T00:00:00"/>
    <s v="P018"/>
    <s v="Sale"/>
    <n v="-9"/>
    <n v="-9"/>
    <x v="2"/>
    <s v="DataStore"/>
    <s v="South Korea"/>
    <n v="5.2"/>
    <n v="11"/>
    <m/>
    <n v="46.800000000000004"/>
    <n v="99"/>
    <n v="0"/>
  </r>
  <r>
    <s v="INV-01311"/>
    <d v="2025-10-31T00:00:00"/>
    <s v="P002"/>
    <s v="Sale"/>
    <n v="-8"/>
    <n v="-8"/>
    <x v="0"/>
    <s v="KeyPro"/>
    <s v="China"/>
    <n v="25"/>
    <n v="42"/>
    <m/>
    <n v="200"/>
    <n v="336"/>
    <n v="0"/>
  </r>
  <r>
    <s v="INV-01617"/>
    <d v="2025-10-31T00:00:00"/>
    <s v="P030"/>
    <s v="Purchase"/>
    <n v="83"/>
    <n v="83"/>
    <x v="1"/>
    <s v="StoreMax"/>
    <s v="Germany"/>
    <n v="11"/>
    <n v="22"/>
    <s v="PO-42599"/>
    <n v="913"/>
    <n v="0"/>
    <n v="913"/>
  </r>
  <r>
    <s v="INV-01399"/>
    <d v="2025-11-01T00:00:00"/>
    <s v="P020"/>
    <s v="Purchase"/>
    <n v="47"/>
    <n v="47"/>
    <x v="0"/>
    <s v="PrintTech"/>
    <s v="Japan"/>
    <n v="30"/>
    <n v="48"/>
    <s v="PO-36519"/>
    <n v="1410"/>
    <n v="0"/>
    <n v="1410"/>
  </r>
  <r>
    <s v="INV-01583"/>
    <d v="2025-11-01T00:00:00"/>
    <s v="P019"/>
    <s v="Purchase"/>
    <n v="21"/>
    <n v="21"/>
    <x v="1"/>
    <s v="PrintTech"/>
    <s v="Japan"/>
    <n v="145"/>
    <n v="210"/>
    <s v="PO-80192"/>
    <n v="3045"/>
    <n v="0"/>
    <n v="3045"/>
  </r>
  <r>
    <s v="INV-00613"/>
    <d v="2025-11-02T00:00:00"/>
    <s v="P020"/>
    <s v="Sale"/>
    <n v="-15"/>
    <n v="-15"/>
    <x v="0"/>
    <s v="PrintTech"/>
    <s v="Japan"/>
    <n v="30"/>
    <n v="48"/>
    <m/>
    <n v="450"/>
    <n v="720"/>
    <n v="0"/>
  </r>
  <r>
    <s v="INV-00348"/>
    <d v="2025-11-02T00:00:00"/>
    <s v="P001"/>
    <s v="Sale"/>
    <n v="-8"/>
    <n v="-8"/>
    <x v="0"/>
    <s v="TechGear"/>
    <s v="China"/>
    <n v="7.2"/>
    <n v="12.5"/>
    <m/>
    <n v="57.6"/>
    <n v="100"/>
    <n v="0"/>
  </r>
  <r>
    <s v="INV-00680"/>
    <d v="2025-11-03T00:00:00"/>
    <s v="P028"/>
    <s v="Sale"/>
    <n v="-6"/>
    <n v="-6"/>
    <x v="2"/>
    <s v="PackRight"/>
    <s v="Poland"/>
    <n v="3"/>
    <n v="7"/>
    <m/>
    <n v="18"/>
    <n v="42"/>
    <n v="0"/>
  </r>
  <r>
    <s v="INV-00500"/>
    <d v="2025-11-03T00:00:00"/>
    <s v="P030"/>
    <s v="Purchase"/>
    <n v="42"/>
    <n v="42"/>
    <x v="0"/>
    <s v="StoreMax"/>
    <s v="Germany"/>
    <n v="11"/>
    <n v="22"/>
    <s v="PO-61052"/>
    <n v="462"/>
    <n v="0"/>
    <n v="462"/>
  </r>
  <r>
    <s v="INV-01075"/>
    <d v="2025-11-03T00:00:00"/>
    <s v="P030"/>
    <s v="Sale"/>
    <n v="-14"/>
    <n v="-14"/>
    <x v="1"/>
    <s v="StoreMax"/>
    <s v="Germany"/>
    <n v="11"/>
    <n v="22"/>
    <m/>
    <n v="154"/>
    <n v="308"/>
    <n v="0"/>
  </r>
  <r>
    <s v="INV-00330"/>
    <d v="2025-11-03T00:00:00"/>
    <s v="P008"/>
    <s v="Sale"/>
    <n v="-13"/>
    <n v="-13"/>
    <x v="0"/>
    <s v="BrightHome"/>
    <s v="China"/>
    <n v="13.5"/>
    <n v="24"/>
    <m/>
    <n v="175.5"/>
    <n v="312"/>
    <n v="0"/>
  </r>
  <r>
    <s v="INV-00495"/>
    <d v="2025-11-03T00:00:00"/>
    <s v="P016"/>
    <s v="Purchase"/>
    <n v="113"/>
    <n v="113"/>
    <x v="0"/>
    <s v="ConnectX"/>
    <s v="China"/>
    <n v="4.2"/>
    <n v="10"/>
    <s v="PO-20222"/>
    <n v="474.6"/>
    <n v="0"/>
    <n v="474.6"/>
  </r>
  <r>
    <s v="INV-01689"/>
    <d v="2025-11-04T00:00:00"/>
    <s v="P020"/>
    <s v="Purchase"/>
    <n v="26"/>
    <n v="26"/>
    <x v="1"/>
    <s v="PrintTech"/>
    <s v="Japan"/>
    <n v="30"/>
    <n v="48"/>
    <s v="PO-84968"/>
    <n v="780"/>
    <n v="0"/>
    <n v="780"/>
  </r>
  <r>
    <s v="INV-00217"/>
    <d v="2025-11-04T00:00:00"/>
    <s v="P011"/>
    <s v="Sale"/>
    <n v="-14"/>
    <n v="-14"/>
    <x v="2"/>
    <s v="PaperMate"/>
    <s v="Germany"/>
    <n v="2.6"/>
    <n v="5.5"/>
    <m/>
    <n v="36.4"/>
    <n v="77"/>
    <n v="0"/>
  </r>
  <r>
    <s v="INV-01578"/>
    <d v="2025-11-05T00:00:00"/>
    <s v="P021"/>
    <s v="Purchase"/>
    <n v="24"/>
    <n v="24"/>
    <x v="0"/>
    <s v="TravelPro"/>
    <s v="Vietnam"/>
    <n v="25"/>
    <n v="45"/>
    <s v="PO-10255"/>
    <n v="600"/>
    <n v="0"/>
    <n v="600"/>
  </r>
  <r>
    <s v="INV-00509"/>
    <d v="2025-11-05T00:00:00"/>
    <s v="P029"/>
    <s v="Purchase"/>
    <n v="103"/>
    <n v="103"/>
    <x v="1"/>
    <s v="PackRight"/>
    <s v="Poland"/>
    <n v="4"/>
    <n v="9"/>
    <s v="PO-93203"/>
    <n v="412"/>
    <n v="0"/>
    <n v="412"/>
  </r>
  <r>
    <s v="INV-00399"/>
    <d v="2025-11-05T00:00:00"/>
    <s v="P024"/>
    <s v="Sale"/>
    <n v="-9"/>
    <n v="-9"/>
    <x v="0"/>
    <s v="CalcPlus"/>
    <s v="China"/>
    <n v="6"/>
    <n v="14"/>
    <m/>
    <n v="54"/>
    <n v="126"/>
    <n v="0"/>
  </r>
  <r>
    <s v="INV-00336"/>
    <d v="2025-11-05T00:00:00"/>
    <s v="P001"/>
    <s v="Return"/>
    <n v="2"/>
    <n v="2"/>
    <x v="2"/>
    <s v="TechGear"/>
    <s v="China"/>
    <n v="7.2"/>
    <n v="12.5"/>
    <m/>
    <n v="14.4"/>
    <n v="0"/>
    <n v="0"/>
  </r>
  <r>
    <s v="INV-01671"/>
    <d v="2025-11-06T00:00:00"/>
    <s v="P012"/>
    <s v="Purchase"/>
    <n v="49"/>
    <n v="49"/>
    <x v="2"/>
    <s v="WriteWell"/>
    <s v="France"/>
    <n v="3.4"/>
    <n v="8"/>
    <s v="PO-58542"/>
    <n v="166.6"/>
    <n v="0"/>
    <n v="166.6"/>
  </r>
  <r>
    <s v="INV-00415"/>
    <d v="2025-11-06T00:00:00"/>
    <s v="P021"/>
    <s v="Sale"/>
    <n v="-13"/>
    <n v="-13"/>
    <x v="2"/>
    <s v="TravelPro"/>
    <s v="Vietnam"/>
    <n v="25"/>
    <n v="45"/>
    <m/>
    <n v="325"/>
    <n v="585"/>
    <n v="0"/>
  </r>
  <r>
    <s v="INV-00796"/>
    <d v="2025-11-06T00:00:00"/>
    <s v="P028"/>
    <s v="Sale"/>
    <n v="-13"/>
    <n v="-13"/>
    <x v="2"/>
    <s v="PackRight"/>
    <s v="Poland"/>
    <n v="3"/>
    <n v="7"/>
    <m/>
    <n v="39"/>
    <n v="91"/>
    <n v="0"/>
  </r>
  <r>
    <s v="INV-01071"/>
    <d v="2025-11-06T00:00:00"/>
    <s v="P011"/>
    <s v="Return"/>
    <n v="1"/>
    <n v="1"/>
    <x v="0"/>
    <s v="PaperMate"/>
    <s v="Germany"/>
    <n v="2.6"/>
    <n v="5.5"/>
    <m/>
    <n v="2.6"/>
    <n v="0"/>
    <n v="0"/>
  </r>
  <r>
    <s v="INV-00557"/>
    <d v="2025-11-07T00:00:00"/>
    <s v="P004"/>
    <s v="Return"/>
    <n v="2"/>
    <n v="2"/>
    <x v="0"/>
    <s v="SoundMax"/>
    <s v="Vietnam"/>
    <n v="20"/>
    <n v="35"/>
    <m/>
    <n v="40"/>
    <n v="0"/>
    <n v="0"/>
  </r>
  <r>
    <s v="INV-00955"/>
    <d v="2025-11-07T00:00:00"/>
    <s v="P014"/>
    <s v="Return"/>
    <n v="2"/>
    <n v="2"/>
    <x v="1"/>
    <s v="DataStore"/>
    <s v="South Korea"/>
    <n v="63"/>
    <n v="95"/>
    <m/>
    <n v="126"/>
    <n v="0"/>
    <n v="0"/>
  </r>
  <r>
    <s v="INV-01405"/>
    <d v="2025-11-07T00:00:00"/>
    <s v="P022"/>
    <s v="Sale"/>
    <n v="-10"/>
    <n v="-10"/>
    <x v="2"/>
    <s v="HydroLife"/>
    <s v="Germany"/>
    <n v="8.5"/>
    <n v="18"/>
    <m/>
    <n v="85"/>
    <n v="180"/>
    <n v="0"/>
  </r>
  <r>
    <s v="INV-00737"/>
    <d v="2025-11-07T00:00:00"/>
    <s v="P013"/>
    <s v="Sale"/>
    <n v="-14"/>
    <n v="-14"/>
    <x v="0"/>
    <s v="DeskWorks"/>
    <s v="China"/>
    <n v="8"/>
    <n v="15"/>
    <m/>
    <n v="112"/>
    <n v="210"/>
    <n v="0"/>
  </r>
  <r>
    <s v="INV-01175"/>
    <d v="2025-11-07T00:00:00"/>
    <s v="P021"/>
    <s v="Sale"/>
    <n v="-6"/>
    <n v="-6"/>
    <x v="0"/>
    <s v="TravelPro"/>
    <s v="Vietnam"/>
    <n v="25"/>
    <n v="45"/>
    <m/>
    <n v="150"/>
    <n v="270"/>
    <n v="0"/>
  </r>
  <r>
    <s v="INV-00479"/>
    <d v="2025-11-08T00:00:00"/>
    <s v="P030"/>
    <s v="Sale"/>
    <n v="-13"/>
    <n v="-13"/>
    <x v="2"/>
    <s v="StoreMax"/>
    <s v="Germany"/>
    <n v="11"/>
    <n v="22"/>
    <m/>
    <n v="143"/>
    <n v="286"/>
    <n v="0"/>
  </r>
  <r>
    <s v="INV-01195"/>
    <d v="2025-11-09T00:00:00"/>
    <s v="P002"/>
    <s v="Purchase"/>
    <n v="52"/>
    <n v="52"/>
    <x v="2"/>
    <s v="KeyPro"/>
    <s v="China"/>
    <n v="25"/>
    <n v="42"/>
    <s v="PO-79803"/>
    <n v="1300"/>
    <n v="0"/>
    <n v="1300"/>
  </r>
  <r>
    <s v="INV-01150"/>
    <d v="2025-11-09T00:00:00"/>
    <s v="P028"/>
    <s v="Return"/>
    <n v="2"/>
    <n v="2"/>
    <x v="2"/>
    <s v="PackRight"/>
    <s v="Poland"/>
    <n v="3"/>
    <n v="7"/>
    <m/>
    <n v="6"/>
    <n v="0"/>
    <n v="0"/>
  </r>
  <r>
    <s v="INV-01566"/>
    <d v="2025-11-09T00:00:00"/>
    <s v="P014"/>
    <s v="Sale"/>
    <n v="-13"/>
    <n v="-13"/>
    <x v="0"/>
    <s v="DataStore"/>
    <s v="South Korea"/>
    <n v="63"/>
    <n v="95"/>
    <m/>
    <n v="819"/>
    <n v="1235"/>
    <n v="0"/>
  </r>
  <r>
    <s v="INV-00882"/>
    <d v="2025-11-10T00:00:00"/>
    <s v="P022"/>
    <s v="Sale"/>
    <n v="-14"/>
    <n v="-14"/>
    <x v="2"/>
    <s v="HydroLife"/>
    <s v="Germany"/>
    <n v="8.5"/>
    <n v="18"/>
    <m/>
    <n v="119"/>
    <n v="252"/>
    <n v="0"/>
  </r>
  <r>
    <s v="INV-00765"/>
    <d v="2025-11-10T00:00:00"/>
    <s v="P001"/>
    <s v="Sale"/>
    <n v="-12"/>
    <n v="-12"/>
    <x v="2"/>
    <s v="TechGear"/>
    <s v="China"/>
    <n v="7.2"/>
    <n v="12.5"/>
    <m/>
    <n v="86.4"/>
    <n v="150"/>
    <n v="0"/>
  </r>
  <r>
    <s v="INV-01011"/>
    <d v="2025-11-10T00:00:00"/>
    <s v="P007"/>
    <s v="Purchase"/>
    <n v="97"/>
    <n v="97"/>
    <x v="2"/>
    <s v="DeskWorks"/>
    <s v="China"/>
    <n v="16"/>
    <n v="29"/>
    <s v="PO-13688"/>
    <n v="1552"/>
    <n v="0"/>
    <n v="1552"/>
  </r>
  <r>
    <s v="INV-00124"/>
    <d v="2025-11-10T00:00:00"/>
    <s v="P003"/>
    <s v="Sale"/>
    <n v="-11"/>
    <n v="-11"/>
    <x v="1"/>
    <s v="ConnectX"/>
    <s v="China"/>
    <n v="16.5"/>
    <n v="28"/>
    <m/>
    <n v="181.5"/>
    <n v="308"/>
    <n v="0"/>
  </r>
  <r>
    <s v="INV-01463"/>
    <d v="2025-11-11T00:00:00"/>
    <s v="P003"/>
    <s v="Sale"/>
    <n v="-2"/>
    <n v="-2"/>
    <x v="1"/>
    <s v="ConnectX"/>
    <s v="China"/>
    <n v="16.5"/>
    <n v="28"/>
    <m/>
    <n v="33"/>
    <n v="56"/>
    <n v="0"/>
  </r>
  <r>
    <s v="INV-00662"/>
    <d v="2025-11-11T00:00:00"/>
    <s v="P030"/>
    <s v="Sale"/>
    <n v="-9"/>
    <n v="-9"/>
    <x v="0"/>
    <s v="StoreMax"/>
    <s v="Germany"/>
    <n v="11"/>
    <n v="22"/>
    <m/>
    <n v="99"/>
    <n v="198"/>
    <n v="0"/>
  </r>
  <r>
    <s v="INV-01053"/>
    <d v="2025-11-11T00:00:00"/>
    <s v="P029"/>
    <s v="Purchase"/>
    <n v="76"/>
    <n v="76"/>
    <x v="2"/>
    <s v="PackRight"/>
    <s v="Poland"/>
    <n v="4"/>
    <n v="9"/>
    <s v="PO-17410"/>
    <n v="304"/>
    <n v="0"/>
    <n v="304"/>
  </r>
  <r>
    <s v="INV-01358"/>
    <d v="2025-11-13T00:00:00"/>
    <s v="P014"/>
    <s v="Purchase"/>
    <n v="32"/>
    <n v="32"/>
    <x v="0"/>
    <s v="DataStore"/>
    <s v="South Korea"/>
    <n v="63"/>
    <n v="95"/>
    <s v="PO-72979"/>
    <n v="2016"/>
    <n v="0"/>
    <n v="2016"/>
  </r>
  <r>
    <s v="INV-00175"/>
    <d v="2025-11-14T00:00:00"/>
    <s v="P021"/>
    <s v="Purchase"/>
    <n v="57"/>
    <n v="57"/>
    <x v="2"/>
    <s v="TravelPro"/>
    <s v="Vietnam"/>
    <n v="25"/>
    <n v="45"/>
    <s v="PO-35378"/>
    <n v="1425"/>
    <n v="0"/>
    <n v="1425"/>
  </r>
  <r>
    <s v="INV-00002"/>
    <d v="2025-11-14T00:00:00"/>
    <s v="P029"/>
    <s v="Sale"/>
    <n v="-15"/>
    <n v="-15"/>
    <x v="0"/>
    <s v="PackRight"/>
    <s v="Poland"/>
    <n v="4"/>
    <n v="9"/>
    <m/>
    <n v="60"/>
    <n v="135"/>
    <n v="0"/>
  </r>
  <r>
    <s v="INV-00757"/>
    <d v="2025-11-14T00:00:00"/>
    <s v="P020"/>
    <s v="Sale"/>
    <n v="-15"/>
    <n v="-15"/>
    <x v="0"/>
    <s v="PrintTech"/>
    <s v="Japan"/>
    <n v="30"/>
    <n v="48"/>
    <m/>
    <n v="450"/>
    <n v="720"/>
    <n v="0"/>
  </r>
  <r>
    <s v="INV-01480"/>
    <d v="2025-11-16T00:00:00"/>
    <s v="P015"/>
    <s v="Sale"/>
    <n v="-4"/>
    <n v="-4"/>
    <x v="0"/>
    <s v="VoltPro"/>
    <s v="China"/>
    <n v="23"/>
    <n v="38"/>
    <m/>
    <n v="92"/>
    <n v="152"/>
    <n v="0"/>
  </r>
  <r>
    <s v="INV-01144"/>
    <d v="2025-11-16T00:00:00"/>
    <s v="P018"/>
    <s v="Sale"/>
    <n v="-11"/>
    <n v="-11"/>
    <x v="2"/>
    <s v="DataStore"/>
    <s v="South Korea"/>
    <n v="5.2"/>
    <n v="11"/>
    <m/>
    <n v="57.2"/>
    <n v="121"/>
    <n v="0"/>
  </r>
  <r>
    <s v="INV-00069"/>
    <d v="2025-11-17T00:00:00"/>
    <s v="P002"/>
    <s v="Purchase"/>
    <n v="80"/>
    <n v="80"/>
    <x v="2"/>
    <s v="KeyPro"/>
    <s v="China"/>
    <n v="25"/>
    <n v="42"/>
    <s v="PO-73310"/>
    <n v="2000"/>
    <n v="0"/>
    <n v="2000"/>
  </r>
  <r>
    <s v="INV-01564"/>
    <d v="2025-11-17T00:00:00"/>
    <s v="P009"/>
    <s v="Purchase"/>
    <n v="82"/>
    <n v="82"/>
    <x v="0"/>
    <s v="ComfortPro"/>
    <s v="Poland"/>
    <n v="105"/>
    <n v="165"/>
    <s v="PO-72107"/>
    <n v="8610"/>
    <n v="0"/>
    <n v="8610"/>
  </r>
  <r>
    <s v="INV-00698"/>
    <d v="2025-11-17T00:00:00"/>
    <s v="P018"/>
    <s v="Sale"/>
    <n v="-9"/>
    <n v="-9"/>
    <x v="2"/>
    <s v="DataStore"/>
    <s v="South Korea"/>
    <n v="5.2"/>
    <n v="11"/>
    <m/>
    <n v="46.800000000000004"/>
    <n v="99"/>
    <n v="0"/>
  </r>
  <r>
    <s v="INV-00265"/>
    <d v="2025-11-18T00:00:00"/>
    <s v="P028"/>
    <s v="Purchase"/>
    <n v="108"/>
    <n v="108"/>
    <x v="2"/>
    <s v="PackRight"/>
    <s v="Poland"/>
    <n v="3"/>
    <n v="7"/>
    <s v="PO-30422"/>
    <n v="324"/>
    <n v="0"/>
    <n v="324"/>
  </r>
  <r>
    <s v="INV-00656"/>
    <d v="2025-11-18T00:00:00"/>
    <s v="P004"/>
    <s v="Purchase"/>
    <n v="40"/>
    <n v="40"/>
    <x v="0"/>
    <s v="SoundMax"/>
    <s v="Vietnam"/>
    <n v="20"/>
    <n v="35"/>
    <s v="PO-71860"/>
    <n v="800"/>
    <n v="0"/>
    <n v="800"/>
  </r>
  <r>
    <s v="INV-01364"/>
    <d v="2025-11-19T00:00:00"/>
    <s v="P021"/>
    <s v="Sale"/>
    <n v="-2"/>
    <n v="-2"/>
    <x v="2"/>
    <s v="TravelPro"/>
    <s v="Vietnam"/>
    <n v="25"/>
    <n v="45"/>
    <m/>
    <n v="50"/>
    <n v="90"/>
    <n v="0"/>
  </r>
  <r>
    <s v="INV-01273"/>
    <d v="2025-11-19T00:00:00"/>
    <s v="P025"/>
    <s v="Purchase"/>
    <n v="112"/>
    <n v="112"/>
    <x v="0"/>
    <s v="PaperMate"/>
    <s v="Germany"/>
    <n v="5.5"/>
    <n v="12"/>
    <s v="PO-85088"/>
    <n v="616"/>
    <n v="0"/>
    <n v="616"/>
  </r>
  <r>
    <s v="INV-01673"/>
    <d v="2025-11-19T00:00:00"/>
    <s v="P028"/>
    <s v="Sale"/>
    <n v="-1"/>
    <n v="-1"/>
    <x v="0"/>
    <s v="PackRight"/>
    <s v="Poland"/>
    <n v="3"/>
    <n v="7"/>
    <m/>
    <n v="3"/>
    <n v="7"/>
    <n v="0"/>
  </r>
  <r>
    <s v="INV-01313"/>
    <d v="2025-11-19T00:00:00"/>
    <s v="P018"/>
    <s v="Sale"/>
    <n v="-2"/>
    <n v="-2"/>
    <x v="1"/>
    <s v="DataStore"/>
    <s v="South Korea"/>
    <n v="5.2"/>
    <n v="11"/>
    <m/>
    <n v="10.4"/>
    <n v="22"/>
    <n v="0"/>
  </r>
  <r>
    <s v="INV-00642"/>
    <d v="2025-11-19T00:00:00"/>
    <s v="P011"/>
    <s v="Sale"/>
    <n v="-4"/>
    <n v="-4"/>
    <x v="0"/>
    <s v="PaperMate"/>
    <s v="Germany"/>
    <n v="2.6"/>
    <n v="5.5"/>
    <m/>
    <n v="10.4"/>
    <n v="22"/>
    <n v="0"/>
  </r>
  <r>
    <s v="INV-00794"/>
    <d v="2025-11-20T00:00:00"/>
    <s v="P020"/>
    <s v="Sale"/>
    <n v="-8"/>
    <n v="-8"/>
    <x v="3"/>
    <s v="PrintTech"/>
    <s v="Japan"/>
    <n v="30"/>
    <n v="48"/>
    <m/>
    <n v="240"/>
    <n v="384"/>
    <n v="0"/>
  </r>
  <r>
    <s v="INV-01631"/>
    <d v="2025-11-20T00:00:00"/>
    <s v="P024"/>
    <s v="Sale"/>
    <n v="-4"/>
    <n v="-4"/>
    <x v="1"/>
    <s v="CalcPlus"/>
    <s v="China"/>
    <n v="6"/>
    <n v="14"/>
    <m/>
    <n v="24"/>
    <n v="56"/>
    <n v="0"/>
  </r>
  <r>
    <s v="INV-00802"/>
    <d v="2025-11-20T00:00:00"/>
    <s v="P005"/>
    <s v="Purchase"/>
    <n v="41"/>
    <n v="41"/>
    <x v="1"/>
    <s v="VisionTech"/>
    <s v="China"/>
    <n v="18.5"/>
    <n v="31"/>
    <s v="PO-39714"/>
    <n v="758.5"/>
    <n v="0"/>
    <n v="758.5"/>
  </r>
  <r>
    <s v="INV-01074"/>
    <d v="2025-11-21T00:00:00"/>
    <s v="P001"/>
    <s v="Sale"/>
    <n v="-4"/>
    <n v="-4"/>
    <x v="1"/>
    <s v="TechGear"/>
    <s v="China"/>
    <n v="7.2"/>
    <n v="12.5"/>
    <m/>
    <n v="28.8"/>
    <n v="50"/>
    <n v="0"/>
  </r>
  <r>
    <s v="INV-00786"/>
    <d v="2025-11-21T00:00:00"/>
    <s v="P028"/>
    <s v="Sale"/>
    <n v="-4"/>
    <n v="-4"/>
    <x v="0"/>
    <s v="PackRight"/>
    <s v="Poland"/>
    <n v="3"/>
    <n v="7"/>
    <m/>
    <n v="12"/>
    <n v="28"/>
    <n v="0"/>
  </r>
  <r>
    <s v="INV-01393"/>
    <d v="2025-11-21T00:00:00"/>
    <s v="P005"/>
    <s v="Adjustment"/>
    <n v="18"/>
    <n v="18"/>
    <x v="0"/>
    <s v="VisionTech"/>
    <s v="China"/>
    <n v="18.5"/>
    <n v="31"/>
    <m/>
    <n v="333"/>
    <n v="0"/>
    <n v="0"/>
  </r>
  <r>
    <s v="INV-00586"/>
    <d v="2025-11-21T00:00:00"/>
    <s v="P008"/>
    <s v="Sale"/>
    <n v="-6"/>
    <n v="-6"/>
    <x v="2"/>
    <s v="BrightHome"/>
    <s v="China"/>
    <n v="13.5"/>
    <n v="24"/>
    <m/>
    <n v="81"/>
    <n v="144"/>
    <n v="0"/>
  </r>
  <r>
    <s v="INV-01428"/>
    <d v="2025-11-22T00:00:00"/>
    <s v="P029"/>
    <s v="Sale"/>
    <n v="-8"/>
    <n v="-8"/>
    <x v="0"/>
    <s v="PackRight"/>
    <s v="Poland"/>
    <n v="4"/>
    <n v="9"/>
    <m/>
    <n v="32"/>
    <n v="72"/>
    <n v="0"/>
  </r>
  <r>
    <s v="INV-00769"/>
    <d v="2025-11-22T00:00:00"/>
    <s v="P012"/>
    <s v="Sale"/>
    <n v="-8"/>
    <n v="-8"/>
    <x v="1"/>
    <s v="WriteWell"/>
    <s v="France"/>
    <n v="3.4"/>
    <n v="8"/>
    <m/>
    <n v="27.2"/>
    <n v="64"/>
    <n v="0"/>
  </r>
  <r>
    <s v="INV-01012"/>
    <d v="2025-11-22T00:00:00"/>
    <s v="P030"/>
    <s v="Sale"/>
    <n v="-11"/>
    <n v="-11"/>
    <x v="0"/>
    <s v="StoreMax"/>
    <s v="Germany"/>
    <n v="11"/>
    <n v="22"/>
    <m/>
    <n v="121"/>
    <n v="242"/>
    <n v="0"/>
  </r>
  <r>
    <s v="INV-01553"/>
    <d v="2025-11-22T00:00:00"/>
    <s v="P025"/>
    <s v="Return"/>
    <n v="2"/>
    <n v="2"/>
    <x v="0"/>
    <s v="PaperMate"/>
    <s v="Germany"/>
    <n v="5.5"/>
    <n v="12"/>
    <m/>
    <n v="11"/>
    <n v="0"/>
    <n v="0"/>
  </r>
  <r>
    <s v="INV-00850"/>
    <d v="2025-11-22T00:00:00"/>
    <s v="P019"/>
    <s v="Sale"/>
    <n v="-2"/>
    <n v="-2"/>
    <x v="1"/>
    <s v="PrintTech"/>
    <s v="Japan"/>
    <n v="145"/>
    <n v="210"/>
    <m/>
    <n v="290"/>
    <n v="420"/>
    <n v="0"/>
  </r>
  <r>
    <s v="INV-00088"/>
    <d v="2025-11-23T00:00:00"/>
    <s v="P021"/>
    <s v="Purchase"/>
    <n v="74"/>
    <n v="74"/>
    <x v="1"/>
    <s v="TravelPro"/>
    <s v="Vietnam"/>
    <n v="25"/>
    <n v="45"/>
    <s v="PO-59272"/>
    <n v="1850"/>
    <n v="0"/>
    <n v="1850"/>
  </r>
  <r>
    <s v="INV-00756"/>
    <d v="2025-11-23T00:00:00"/>
    <s v="P025"/>
    <s v="Adjustment"/>
    <n v="1"/>
    <n v="1"/>
    <x v="2"/>
    <s v="PaperMate"/>
    <s v="Germany"/>
    <n v="5.5"/>
    <n v="12"/>
    <m/>
    <n v="5.5"/>
    <n v="0"/>
    <n v="0"/>
  </r>
  <r>
    <s v="INV-00082"/>
    <d v="2025-11-23T00:00:00"/>
    <s v="P020"/>
    <s v="Sale"/>
    <n v="-2"/>
    <n v="-2"/>
    <x v="0"/>
    <s v="PrintTech"/>
    <s v="Japan"/>
    <n v="30"/>
    <n v="48"/>
    <m/>
    <n v="60"/>
    <n v="96"/>
    <n v="0"/>
  </r>
  <r>
    <s v="INV-01217"/>
    <d v="2025-11-24T00:00:00"/>
    <s v="P003"/>
    <s v="Sale"/>
    <n v="-10"/>
    <n v="-10"/>
    <x v="0"/>
    <s v="ConnectX"/>
    <s v="China"/>
    <n v="16.5"/>
    <n v="28"/>
    <m/>
    <n v="165"/>
    <n v="280"/>
    <n v="0"/>
  </r>
  <r>
    <s v="INV-01586"/>
    <d v="2025-11-24T00:00:00"/>
    <s v="P004"/>
    <s v="Sale"/>
    <n v="-4"/>
    <n v="-4"/>
    <x v="0"/>
    <s v="SoundMax"/>
    <s v="Vietnam"/>
    <n v="20"/>
    <n v="35"/>
    <m/>
    <n v="80"/>
    <n v="140"/>
    <n v="0"/>
  </r>
  <r>
    <s v="INV-01275"/>
    <d v="2025-11-25T00:00:00"/>
    <s v="P016"/>
    <s v="Sale"/>
    <n v="-3"/>
    <n v="-3"/>
    <x v="0"/>
    <s v="ConnectX"/>
    <s v="China"/>
    <n v="4.2"/>
    <n v="10"/>
    <m/>
    <n v="12.600000000000001"/>
    <n v="30"/>
    <n v="0"/>
  </r>
  <r>
    <s v="INV-01211"/>
    <d v="2025-11-25T00:00:00"/>
    <s v="P014"/>
    <s v="Sale"/>
    <n v="-5"/>
    <n v="-5"/>
    <x v="2"/>
    <s v="DataStore"/>
    <s v="South Korea"/>
    <n v="63"/>
    <n v="95"/>
    <m/>
    <n v="315"/>
    <n v="475"/>
    <n v="0"/>
  </r>
  <r>
    <s v="INV-00441"/>
    <d v="2025-11-25T00:00:00"/>
    <s v="P003"/>
    <s v="Sale"/>
    <n v="-1"/>
    <n v="-1"/>
    <x v="2"/>
    <s v="ConnectX"/>
    <s v="China"/>
    <n v="16.5"/>
    <n v="28"/>
    <m/>
    <n v="16.5"/>
    <n v="28"/>
    <n v="0"/>
  </r>
  <r>
    <s v="INV-00663"/>
    <d v="2025-11-25T00:00:00"/>
    <s v="P020"/>
    <s v="Sale"/>
    <n v="-6"/>
    <n v="-6"/>
    <x v="1"/>
    <s v="PrintTech"/>
    <s v="Japan"/>
    <n v="30"/>
    <n v="48"/>
    <m/>
    <n v="180"/>
    <n v="288"/>
    <n v="0"/>
  </r>
  <r>
    <s v="INV-00328"/>
    <d v="2025-11-26T00:00:00"/>
    <s v="P020"/>
    <s v="Purchase"/>
    <n v="91"/>
    <n v="91"/>
    <x v="0"/>
    <s v="PrintTech"/>
    <s v="Japan"/>
    <n v="30"/>
    <n v="48"/>
    <s v="PO-98779"/>
    <n v="2730"/>
    <n v="0"/>
    <n v="2730"/>
  </r>
  <r>
    <s v="INV-01186"/>
    <d v="2025-11-26T00:00:00"/>
    <s v="P029"/>
    <s v="Adjustment"/>
    <n v="12"/>
    <n v="12"/>
    <x v="0"/>
    <s v="PackRight"/>
    <s v="Poland"/>
    <n v="4"/>
    <n v="9"/>
    <m/>
    <n v="48"/>
    <n v="0"/>
    <n v="0"/>
  </r>
  <r>
    <s v="INV-00446"/>
    <d v="2025-11-26T00:00:00"/>
    <s v="P029"/>
    <s v="Sale"/>
    <n v="-10"/>
    <n v="-10"/>
    <x v="1"/>
    <s v="PackRight"/>
    <s v="Poland"/>
    <n v="4"/>
    <n v="9"/>
    <m/>
    <n v="40"/>
    <n v="90"/>
    <n v="0"/>
  </r>
  <r>
    <s v="INV-01397"/>
    <d v="2025-11-26T00:00:00"/>
    <s v="P014"/>
    <s v="Adjustment"/>
    <n v="-1"/>
    <n v="-1"/>
    <x v="1"/>
    <s v="DataStore"/>
    <s v="South Korea"/>
    <n v="63"/>
    <n v="95"/>
    <m/>
    <n v="63"/>
    <n v="0"/>
    <n v="0"/>
  </r>
  <r>
    <s v="INV-01028"/>
    <d v="2025-11-27T00:00:00"/>
    <s v="P027"/>
    <s v="Purchase"/>
    <n v="78"/>
    <n v="78"/>
    <x v="1"/>
    <s v="PrintTech"/>
    <s v="Japan"/>
    <n v="82"/>
    <n v="135"/>
    <s v="PO-23453"/>
    <n v="6396"/>
    <n v="0"/>
    <n v="6396"/>
  </r>
  <r>
    <s v="INV-01385"/>
    <d v="2025-11-28T00:00:00"/>
    <s v="P021"/>
    <s v="Sale"/>
    <n v="-9"/>
    <n v="-9"/>
    <x v="1"/>
    <s v="TravelPro"/>
    <s v="Vietnam"/>
    <n v="25"/>
    <n v="45"/>
    <m/>
    <n v="225"/>
    <n v="405"/>
    <n v="0"/>
  </r>
  <r>
    <s v="INV-01369"/>
    <d v="2025-11-28T00:00:00"/>
    <s v="P006"/>
    <s v="Sale"/>
    <n v="-15"/>
    <n v="-15"/>
    <x v="2"/>
    <s v="ViewPlus"/>
    <s v="South Korea"/>
    <n v="130"/>
    <n v="185"/>
    <m/>
    <n v="1950"/>
    <n v="2775"/>
    <n v="0"/>
  </r>
  <r>
    <s v="INV-01800"/>
    <d v="2025-11-28T00:00:00"/>
    <s v="P001"/>
    <s v="Sale"/>
    <n v="-13"/>
    <n v="-13"/>
    <x v="1"/>
    <s v="TechGear"/>
    <s v="China"/>
    <n v="7.2"/>
    <n v="12.5"/>
    <m/>
    <n v="93.600000000000009"/>
    <n v="162.5"/>
    <n v="0"/>
  </r>
  <r>
    <s v="INV-00776"/>
    <d v="2025-11-28T00:00:00"/>
    <s v="P005"/>
    <s v="Sale"/>
    <n v="-10"/>
    <n v="-10"/>
    <x v="0"/>
    <s v="VisionTech"/>
    <s v="China"/>
    <n v="18.5"/>
    <n v="31"/>
    <m/>
    <n v="185"/>
    <n v="310"/>
    <n v="0"/>
  </r>
  <r>
    <s v="INV-01740"/>
    <d v="2025-11-29T00:00:00"/>
    <s v="P013"/>
    <s v="Purchase"/>
    <n v="26"/>
    <n v="26"/>
    <x v="0"/>
    <s v="DeskWorks"/>
    <s v="China"/>
    <n v="8"/>
    <n v="15"/>
    <s v="PO-46923"/>
    <n v="208"/>
    <n v="0"/>
    <n v="208"/>
  </r>
  <r>
    <s v="INV-01066"/>
    <d v="2025-11-29T00:00:00"/>
    <s v="P024"/>
    <s v="Sale"/>
    <n v="-7"/>
    <n v="-7"/>
    <x v="2"/>
    <s v="CalcPlus"/>
    <s v="China"/>
    <n v="6"/>
    <n v="14"/>
    <m/>
    <n v="42"/>
    <n v="98"/>
    <n v="0"/>
  </r>
  <r>
    <s v="INV-01759"/>
    <d v="2025-11-29T00:00:00"/>
    <s v="P003"/>
    <s v="Purchase"/>
    <n v="100"/>
    <n v="100"/>
    <x v="2"/>
    <s v="ConnectX"/>
    <s v="China"/>
    <n v="16.5"/>
    <n v="28"/>
    <s v="PO-19304"/>
    <n v="1650"/>
    <n v="0"/>
    <n v="1650"/>
  </r>
  <r>
    <s v="INV-00569"/>
    <d v="2025-11-29T00:00:00"/>
    <s v="P028"/>
    <s v="Sale"/>
    <n v="-10"/>
    <n v="-10"/>
    <x v="2"/>
    <s v="PackRight"/>
    <s v="Poland"/>
    <n v="3"/>
    <n v="7"/>
    <m/>
    <n v="30"/>
    <n v="70"/>
    <n v="0"/>
  </r>
  <r>
    <s v="INV-01285"/>
    <d v="2025-11-29T00:00:00"/>
    <s v="P011"/>
    <s v="Sale"/>
    <n v="-8"/>
    <n v="-8"/>
    <x v="1"/>
    <s v="PaperMate"/>
    <s v="Germany"/>
    <n v="2.6"/>
    <n v="5.5"/>
    <m/>
    <n v="20.8"/>
    <n v="44"/>
    <n v="0"/>
  </r>
  <r>
    <s v="INV-00117"/>
    <d v="2025-11-30T00:00:00"/>
    <s v="P025"/>
    <s v="Sale"/>
    <n v="-1"/>
    <n v="-1"/>
    <x v="0"/>
    <s v="PaperMate"/>
    <s v="Germany"/>
    <n v="5.5"/>
    <n v="12"/>
    <m/>
    <n v="5.5"/>
    <n v="12"/>
    <n v="0"/>
  </r>
  <r>
    <s v="INV-01310"/>
    <d v="2025-11-30T00:00:00"/>
    <s v="P025"/>
    <s v="Sale"/>
    <n v="-8"/>
    <n v="-8"/>
    <x v="0"/>
    <s v="PaperMate"/>
    <s v="Germany"/>
    <n v="5.5"/>
    <n v="12"/>
    <m/>
    <n v="44"/>
    <n v="96"/>
    <n v="0"/>
  </r>
  <r>
    <s v="INV-00239"/>
    <d v="2025-11-30T00:00:00"/>
    <s v="P021"/>
    <s v="Purchase"/>
    <n v="34"/>
    <n v="34"/>
    <x v="0"/>
    <s v="TravelPro"/>
    <s v="Vietnam"/>
    <n v="25"/>
    <n v="45"/>
    <s v="PO-28891"/>
    <n v="850"/>
    <n v="0"/>
    <n v="850"/>
  </r>
  <r>
    <s v="INV-00237"/>
    <d v="2025-11-30T00:00:00"/>
    <s v="P010"/>
    <s v="Purchase"/>
    <n v="46"/>
    <n v="46"/>
    <x v="1"/>
    <s v="ErgoSpace"/>
    <s v="Germany"/>
    <n v="220"/>
    <n v="320"/>
    <s v="PO-47449"/>
    <n v="10120"/>
    <n v="0"/>
    <n v="10120"/>
  </r>
  <r>
    <s v="INV-00855"/>
    <d v="2025-12-01T00:00:00"/>
    <s v="P007"/>
    <s v="Sale"/>
    <n v="-4"/>
    <n v="-4"/>
    <x v="0"/>
    <s v="DeskWorks"/>
    <s v="China"/>
    <n v="16"/>
    <n v="29"/>
    <m/>
    <n v="64"/>
    <n v="116"/>
    <n v="0"/>
  </r>
  <r>
    <s v="INV-01135"/>
    <d v="2025-12-01T00:00:00"/>
    <s v="P022"/>
    <s v="Sale"/>
    <n v="-4"/>
    <n v="-4"/>
    <x v="0"/>
    <s v="HydroLife"/>
    <s v="Germany"/>
    <n v="8.5"/>
    <n v="18"/>
    <m/>
    <n v="34"/>
    <n v="72"/>
    <n v="0"/>
  </r>
  <r>
    <s v="INV-01626"/>
    <d v="2025-12-01T00:00:00"/>
    <s v="P022"/>
    <s v="Sale"/>
    <n v="-7"/>
    <n v="-7"/>
    <x v="1"/>
    <s v="HydroLife"/>
    <s v="Germany"/>
    <n v="8.5"/>
    <n v="18"/>
    <m/>
    <n v="59.5"/>
    <n v="126"/>
    <n v="0"/>
  </r>
  <r>
    <s v="INV-00689"/>
    <d v="2025-12-01T00:00:00"/>
    <s v="P024"/>
    <s v="Sale"/>
    <n v="-3"/>
    <n v="-3"/>
    <x v="0"/>
    <s v="CalcPlus"/>
    <s v="China"/>
    <n v="6"/>
    <n v="14"/>
    <m/>
    <n v="18"/>
    <n v="42"/>
    <n v="0"/>
  </r>
  <r>
    <s v="INV-00234"/>
    <d v="2025-12-02T00:00:00"/>
    <s v="P016"/>
    <s v="Adjustment"/>
    <n v="5"/>
    <n v="5"/>
    <x v="0"/>
    <s v="ConnectX"/>
    <s v="China"/>
    <n v="4.2"/>
    <n v="10"/>
    <m/>
    <n v="21"/>
    <n v="0"/>
    <n v="0"/>
  </r>
  <r>
    <s v="INV-00470"/>
    <d v="2025-12-02T00:00:00"/>
    <s v="P029"/>
    <s v="Sale"/>
    <n v="-9"/>
    <n v="-9"/>
    <x v="0"/>
    <s v="PackRight"/>
    <s v="Poland"/>
    <n v="4"/>
    <n v="9"/>
    <m/>
    <n v="36"/>
    <n v="81"/>
    <n v="0"/>
  </r>
  <r>
    <s v="INV-01627"/>
    <d v="2025-12-02T00:00:00"/>
    <s v="P007"/>
    <s v="Sale"/>
    <n v="-15"/>
    <n v="-15"/>
    <x v="2"/>
    <s v="DeskWorks"/>
    <s v="China"/>
    <n v="16"/>
    <n v="29"/>
    <m/>
    <n v="240"/>
    <n v="435"/>
    <n v="0"/>
  </r>
  <r>
    <s v="INV-00520"/>
    <d v="2025-12-02T00:00:00"/>
    <s v="P005"/>
    <s v="Sale"/>
    <n v="-15"/>
    <n v="-15"/>
    <x v="2"/>
    <s v="VisionTech"/>
    <s v="China"/>
    <n v="18.5"/>
    <n v="31"/>
    <m/>
    <n v="277.5"/>
    <n v="465"/>
    <n v="0"/>
  </r>
  <r>
    <s v="INV-00830"/>
    <d v="2025-12-02T00:00:00"/>
    <s v="P015"/>
    <s v="Sale"/>
    <n v="-2"/>
    <n v="-2"/>
    <x v="0"/>
    <s v="VoltPro"/>
    <s v="China"/>
    <n v="23"/>
    <n v="38"/>
    <m/>
    <n v="46"/>
    <n v="76"/>
    <n v="0"/>
  </r>
  <r>
    <s v="INV-01094"/>
    <d v="2025-12-02T00:00:00"/>
    <s v="P016"/>
    <s v="Sale"/>
    <n v="-4"/>
    <n v="-4"/>
    <x v="2"/>
    <s v="ConnectX"/>
    <s v="China"/>
    <n v="4.2"/>
    <n v="10"/>
    <m/>
    <n v="16.8"/>
    <n v="40"/>
    <n v="0"/>
  </r>
  <r>
    <s v="INV-01118"/>
    <d v="2025-12-03T00:00:00"/>
    <s v="P028"/>
    <s v="Sale"/>
    <n v="-11"/>
    <n v="-11"/>
    <x v="0"/>
    <s v="PackRight"/>
    <s v="Poland"/>
    <n v="3"/>
    <n v="7"/>
    <m/>
    <n v="33"/>
    <n v="77"/>
    <n v="0"/>
  </r>
  <r>
    <s v="INV-00257"/>
    <d v="2025-12-03T00:00:00"/>
    <s v="P029"/>
    <s v="Sale"/>
    <n v="-1"/>
    <n v="-1"/>
    <x v="2"/>
    <s v="PackRight"/>
    <s v="Poland"/>
    <n v="4"/>
    <n v="9"/>
    <m/>
    <n v="4"/>
    <n v="9"/>
    <n v="0"/>
  </r>
  <r>
    <s v="INV-00176"/>
    <d v="2025-12-03T00:00:00"/>
    <s v="P006"/>
    <s v="Adjustment"/>
    <n v="5"/>
    <n v="5"/>
    <x v="0"/>
    <s v="ViewPlus"/>
    <s v="South Korea"/>
    <n v="130"/>
    <n v="185"/>
    <m/>
    <n v="650"/>
    <n v="0"/>
    <n v="0"/>
  </r>
  <r>
    <s v="INV-01778"/>
    <d v="2025-12-03T00:00:00"/>
    <s v="P015"/>
    <s v="Sale"/>
    <n v="-2"/>
    <n v="-2"/>
    <x v="0"/>
    <s v="VoltPro"/>
    <s v="China"/>
    <n v="23"/>
    <n v="38"/>
    <m/>
    <n v="46"/>
    <n v="76"/>
    <n v="0"/>
  </r>
  <r>
    <s v="INV-00194"/>
    <d v="2025-12-04T00:00:00"/>
    <s v="P021"/>
    <s v="Purchase"/>
    <n v="118"/>
    <n v="118"/>
    <x v="0"/>
    <s v="TravelPro"/>
    <s v="Vietnam"/>
    <n v="25"/>
    <n v="45"/>
    <s v="PO-74377"/>
    <n v="2950"/>
    <n v="0"/>
    <n v="2950"/>
  </r>
  <r>
    <s v="INV-00209"/>
    <d v="2025-12-04T00:00:00"/>
    <s v="P001"/>
    <s v="Purchase"/>
    <n v="46"/>
    <n v="46"/>
    <x v="2"/>
    <s v="TechGear"/>
    <s v="China"/>
    <n v="7.2"/>
    <n v="12.5"/>
    <s v="PO-41357"/>
    <n v="331.2"/>
    <n v="0"/>
    <n v="331.2"/>
  </r>
  <r>
    <s v="INV-00913"/>
    <d v="2025-12-04T00:00:00"/>
    <s v="P020"/>
    <s v="Sale"/>
    <n v="-14"/>
    <n v="-14"/>
    <x v="1"/>
    <s v="PrintTech"/>
    <s v="Japan"/>
    <n v="30"/>
    <n v="48"/>
    <m/>
    <n v="420"/>
    <n v="672"/>
    <n v="0"/>
  </r>
  <r>
    <s v="INV-01475"/>
    <d v="2025-12-04T00:00:00"/>
    <s v="P011"/>
    <s v="Sale"/>
    <n v="-8"/>
    <n v="-8"/>
    <x v="0"/>
    <s v="PaperMate"/>
    <s v="Germany"/>
    <n v="2.6"/>
    <n v="5.5"/>
    <m/>
    <n v="20.8"/>
    <n v="44"/>
    <n v="0"/>
  </r>
  <r>
    <s v="INV-00426"/>
    <d v="2025-12-05T00:00:00"/>
    <s v="P018"/>
    <s v="Sale"/>
    <n v="-3"/>
    <n v="-3"/>
    <x v="2"/>
    <s v="DataStore"/>
    <s v="South Korea"/>
    <n v="5.2"/>
    <n v="11"/>
    <m/>
    <n v="15.600000000000001"/>
    <n v="33"/>
    <n v="0"/>
  </r>
  <r>
    <s v="INV-01636"/>
    <d v="2025-12-05T00:00:00"/>
    <s v="P008"/>
    <s v="Sale"/>
    <n v="-2"/>
    <n v="-2"/>
    <x v="0"/>
    <s v="BrightHome"/>
    <s v="China"/>
    <n v="13.5"/>
    <n v="24"/>
    <m/>
    <n v="27"/>
    <n v="48"/>
    <n v="0"/>
  </r>
  <r>
    <s v="INV-00268"/>
    <d v="2025-12-05T00:00:00"/>
    <s v="P023"/>
    <s v="Purchase"/>
    <n v="105"/>
    <n v="105"/>
    <x v="0"/>
    <s v="DeskWorks"/>
    <s v="China"/>
    <n v="8.8000000000000007"/>
    <n v="17"/>
    <s v="PO-43481"/>
    <n v="924.00000000000011"/>
    <n v="0"/>
    <n v="924.00000000000011"/>
  </r>
  <r>
    <s v="INV-00096"/>
    <d v="2025-12-06T00:00:00"/>
    <s v="P016"/>
    <s v="Sale"/>
    <n v="-10"/>
    <n v="-10"/>
    <x v="0"/>
    <s v="ConnectX"/>
    <s v="China"/>
    <n v="4.2"/>
    <n v="10"/>
    <m/>
    <n v="42"/>
    <n v="100"/>
    <n v="0"/>
  </r>
  <r>
    <s v="INV-01355"/>
    <d v="2025-12-07T00:00:00"/>
    <s v="P016"/>
    <s v="Sale"/>
    <n v="-8"/>
    <n v="-8"/>
    <x v="2"/>
    <s v="ConnectX"/>
    <s v="China"/>
    <n v="4.2"/>
    <n v="10"/>
    <m/>
    <n v="33.6"/>
    <n v="80"/>
    <n v="0"/>
  </r>
  <r>
    <s v="INV-00182"/>
    <d v="2025-12-07T00:00:00"/>
    <s v="P003"/>
    <s v="Sale"/>
    <n v="-4"/>
    <n v="-4"/>
    <x v="0"/>
    <s v="ConnectX"/>
    <s v="China"/>
    <n v="16.5"/>
    <n v="28"/>
    <m/>
    <n v="66"/>
    <n v="112"/>
    <n v="0"/>
  </r>
  <r>
    <s v="INV-00982"/>
    <d v="2025-12-08T00:00:00"/>
    <s v="P024"/>
    <s v="Sale"/>
    <n v="-6"/>
    <n v="-6"/>
    <x v="0"/>
    <s v="CalcPlus"/>
    <s v="China"/>
    <n v="6"/>
    <n v="14"/>
    <m/>
    <n v="36"/>
    <n v="84"/>
    <n v="0"/>
  </r>
  <r>
    <s v="INV-00400"/>
    <d v="2025-12-09T00:00:00"/>
    <s v="P024"/>
    <s v="Sale"/>
    <n v="-2"/>
    <n v="-2"/>
    <x v="0"/>
    <s v="CalcPlus"/>
    <s v="China"/>
    <n v="6"/>
    <n v="14"/>
    <m/>
    <n v="12"/>
    <n v="28"/>
    <n v="0"/>
  </r>
  <r>
    <s v="INV-00385"/>
    <d v="2025-09-12T00:00:00"/>
    <s v="P024"/>
    <s v="Sale"/>
    <n v="-13"/>
    <n v="-13"/>
    <x v="1"/>
    <s v="CalcPlus"/>
    <s v="China"/>
    <n v="6"/>
    <n v="14"/>
    <m/>
    <n v="78"/>
    <n v="182"/>
    <n v="0"/>
  </r>
  <r>
    <s v="INV-01346"/>
    <d v="2025-12-09T00:00:00"/>
    <s v="P014"/>
    <s v="Sale"/>
    <n v="-4"/>
    <n v="-4"/>
    <x v="2"/>
    <s v="DataStore"/>
    <s v="South Korea"/>
    <n v="63"/>
    <n v="95"/>
    <m/>
    <n v="252"/>
    <n v="380"/>
    <n v="0"/>
  </r>
  <r>
    <s v="INV-01555"/>
    <d v="2025-12-10T00:00:00"/>
    <s v="P008"/>
    <s v="Purchase"/>
    <n v="37"/>
    <n v="37"/>
    <x v="2"/>
    <s v="BrightHome"/>
    <s v="China"/>
    <n v="13.5"/>
    <n v="24"/>
    <s v="PO-33284"/>
    <n v="499.5"/>
    <n v="0"/>
    <n v="499.5"/>
  </r>
  <r>
    <s v="INV-00686"/>
    <d v="2025-12-10T00:00:00"/>
    <s v="P018"/>
    <s v="Adjustment"/>
    <n v="-4"/>
    <n v="-4"/>
    <x v="2"/>
    <s v="DataStore"/>
    <s v="South Korea"/>
    <n v="5.2"/>
    <n v="11"/>
    <m/>
    <n v="20.8"/>
    <n v="0"/>
    <n v="0"/>
  </r>
  <r>
    <s v="INV-01431"/>
    <d v="2025-12-10T00:00:00"/>
    <s v="P015"/>
    <s v="Sale"/>
    <n v="-9"/>
    <n v="-9"/>
    <x v="0"/>
    <s v="VoltPro"/>
    <s v="China"/>
    <n v="23"/>
    <n v="38"/>
    <m/>
    <n v="207"/>
    <n v="342"/>
    <n v="0"/>
  </r>
  <r>
    <s v="INV-00168"/>
    <d v="2025-12-10T00:00:00"/>
    <s v="P006"/>
    <s v="Sale"/>
    <n v="-11"/>
    <n v="-11"/>
    <x v="2"/>
    <s v="ViewPlus"/>
    <s v="South Korea"/>
    <n v="130"/>
    <n v="185"/>
    <m/>
    <n v="1430"/>
    <n v="2035"/>
    <n v="0"/>
  </r>
  <r>
    <s v="INV-01744"/>
    <d v="2025-12-11T00:00:00"/>
    <s v="P001"/>
    <s v="Sale"/>
    <n v="-6"/>
    <n v="-6"/>
    <x v="0"/>
    <s v="TechGear"/>
    <s v="China"/>
    <n v="7.2"/>
    <n v="12.5"/>
    <m/>
    <n v="43.2"/>
    <n v="75"/>
    <n v="0"/>
  </r>
  <r>
    <s v="INV-00941"/>
    <d v="2025-12-12T00:00:00"/>
    <s v="P009"/>
    <s v="Sale"/>
    <n v="-15"/>
    <n v="-15"/>
    <x v="0"/>
    <s v="ComfortPro"/>
    <s v="Poland"/>
    <n v="105"/>
    <n v="165"/>
    <m/>
    <n v="1575"/>
    <n v="2475"/>
    <n v="0"/>
  </r>
  <r>
    <s v="INV-01339"/>
    <d v="2025-12-13T00:00:00"/>
    <s v="P002"/>
    <s v="Sale"/>
    <n v="-12"/>
    <n v="-12"/>
    <x v="0"/>
    <s v="KeyPro"/>
    <s v="China"/>
    <n v="25"/>
    <n v="42"/>
    <m/>
    <n v="300"/>
    <n v="504"/>
    <n v="0"/>
  </r>
  <r>
    <s v="INV-00810"/>
    <d v="2025-12-14T00:00:00"/>
    <s v="P003"/>
    <s v="Purchase"/>
    <n v="108"/>
    <n v="108"/>
    <x v="0"/>
    <s v="ConnectX"/>
    <s v="China"/>
    <n v="16.5"/>
    <n v="28"/>
    <s v="PO-41589"/>
    <n v="1782"/>
    <n v="0"/>
    <n v="1782"/>
  </r>
  <r>
    <s v="INV-01684"/>
    <d v="2025-12-14T00:00:00"/>
    <s v="P026"/>
    <s v="Return"/>
    <n v="2"/>
    <n v="2"/>
    <x v="1"/>
    <s v="ScanPro"/>
    <s v="China"/>
    <n v="78"/>
    <n v="125"/>
    <m/>
    <n v="156"/>
    <n v="0"/>
    <n v="0"/>
  </r>
  <r>
    <s v="INV-01647"/>
    <d v="2025-12-15T00:00:00"/>
    <s v="P004"/>
    <s v="Sale"/>
    <n v="-11"/>
    <n v="-11"/>
    <x v="0"/>
    <s v="SoundMax"/>
    <s v="Vietnam"/>
    <n v="20"/>
    <n v="35"/>
    <m/>
    <n v="220"/>
    <n v="385"/>
    <n v="0"/>
  </r>
  <r>
    <s v="INV-00894"/>
    <d v="2025-12-15T00:00:00"/>
    <s v="P013"/>
    <s v="Sale"/>
    <n v="-1"/>
    <n v="-1"/>
    <x v="0"/>
    <s v="DeskWorks"/>
    <s v="China"/>
    <n v="8"/>
    <n v="15"/>
    <m/>
    <n v="8"/>
    <n v="15"/>
    <n v="0"/>
  </r>
  <r>
    <s v="INV-00875"/>
    <d v="2025-12-16T00:00:00"/>
    <s v="P001"/>
    <s v="Return"/>
    <n v="3"/>
    <n v="3"/>
    <x v="1"/>
    <s v="TechGear"/>
    <s v="China"/>
    <n v="7.2"/>
    <n v="12.5"/>
    <m/>
    <n v="21.6"/>
    <n v="0"/>
    <n v="0"/>
  </r>
  <r>
    <s v="INV-01299"/>
    <d v="2025-12-17T00:00:00"/>
    <s v="P021"/>
    <s v="Purchase"/>
    <n v="60"/>
    <n v="60"/>
    <x v="0"/>
    <s v="TravelPro"/>
    <s v="Vietnam"/>
    <n v="25"/>
    <n v="45"/>
    <s v="PO-91131"/>
    <n v="1500"/>
    <n v="0"/>
    <n v="1500"/>
  </r>
  <r>
    <s v="INV-00744"/>
    <d v="2025-12-17T00:00:00"/>
    <s v="P016"/>
    <s v="Sale"/>
    <n v="-11"/>
    <n v="-11"/>
    <x v="2"/>
    <s v="ConnectX"/>
    <s v="China"/>
    <n v="4.2"/>
    <n v="10"/>
    <m/>
    <n v="46.2"/>
    <n v="110"/>
    <n v="0"/>
  </r>
  <r>
    <s v="INV-00892"/>
    <d v="2025-12-17T00:00:00"/>
    <s v="P028"/>
    <s v="Sale"/>
    <n v="-15"/>
    <n v="-15"/>
    <x v="2"/>
    <s v="PackRight"/>
    <s v="Poland"/>
    <n v="3"/>
    <n v="7"/>
    <m/>
    <n v="45"/>
    <n v="105"/>
    <n v="0"/>
  </r>
  <r>
    <s v="INV-01183"/>
    <d v="2025-12-18T00:00:00"/>
    <s v="P021"/>
    <s v="Sale"/>
    <n v="-1"/>
    <n v="-1"/>
    <x v="1"/>
    <s v="TravelPro"/>
    <s v="Vietnam"/>
    <n v="25"/>
    <n v="45"/>
    <m/>
    <n v="25"/>
    <n v="45"/>
    <n v="0"/>
  </r>
  <r>
    <s v="INV-00174"/>
    <d v="2025-12-18T00:00:00"/>
    <s v="P008"/>
    <s v="Sale"/>
    <n v="-2"/>
    <n v="-2"/>
    <x v="0"/>
    <s v="BrightHome"/>
    <s v="China"/>
    <n v="13.5"/>
    <n v="24"/>
    <m/>
    <n v="27"/>
    <n v="48"/>
    <n v="0"/>
  </r>
  <r>
    <s v="INV-00375"/>
    <d v="2025-12-18T00:00:00"/>
    <s v="P002"/>
    <s v="Purchase"/>
    <n v="97"/>
    <n v="97"/>
    <x v="1"/>
    <s v="KeyPro"/>
    <s v="China"/>
    <n v="25"/>
    <n v="42"/>
    <s v="PO-90738"/>
    <n v="2425"/>
    <n v="0"/>
    <n v="2425"/>
  </r>
  <r>
    <s v="INV-00475"/>
    <d v="2025-12-19T00:00:00"/>
    <s v="P017"/>
    <s v="Adjustment"/>
    <n v="12"/>
    <n v="12"/>
    <x v="0"/>
    <s v="SoundMax"/>
    <s v="Vietnam"/>
    <n v="34"/>
    <n v="55"/>
    <m/>
    <n v="408"/>
    <n v="0"/>
    <n v="0"/>
  </r>
  <r>
    <s v="INV-00827"/>
    <d v="2025-12-19T00:00:00"/>
    <s v="P012"/>
    <s v="Purchase"/>
    <n v="43"/>
    <n v="43"/>
    <x v="2"/>
    <s v="WriteWell"/>
    <s v="France"/>
    <n v="3.4"/>
    <n v="8"/>
    <s v="PO-80825"/>
    <n v="146.19999999999999"/>
    <n v="0"/>
    <n v="146.19999999999999"/>
  </r>
  <r>
    <s v="INV-01584"/>
    <d v="2025-12-20T00:00:00"/>
    <s v="P016"/>
    <s v="Purchase"/>
    <n v="112"/>
    <n v="112"/>
    <x v="2"/>
    <s v="ConnectX"/>
    <s v="China"/>
    <n v="4.2"/>
    <n v="10"/>
    <s v="PO-75424"/>
    <n v="470.40000000000003"/>
    <n v="0"/>
    <n v="470.40000000000003"/>
  </r>
  <r>
    <s v="INV-01203"/>
    <d v="2025-12-20T00:00:00"/>
    <s v="P001"/>
    <s v="Purchase"/>
    <n v="63"/>
    <n v="63"/>
    <x v="0"/>
    <s v="TechGear"/>
    <s v="China"/>
    <n v="7.2"/>
    <n v="12.5"/>
    <s v="PO-77021"/>
    <n v="453.6"/>
    <n v="0"/>
    <n v="453.6"/>
  </r>
  <r>
    <s v="INV-01739"/>
    <d v="2025-12-20T00:00:00"/>
    <s v="P012"/>
    <s v="Sale"/>
    <n v="-13"/>
    <n v="-13"/>
    <x v="2"/>
    <s v="WriteWell"/>
    <s v="France"/>
    <n v="3.4"/>
    <n v="8"/>
    <m/>
    <n v="44.199999999999996"/>
    <n v="104"/>
    <n v="0"/>
  </r>
  <r>
    <s v="INV-00216"/>
    <d v="2025-12-21T00:00:00"/>
    <s v="P008"/>
    <s v="Sale"/>
    <n v="-7"/>
    <n v="-7"/>
    <x v="0"/>
    <s v="BrightHome"/>
    <s v="China"/>
    <n v="13.5"/>
    <n v="24"/>
    <m/>
    <n v="94.5"/>
    <n v="168"/>
    <n v="0"/>
  </r>
  <r>
    <s v="INV-00453"/>
    <d v="2025-12-21T00:00:00"/>
    <s v="P014"/>
    <s v="Sale"/>
    <n v="-12"/>
    <n v="-12"/>
    <x v="0"/>
    <s v="DataStore"/>
    <s v="South Korea"/>
    <n v="63"/>
    <n v="95"/>
    <m/>
    <n v="756"/>
    <n v="1140"/>
    <n v="0"/>
  </r>
  <r>
    <s v="INV-00807"/>
    <d v="2025-12-21T00:00:00"/>
    <s v="P029"/>
    <s v="Purchase"/>
    <n v="99"/>
    <n v="99"/>
    <x v="0"/>
    <s v="PackRight"/>
    <s v="Poland"/>
    <n v="4"/>
    <n v="9"/>
    <s v="PO-65048"/>
    <n v="396"/>
    <n v="0"/>
    <n v="396"/>
  </r>
  <r>
    <s v="INV-01293"/>
    <d v="2025-12-22T00:00:00"/>
    <s v="P018"/>
    <s v="Sale"/>
    <n v="-5"/>
    <n v="-5"/>
    <x v="2"/>
    <s v="DataStore"/>
    <s v="South Korea"/>
    <n v="5.2"/>
    <n v="11"/>
    <m/>
    <n v="26"/>
    <n v="55"/>
    <n v="0"/>
  </r>
  <r>
    <s v="INV-01081"/>
    <d v="2025-12-22T00:00:00"/>
    <s v="P025"/>
    <s v="Purchase"/>
    <n v="86"/>
    <n v="86"/>
    <x v="0"/>
    <s v="PaperMate"/>
    <s v="Germany"/>
    <n v="5.5"/>
    <n v="12"/>
    <s v="PO-90903"/>
    <n v="473"/>
    <n v="0"/>
    <n v="473"/>
  </r>
  <r>
    <s v="INV-00273"/>
    <d v="2025-12-22T00:00:00"/>
    <s v="P028"/>
    <s v="Purchase"/>
    <n v="57"/>
    <n v="57"/>
    <x v="2"/>
    <s v="PackRight"/>
    <s v="Poland"/>
    <n v="3"/>
    <n v="7"/>
    <s v="PO-18521"/>
    <n v="171"/>
    <n v="0"/>
    <n v="171"/>
  </r>
  <r>
    <s v="INV-01322"/>
    <d v="2025-12-22T00:00:00"/>
    <s v="P005"/>
    <s v="Purchase"/>
    <n v="42"/>
    <n v="42"/>
    <x v="0"/>
    <s v="VisionTech"/>
    <s v="China"/>
    <n v="18.5"/>
    <n v="31"/>
    <s v="PO-72085"/>
    <n v="777"/>
    <n v="0"/>
    <n v="777"/>
  </r>
  <r>
    <s v="INV-00770"/>
    <d v="2025-12-23T00:00:00"/>
    <s v="P026"/>
    <s v="Return"/>
    <n v="2"/>
    <n v="2"/>
    <x v="0"/>
    <s v="ScanPro"/>
    <s v="China"/>
    <n v="78"/>
    <n v="125"/>
    <m/>
    <n v="156"/>
    <n v="0"/>
    <n v="0"/>
  </r>
  <r>
    <s v="INV-01756"/>
    <d v="2025-12-23T00:00:00"/>
    <s v="P025"/>
    <s v="Sale"/>
    <n v="-5"/>
    <n v="-5"/>
    <x v="0"/>
    <s v="PaperMate"/>
    <s v="Germany"/>
    <n v="5.5"/>
    <n v="12"/>
    <m/>
    <n v="27.5"/>
    <n v="60"/>
    <n v="0"/>
  </r>
  <r>
    <s v="INV-01079"/>
    <d v="2025-12-23T00:00:00"/>
    <s v="P007"/>
    <s v="Sale"/>
    <n v="-12"/>
    <n v="-12"/>
    <x v="1"/>
    <s v="DeskWorks"/>
    <s v="China"/>
    <n v="16"/>
    <n v="29"/>
    <m/>
    <n v="192"/>
    <n v="348"/>
    <n v="0"/>
  </r>
  <r>
    <s v="INV-00287"/>
    <d v="2025-12-23T00:00:00"/>
    <s v="P016"/>
    <s v="Purchase"/>
    <n v="66"/>
    <n v="66"/>
    <x v="0"/>
    <s v="ConnectX"/>
    <s v="China"/>
    <n v="4.2"/>
    <n v="10"/>
    <s v="PO-22012"/>
    <n v="277.2"/>
    <n v="0"/>
    <n v="277.2"/>
  </r>
  <r>
    <s v="INV-00473"/>
    <d v="2025-12-23T00:00:00"/>
    <s v="P001"/>
    <s v="Sale"/>
    <n v="-8"/>
    <n v="-8"/>
    <x v="0"/>
    <s v="TechGear"/>
    <s v="China"/>
    <n v="7.2"/>
    <n v="12.5"/>
    <m/>
    <n v="57.6"/>
    <n v="100"/>
    <n v="0"/>
  </r>
  <r>
    <s v="INV-00748"/>
    <d v="2025-12-24T00:00:00"/>
    <s v="P017"/>
    <s v="Sale"/>
    <n v="-10"/>
    <n v="-10"/>
    <x v="2"/>
    <s v="SoundMax"/>
    <s v="Vietnam"/>
    <n v="34"/>
    <n v="55"/>
    <m/>
    <n v="340"/>
    <n v="550"/>
    <n v="0"/>
  </r>
  <r>
    <s v="INV-00594"/>
    <d v="2025-12-24T00:00:00"/>
    <s v="P012"/>
    <s v="Purchase"/>
    <n v="78"/>
    <n v="78"/>
    <x v="0"/>
    <s v="WriteWell"/>
    <s v="France"/>
    <n v="3.4"/>
    <n v="8"/>
    <s v="PO-73083"/>
    <n v="265.2"/>
    <n v="0"/>
    <n v="265.2"/>
  </r>
  <r>
    <s v="INV-00960"/>
    <d v="2025-12-24T00:00:00"/>
    <s v="P024"/>
    <s v="Purchase"/>
    <n v="85"/>
    <n v="85"/>
    <x v="0"/>
    <s v="CalcPlus"/>
    <s v="China"/>
    <n v="6"/>
    <n v="14"/>
    <s v="PO-54440"/>
    <n v="510"/>
    <n v="0"/>
    <n v="510"/>
  </r>
  <r>
    <s v="INV-00872"/>
    <d v="2025-12-24T00:00:00"/>
    <s v="P009"/>
    <s v="Sale"/>
    <n v="-7"/>
    <n v="-7"/>
    <x v="2"/>
    <s v="ComfortPro"/>
    <s v="Poland"/>
    <n v="105"/>
    <n v="165"/>
    <m/>
    <n v="735"/>
    <n v="1155"/>
    <n v="0"/>
  </r>
  <r>
    <s v="INV-01419"/>
    <d v="2025-12-25T00:00:00"/>
    <s v="P015"/>
    <s v="Sale"/>
    <n v="-12"/>
    <n v="-12"/>
    <x v="0"/>
    <s v="VoltPro"/>
    <s v="China"/>
    <n v="23"/>
    <n v="38"/>
    <m/>
    <n v="276"/>
    <n v="456"/>
    <n v="0"/>
  </r>
  <r>
    <s v="INV-01716"/>
    <d v="2025-12-26T00:00:00"/>
    <s v="P030"/>
    <s v="Return"/>
    <n v="3"/>
    <n v="3"/>
    <x v="1"/>
    <s v="StoreMax"/>
    <s v="Germany"/>
    <n v="11"/>
    <n v="22"/>
    <m/>
    <n v="33"/>
    <n v="0"/>
    <n v="0"/>
  </r>
  <r>
    <s v="INV-01125"/>
    <d v="2025-12-28T00:00:00"/>
    <s v="P021"/>
    <s v="Sale"/>
    <n v="-2"/>
    <n v="-2"/>
    <x v="0"/>
    <s v="TravelPro"/>
    <s v="Vietnam"/>
    <n v="25"/>
    <n v="45"/>
    <m/>
    <n v="50"/>
    <n v="90"/>
    <n v="0"/>
  </r>
  <r>
    <s v="INV-01785"/>
    <d v="2025-12-28T00:00:00"/>
    <s v="P022"/>
    <s v="Sale"/>
    <n v="-6"/>
    <n v="-6"/>
    <x v="2"/>
    <s v="HydroLife"/>
    <s v="Germany"/>
    <n v="8.5"/>
    <n v="18"/>
    <m/>
    <n v="51"/>
    <n v="108"/>
    <n v="0"/>
  </r>
  <r>
    <s v="INV-00450"/>
    <d v="2025-12-28T00:00:00"/>
    <s v="P003"/>
    <s v="Purchase"/>
    <n v="87"/>
    <n v="87"/>
    <x v="1"/>
    <s v="ConnectX"/>
    <s v="China"/>
    <n v="16.5"/>
    <n v="28"/>
    <s v="PO-44283"/>
    <n v="1435.5"/>
    <n v="0"/>
    <n v="1435.5"/>
  </r>
  <r>
    <s v="INV-01319"/>
    <d v="2025-12-28T00:00:00"/>
    <s v="P002"/>
    <s v="Purchase"/>
    <n v="97"/>
    <n v="97"/>
    <x v="0"/>
    <s v="KeyPro"/>
    <s v="China"/>
    <n v="25"/>
    <n v="42"/>
    <s v="PO-59725"/>
    <n v="2425"/>
    <n v="0"/>
    <n v="2425"/>
  </r>
  <r>
    <s v="INV-01763"/>
    <d v="2025-12-29T00:00:00"/>
    <s v="P003"/>
    <s v="Purchase"/>
    <n v="67"/>
    <n v="67"/>
    <x v="1"/>
    <s v="ConnectX"/>
    <s v="China"/>
    <n v="16.5"/>
    <n v="28"/>
    <s v="PO-64215"/>
    <n v="1105.5"/>
    <n v="0"/>
    <n v="1105.5"/>
  </r>
  <r>
    <s v="INV-00028"/>
    <d v="2025-12-29T00:00:00"/>
    <s v="P016"/>
    <s v="Adjustment"/>
    <n v="20"/>
    <n v="20"/>
    <x v="2"/>
    <s v="ConnectX"/>
    <s v="China"/>
    <n v="4.2"/>
    <n v="10"/>
    <m/>
    <n v="84"/>
    <n v="0"/>
    <n v="0"/>
  </r>
  <r>
    <s v="INV-01567"/>
    <d v="2025-12-29T00:00:00"/>
    <s v="P022"/>
    <s v="Purchase"/>
    <n v="28"/>
    <n v="28"/>
    <x v="0"/>
    <s v="HydroLife"/>
    <s v="Germany"/>
    <n v="8.5"/>
    <n v="18"/>
    <s v="PO-75049"/>
    <n v="238"/>
    <n v="0"/>
    <n v="238"/>
  </r>
  <r>
    <s v="INV-00311"/>
    <d v="2025-12-30T00:00:00"/>
    <s v="P015"/>
    <s v="Purchase"/>
    <n v="75"/>
    <n v="75"/>
    <x v="2"/>
    <s v="VoltPro"/>
    <s v="China"/>
    <n v="23"/>
    <n v="38"/>
    <s v="PO-17910"/>
    <n v="1725"/>
    <n v="0"/>
    <n v="1725"/>
  </r>
  <r>
    <s v="INV-01495"/>
    <d v="2025-12-30T00:00:00"/>
    <s v="P019"/>
    <s v="Adjustment"/>
    <n v="-6"/>
    <n v="-6"/>
    <x v="0"/>
    <s v="PrintTech"/>
    <s v="Japan"/>
    <n v="145"/>
    <n v="210"/>
    <m/>
    <n v="870"/>
    <n v="0"/>
    <n v="0"/>
  </r>
  <r>
    <s v="INV-01601"/>
    <d v="2025-12-30T00:00:00"/>
    <s v="P006"/>
    <s v="Purchase"/>
    <n v="55"/>
    <n v="55"/>
    <x v="0"/>
    <s v="ViewPlus"/>
    <s v="South Korea"/>
    <n v="130"/>
    <n v="185"/>
    <s v="PO-81694"/>
    <n v="7150"/>
    <n v="0"/>
    <n v="7150"/>
  </r>
  <r>
    <s v="INV-00981"/>
    <d v="2025-12-31T00:00:00"/>
    <s v="P011"/>
    <s v="Purchase"/>
    <n v="38"/>
    <n v="38"/>
    <x v="2"/>
    <s v="PaperMate"/>
    <s v="Germany"/>
    <n v="2.6"/>
    <n v="5.5"/>
    <s v="PO-38371"/>
    <n v="98.8"/>
    <n v="0"/>
    <n v="98.8"/>
  </r>
  <r>
    <s v="INV-00484"/>
    <d v="2025-12-31T00:00:00"/>
    <s v="P020"/>
    <s v="Purchase"/>
    <n v="93"/>
    <n v="93"/>
    <x v="0"/>
    <s v="PrintTech"/>
    <s v="Japan"/>
    <n v="30"/>
    <n v="48"/>
    <s v="PO-38013"/>
    <n v="2790"/>
    <n v="0"/>
    <n v="2790"/>
  </r>
  <r>
    <s v="INV-00696"/>
    <d v="2025-12-31T00:00:00"/>
    <s v="P020"/>
    <s v="Sale"/>
    <n v="-9"/>
    <n v="-9"/>
    <x v="2"/>
    <s v="PrintTech"/>
    <s v="Japan"/>
    <n v="30"/>
    <n v="48"/>
    <m/>
    <n v="270"/>
    <n v="432"/>
    <n v="0"/>
  </r>
  <r>
    <s v="INV-00579"/>
    <d v="2025-12-31T00:00:00"/>
    <s v="P016"/>
    <s v="Sale"/>
    <n v="-1"/>
    <n v="-1"/>
    <x v="1"/>
    <s v="ConnectX"/>
    <s v="China"/>
    <n v="4.2"/>
    <n v="10"/>
    <m/>
    <n v="4.2"/>
    <n v="10"/>
    <n v="0"/>
  </r>
  <r>
    <s v="INV-00170"/>
    <d v="2026-01-01T00:00:00"/>
    <s v="P018"/>
    <s v="Purchase"/>
    <n v="25"/>
    <n v="25"/>
    <x v="1"/>
    <s v="DataStore"/>
    <s v="South Korea"/>
    <n v="5.2"/>
    <n v="11"/>
    <s v="PO-54324"/>
    <n v="130"/>
    <n v="0"/>
    <n v="130"/>
  </r>
  <r>
    <s v="INV-01612"/>
    <d v="2026-01-01T00:00:00"/>
    <s v="P021"/>
    <s v="Purchase"/>
    <n v="75"/>
    <n v="75"/>
    <x v="0"/>
    <s v="TravelPro"/>
    <s v="Vietnam"/>
    <n v="25"/>
    <n v="45"/>
    <s v="PO-85010"/>
    <n v="1875"/>
    <n v="0"/>
    <n v="1875"/>
  </r>
  <r>
    <s v="INV-00448"/>
    <d v="2026-01-01T00:00:00"/>
    <s v="P024"/>
    <s v="Sale"/>
    <n v="-5"/>
    <n v="-5"/>
    <x v="0"/>
    <s v="CalcPlus"/>
    <s v="China"/>
    <n v="6"/>
    <n v="14"/>
    <m/>
    <n v="30"/>
    <n v="70"/>
    <n v="0"/>
  </r>
  <r>
    <s v="INV-00814"/>
    <d v="2026-01-02T00:00:00"/>
    <s v="P029"/>
    <s v="Sale"/>
    <n v="-9"/>
    <n v="-9"/>
    <x v="1"/>
    <s v="PackRight"/>
    <s v="Poland"/>
    <n v="4"/>
    <n v="9"/>
    <m/>
    <n v="36"/>
    <n v="81"/>
    <n v="0"/>
  </r>
  <r>
    <s v="INV-01606"/>
    <d v="2026-01-02T00:00:00"/>
    <s v="P017"/>
    <s v="Sale"/>
    <n v="-12"/>
    <n v="-12"/>
    <x v="0"/>
    <s v="SoundMax"/>
    <s v="Vietnam"/>
    <n v="34"/>
    <n v="55"/>
    <m/>
    <n v="408"/>
    <n v="660"/>
    <n v="0"/>
  </r>
  <r>
    <s v="INV-00540"/>
    <d v="2026-01-02T00:00:00"/>
    <s v="P004"/>
    <s v="Sale"/>
    <n v="-14"/>
    <n v="-14"/>
    <x v="1"/>
    <s v="SoundMax"/>
    <s v="Vietnam"/>
    <n v="20"/>
    <n v="35"/>
    <m/>
    <n v="280"/>
    <n v="490"/>
    <n v="0"/>
  </r>
  <r>
    <s v="INV-01646"/>
    <d v="2026-01-02T00:00:00"/>
    <s v="P024"/>
    <s v="Sale"/>
    <n v="-2"/>
    <n v="-2"/>
    <x v="2"/>
    <s v="CalcPlus"/>
    <s v="China"/>
    <n v="6"/>
    <n v="14"/>
    <m/>
    <n v="12"/>
    <n v="28"/>
    <n v="0"/>
  </r>
  <r>
    <s v="INV-01226"/>
    <d v="2026-01-02T00:00:00"/>
    <s v="P021"/>
    <s v="Sale"/>
    <n v="-8"/>
    <n v="-8"/>
    <x v="0"/>
    <s v="TravelPro"/>
    <s v="Vietnam"/>
    <n v="25"/>
    <n v="45"/>
    <m/>
    <n v="200"/>
    <n v="360"/>
    <n v="0"/>
  </r>
  <r>
    <s v="INV-00546"/>
    <d v="2026-01-02T00:00:00"/>
    <s v="P012"/>
    <s v="Sale"/>
    <n v="-3"/>
    <n v="-3"/>
    <x v="0"/>
    <s v="WriteWell"/>
    <s v="France"/>
    <n v="3.4"/>
    <n v="8"/>
    <m/>
    <n v="10.199999999999999"/>
    <n v="24"/>
    <n v="0"/>
  </r>
  <r>
    <s v="INV-00179"/>
    <d v="2026-01-03T00:00:00"/>
    <s v="P029"/>
    <s v="Sale"/>
    <n v="-10"/>
    <n v="-10"/>
    <x v="0"/>
    <s v="PackRight"/>
    <s v="Poland"/>
    <n v="4"/>
    <n v="9"/>
    <m/>
    <n v="40"/>
    <n v="90"/>
    <n v="0"/>
  </r>
  <r>
    <s v="INV-01020"/>
    <d v="2026-01-03T00:00:00"/>
    <s v="P001"/>
    <s v="Sale"/>
    <n v="-3"/>
    <n v="-3"/>
    <x v="0"/>
    <s v="TechGear"/>
    <s v="China"/>
    <n v="7.2"/>
    <n v="12.5"/>
    <m/>
    <n v="21.6"/>
    <n v="37.5"/>
    <n v="0"/>
  </r>
  <r>
    <s v="INV-00649"/>
    <d v="2026-01-03T00:00:00"/>
    <s v="P025"/>
    <s v="Purchase"/>
    <n v="119"/>
    <n v="119"/>
    <x v="0"/>
    <s v="PaperMate"/>
    <s v="Germany"/>
    <n v="5.5"/>
    <n v="12"/>
    <s v="PO-10591"/>
    <n v="654.5"/>
    <n v="0"/>
    <n v="654.5"/>
  </r>
  <r>
    <s v="INV-00524"/>
    <d v="2026-01-03T00:00:00"/>
    <s v="P027"/>
    <s v="Purchase"/>
    <n v="102"/>
    <n v="102"/>
    <x v="0"/>
    <s v="PrintTech"/>
    <s v="Japan"/>
    <n v="82"/>
    <n v="135"/>
    <s v="PO-67802"/>
    <n v="8364"/>
    <n v="0"/>
    <n v="8364"/>
  </r>
  <r>
    <s v="INV-00485"/>
    <d v="2026-01-03T00:00:00"/>
    <s v="P018"/>
    <s v="Purchase"/>
    <n v="37"/>
    <n v="37"/>
    <x v="0"/>
    <s v="DataStore"/>
    <s v="South Korea"/>
    <n v="5.2"/>
    <n v="11"/>
    <s v="PO-62132"/>
    <n v="192.4"/>
    <n v="0"/>
    <n v="192.4"/>
  </r>
  <r>
    <s v="INV-00554"/>
    <d v="2026-01-04T00:00:00"/>
    <s v="P018"/>
    <s v="Sale"/>
    <n v="-2"/>
    <n v="-2"/>
    <x v="2"/>
    <s v="DataStore"/>
    <s v="South Korea"/>
    <n v="5.2"/>
    <n v="11"/>
    <m/>
    <n v="10.4"/>
    <n v="22"/>
    <n v="0"/>
  </r>
  <r>
    <s v="INV-00040"/>
    <d v="2026-01-04T00:00:00"/>
    <s v="P015"/>
    <s v="Purchase"/>
    <n v="68"/>
    <n v="68"/>
    <x v="0"/>
    <s v="VoltPro"/>
    <s v="China"/>
    <n v="23"/>
    <n v="38"/>
    <s v="PO-77509"/>
    <n v="1564"/>
    <n v="0"/>
    <n v="1564"/>
  </r>
  <r>
    <s v="INV-01705"/>
    <d v="2026-01-04T00:00:00"/>
    <s v="P015"/>
    <s v="Return"/>
    <n v="3"/>
    <n v="3"/>
    <x v="0"/>
    <s v="VoltPro"/>
    <s v="China"/>
    <n v="23"/>
    <n v="38"/>
    <m/>
    <n v="69"/>
    <n v="0"/>
    <n v="0"/>
  </r>
  <r>
    <s v="INV-01241"/>
    <d v="2026-01-04T00:00:00"/>
    <s v="P028"/>
    <s v="Purchase"/>
    <n v="58"/>
    <n v="58"/>
    <x v="2"/>
    <s v="PackRight"/>
    <s v="Poland"/>
    <n v="3"/>
    <n v="7"/>
    <s v="PO-26360"/>
    <n v="174"/>
    <n v="0"/>
    <n v="174"/>
  </r>
  <r>
    <s v="INV-00856"/>
    <d v="2026-01-04T00:00:00"/>
    <s v="P006"/>
    <s v="Sale"/>
    <n v="-13"/>
    <n v="-13"/>
    <x v="0"/>
    <s v="ViewPlus"/>
    <s v="South Korea"/>
    <n v="130"/>
    <n v="185"/>
    <m/>
    <n v="1690"/>
    <n v="2405"/>
    <n v="0"/>
  </r>
  <r>
    <s v="INV-00968"/>
    <d v="2026-01-06T00:00:00"/>
    <s v="P011"/>
    <s v="Purchase"/>
    <n v="52"/>
    <n v="52"/>
    <x v="2"/>
    <s v="PaperMate"/>
    <s v="Germany"/>
    <n v="2.6"/>
    <n v="5.5"/>
    <s v="PO-82219"/>
    <n v="135.20000000000002"/>
    <n v="0"/>
    <n v="135.20000000000002"/>
  </r>
  <r>
    <s v="INV-00651"/>
    <d v="2026-01-06T00:00:00"/>
    <s v="P003"/>
    <s v="Purchase"/>
    <n v="65"/>
    <n v="65"/>
    <x v="0"/>
    <s v="ConnectX"/>
    <s v="China"/>
    <n v="16.5"/>
    <n v="28"/>
    <s v="PO-16277"/>
    <n v="1072.5"/>
    <n v="0"/>
    <n v="1072.5"/>
  </r>
  <r>
    <s v="INV-01367"/>
    <d v="2026-01-06T00:00:00"/>
    <s v="P023"/>
    <s v="Return"/>
    <n v="5"/>
    <n v="5"/>
    <x v="0"/>
    <s v="DeskWorks"/>
    <s v="China"/>
    <n v="8.8000000000000007"/>
    <n v="17"/>
    <m/>
    <n v="44"/>
    <n v="0"/>
    <n v="0"/>
  </r>
  <r>
    <s v="INV-01766"/>
    <d v="2026-01-06T00:00:00"/>
    <s v="P011"/>
    <s v="Sale"/>
    <n v="-15"/>
    <n v="-15"/>
    <x v="0"/>
    <s v="PaperMate"/>
    <s v="Germany"/>
    <n v="2.6"/>
    <n v="5.5"/>
    <m/>
    <n v="39"/>
    <n v="82.5"/>
    <n v="0"/>
  </r>
  <r>
    <s v="INV-01554"/>
    <d v="2026-01-06T00:00:00"/>
    <s v="P028"/>
    <s v="Sale"/>
    <n v="-14"/>
    <n v="-14"/>
    <x v="0"/>
    <s v="PackRight"/>
    <s v="Poland"/>
    <n v="3"/>
    <n v="7"/>
    <m/>
    <n v="42"/>
    <n v="98"/>
    <n v="0"/>
  </r>
  <r>
    <s v="INV-01532"/>
    <d v="2026-01-06T00:00:00"/>
    <s v="P020"/>
    <s v="Sale"/>
    <n v="-9"/>
    <n v="-9"/>
    <x v="0"/>
    <s v="PrintTech"/>
    <s v="Japan"/>
    <n v="30"/>
    <n v="48"/>
    <m/>
    <n v="270"/>
    <n v="432"/>
    <n v="0"/>
  </r>
  <r>
    <s v="INV-00901"/>
    <d v="2026-01-07T00:00:00"/>
    <s v="P007"/>
    <s v="Sale"/>
    <n v="-13"/>
    <n v="-13"/>
    <x v="0"/>
    <s v="DeskWorks"/>
    <s v="China"/>
    <n v="16"/>
    <n v="29"/>
    <m/>
    <n v="208"/>
    <n v="377"/>
    <n v="0"/>
  </r>
  <r>
    <s v="INV-01078"/>
    <d v="2026-01-07T00:00:00"/>
    <s v="P022"/>
    <s v="Purchase"/>
    <n v="49"/>
    <n v="49"/>
    <x v="1"/>
    <s v="HydroLife"/>
    <s v="Germany"/>
    <n v="8.5"/>
    <n v="18"/>
    <s v="PO-96103"/>
    <n v="416.5"/>
    <n v="0"/>
    <n v="416.5"/>
  </r>
  <r>
    <s v="INV-01525"/>
    <d v="2026-01-07T00:00:00"/>
    <s v="P016"/>
    <s v="Sale"/>
    <n v="-13"/>
    <n v="-13"/>
    <x v="0"/>
    <s v="ConnectX"/>
    <s v="China"/>
    <n v="4.2"/>
    <n v="10"/>
    <m/>
    <n v="54.6"/>
    <n v="130"/>
    <n v="0"/>
  </r>
  <r>
    <s v="INV-00627"/>
    <d v="2026-01-07T00:00:00"/>
    <s v="P016"/>
    <s v="Purchase"/>
    <n v="104"/>
    <n v="104"/>
    <x v="1"/>
    <s v="ConnectX"/>
    <s v="China"/>
    <n v="4.2"/>
    <n v="10"/>
    <s v="PO-93397"/>
    <n v="436.8"/>
    <n v="0"/>
    <n v="436.8"/>
  </r>
  <r>
    <s v="INV-01276"/>
    <d v="2026-01-07T00:00:00"/>
    <s v="P003"/>
    <s v="Sale"/>
    <n v="-8"/>
    <n v="-8"/>
    <x v="2"/>
    <s v="ConnectX"/>
    <s v="China"/>
    <n v="16.5"/>
    <n v="28"/>
    <m/>
    <n v="132"/>
    <n v="224"/>
    <n v="0"/>
  </r>
  <r>
    <s v="INV-00280"/>
    <d v="2026-01-08T00:00:00"/>
    <s v="P025"/>
    <s v="Sale"/>
    <n v="-9"/>
    <n v="-9"/>
    <x v="0"/>
    <s v="PaperMate"/>
    <s v="Germany"/>
    <n v="5.5"/>
    <n v="12"/>
    <m/>
    <n v="49.5"/>
    <n v="108"/>
    <n v="0"/>
  </r>
  <r>
    <s v="INV-00990"/>
    <d v="2026-01-08T00:00:00"/>
    <s v="P025"/>
    <s v="Adjustment"/>
    <n v="-11"/>
    <n v="-11"/>
    <x v="0"/>
    <s v="PaperMate"/>
    <s v="Germany"/>
    <n v="5.5"/>
    <n v="12"/>
    <m/>
    <n v="60.5"/>
    <n v="0"/>
    <n v="0"/>
  </r>
  <r>
    <s v="INV-00864"/>
    <d v="2026-01-08T00:00:00"/>
    <s v="P015"/>
    <s v="Sale"/>
    <n v="-9"/>
    <n v="-9"/>
    <x v="2"/>
    <s v="VoltPro"/>
    <s v="China"/>
    <n v="23"/>
    <n v="38"/>
    <m/>
    <n v="207"/>
    <n v="342"/>
    <n v="0"/>
  </r>
  <r>
    <s v="INV-00652"/>
    <d v="2026-01-08T00:00:00"/>
    <s v="P017"/>
    <s v="Adjustment"/>
    <n v="20"/>
    <n v="20"/>
    <x v="2"/>
    <s v="SoundMax"/>
    <s v="Vietnam"/>
    <n v="34"/>
    <n v="55"/>
    <m/>
    <n v="680"/>
    <n v="0"/>
    <n v="0"/>
  </r>
  <r>
    <s v="INV-00671"/>
    <d v="2026-01-08T00:00:00"/>
    <s v="P005"/>
    <s v="Purchase"/>
    <n v="73"/>
    <n v="73"/>
    <x v="0"/>
    <s v="VisionTech"/>
    <s v="China"/>
    <n v="18.5"/>
    <n v="31"/>
    <s v="PO-34741"/>
    <n v="1350.5"/>
    <n v="0"/>
    <n v="1350.5"/>
  </r>
  <r>
    <s v="INV-00863"/>
    <d v="2026-01-09T00:00:00"/>
    <s v="P017"/>
    <s v="Purchase"/>
    <n v="75"/>
    <n v="75"/>
    <x v="0"/>
    <s v="SoundMax"/>
    <s v="Vietnam"/>
    <n v="34"/>
    <n v="55"/>
    <s v="PO-98628"/>
    <n v="2550"/>
    <n v="0"/>
    <n v="2550"/>
  </r>
  <r>
    <s v="INV-01158"/>
    <d v="2026-01-09T00:00:00"/>
    <s v="P028"/>
    <s v="Sale"/>
    <n v="-12"/>
    <n v="-12"/>
    <x v="0"/>
    <s v="PackRight"/>
    <s v="Poland"/>
    <n v="3"/>
    <n v="7"/>
    <m/>
    <n v="36"/>
    <n v="84"/>
    <n v="0"/>
  </r>
  <r>
    <s v="INV-01690"/>
    <d v="2026-01-09T00:00:00"/>
    <s v="P024"/>
    <s v="Sale"/>
    <n v="-11"/>
    <n v="-11"/>
    <x v="2"/>
    <s v="CalcPlus"/>
    <s v="China"/>
    <n v="6"/>
    <n v="14"/>
    <m/>
    <n v="66"/>
    <n v="154"/>
    <n v="0"/>
  </r>
  <r>
    <s v="INV-00877"/>
    <d v="2026-01-10T00:00:00"/>
    <s v="P023"/>
    <s v="Sale"/>
    <n v="-4"/>
    <n v="-4"/>
    <x v="2"/>
    <s v="DeskWorks"/>
    <s v="China"/>
    <n v="8.8000000000000007"/>
    <n v="17"/>
    <m/>
    <n v="35.200000000000003"/>
    <n v="68"/>
    <n v="0"/>
  </r>
  <r>
    <s v="INV-00359"/>
    <d v="2026-10-01T00:00:00"/>
    <s v="P029"/>
    <s v="Sale"/>
    <n v="-1"/>
    <n v="-1"/>
    <x v="2"/>
    <s v="PackRight"/>
    <s v="Poland"/>
    <n v="4"/>
    <n v="9"/>
    <m/>
    <n v="4"/>
    <n v="9"/>
    <n v="0"/>
  </r>
  <r>
    <s v="INV-01742"/>
    <d v="2026-01-10T00:00:00"/>
    <s v="P024"/>
    <s v="Sale"/>
    <n v="-1"/>
    <n v="-1"/>
    <x v="0"/>
    <s v="CalcPlus"/>
    <s v="China"/>
    <n v="6"/>
    <n v="14"/>
    <m/>
    <n v="6"/>
    <n v="14"/>
    <n v="0"/>
  </r>
  <r>
    <s v="INV-00196"/>
    <d v="2026-01-11T00:00:00"/>
    <s v="P012"/>
    <s v="Sale"/>
    <n v="-8"/>
    <n v="-8"/>
    <x v="1"/>
    <s v="WriteWell"/>
    <s v="France"/>
    <n v="3.4"/>
    <n v="8"/>
    <m/>
    <n v="27.2"/>
    <n v="64"/>
    <n v="0"/>
  </r>
  <r>
    <s v="INV-00780"/>
    <d v="2026-01-11T00:00:00"/>
    <s v="P021"/>
    <s v="Sale"/>
    <n v="-1"/>
    <n v="-1"/>
    <x v="2"/>
    <s v="TravelPro"/>
    <s v="Vietnam"/>
    <n v="25"/>
    <n v="45"/>
    <m/>
    <n v="25"/>
    <n v="45"/>
    <n v="0"/>
  </r>
  <r>
    <s v="INV-01665"/>
    <d v="2026-01-11T00:00:00"/>
    <s v="P030"/>
    <s v="Purchase"/>
    <n v="33"/>
    <n v="33"/>
    <x v="2"/>
    <s v="StoreMax"/>
    <s v="Germany"/>
    <n v="11"/>
    <n v="22"/>
    <s v="PO-64766"/>
    <n v="363"/>
    <n v="0"/>
    <n v="363"/>
  </r>
  <r>
    <s v="INV-01795"/>
    <d v="2026-01-11T00:00:00"/>
    <s v="P001"/>
    <s v="Sale"/>
    <n v="-13"/>
    <n v="-13"/>
    <x v="1"/>
    <s v="TechGear"/>
    <s v="China"/>
    <n v="7.2"/>
    <n v="12.5"/>
    <m/>
    <n v="93.600000000000009"/>
    <n v="162.5"/>
    <n v="0"/>
  </r>
  <r>
    <s v="INV-01347"/>
    <d v="2026-01-12T00:00:00"/>
    <s v="P012"/>
    <s v="Return"/>
    <n v="4"/>
    <n v="4"/>
    <x v="2"/>
    <s v="WriteWell"/>
    <s v="France"/>
    <n v="3.4"/>
    <n v="8"/>
    <m/>
    <n v="13.6"/>
    <n v="0"/>
    <n v="0"/>
  </r>
  <r>
    <s v="INV-00496"/>
    <d v="2026-01-12T00:00:00"/>
    <s v="P012"/>
    <s v="Purchase"/>
    <n v="25"/>
    <n v="25"/>
    <x v="1"/>
    <s v="WriteWell"/>
    <s v="France"/>
    <n v="3.4"/>
    <n v="8"/>
    <s v="PO-69965"/>
    <n v="85"/>
    <n v="0"/>
    <n v="85"/>
  </r>
  <r>
    <s v="INV-00361"/>
    <d v="2026-01-13T00:00:00"/>
    <s v="P013"/>
    <s v="Sale"/>
    <n v="-6"/>
    <n v="-6"/>
    <x v="0"/>
    <s v="DeskWorks"/>
    <s v="China"/>
    <n v="8"/>
    <n v="15"/>
    <m/>
    <n v="48"/>
    <n v="90"/>
    <n v="0"/>
  </r>
  <r>
    <s v="INV-00616"/>
    <d v="2026-01-13T00:00:00"/>
    <s v="P029"/>
    <s v="Adjustment"/>
    <n v="-8"/>
    <n v="-8"/>
    <x v="2"/>
    <s v="PackRight"/>
    <s v="Poland"/>
    <n v="4"/>
    <n v="9"/>
    <m/>
    <n v="32"/>
    <n v="0"/>
    <n v="0"/>
  </r>
  <r>
    <s v="INV-00294"/>
    <d v="2026-01-13T00:00:00"/>
    <s v="P012"/>
    <s v="Sale"/>
    <n v="-8"/>
    <n v="-8"/>
    <x v="2"/>
    <s v="WriteWell"/>
    <s v="France"/>
    <n v="3.4"/>
    <n v="8"/>
    <m/>
    <n v="27.2"/>
    <n v="64"/>
    <n v="0"/>
  </r>
  <r>
    <s v="INV-01326"/>
    <d v="2026-01-14T00:00:00"/>
    <s v="P011"/>
    <s v="Sale"/>
    <n v="-5"/>
    <n v="-5"/>
    <x v="2"/>
    <s v="PaperMate"/>
    <s v="Germany"/>
    <n v="2.6"/>
    <n v="5.5"/>
    <m/>
    <n v="13"/>
    <n v="27.5"/>
    <n v="0"/>
  </r>
  <r>
    <s v="INV-01572"/>
    <d v="2026-01-14T00:00:00"/>
    <s v="P005"/>
    <s v="Sale"/>
    <n v="-15"/>
    <n v="-15"/>
    <x v="0"/>
    <s v="VisionTech"/>
    <s v="China"/>
    <n v="18.5"/>
    <n v="31"/>
    <m/>
    <n v="277.5"/>
    <n v="465"/>
    <n v="0"/>
  </r>
  <r>
    <s v="INV-01643"/>
    <d v="2026-01-14T00:00:00"/>
    <s v="P017"/>
    <s v="Purchase"/>
    <n v="89"/>
    <n v="89"/>
    <x v="2"/>
    <s v="SoundMax"/>
    <s v="Vietnam"/>
    <n v="34"/>
    <n v="55"/>
    <s v="PO-35792"/>
    <n v="3026"/>
    <n v="0"/>
    <n v="3026"/>
  </r>
  <r>
    <s v="INV-01320"/>
    <d v="2026-01-14T00:00:00"/>
    <s v="P002"/>
    <s v="Purchase"/>
    <n v="60"/>
    <n v="60"/>
    <x v="1"/>
    <s v="KeyPro"/>
    <s v="China"/>
    <n v="25"/>
    <n v="42"/>
    <s v="PO-96134"/>
    <n v="1500"/>
    <n v="0"/>
    <n v="1500"/>
  </r>
  <r>
    <s v="INV-00703"/>
    <d v="2026-01-14T00:00:00"/>
    <s v="P011"/>
    <s v="Sale"/>
    <n v="-4"/>
    <n v="-4"/>
    <x v="2"/>
    <s v="PaperMate"/>
    <s v="Germany"/>
    <n v="2.6"/>
    <n v="5.5"/>
    <m/>
    <n v="10.4"/>
    <n v="22"/>
    <n v="0"/>
  </r>
  <r>
    <s v="INV-01609"/>
    <d v="2026-01-15T00:00:00"/>
    <s v="P008"/>
    <s v="Purchase"/>
    <n v="71"/>
    <n v="71"/>
    <x v="0"/>
    <s v="BrightHome"/>
    <s v="China"/>
    <n v="13.5"/>
    <n v="24"/>
    <s v="PO-27106"/>
    <n v="958.5"/>
    <n v="0"/>
    <n v="958.5"/>
  </r>
  <r>
    <s v="INV-00749"/>
    <d v="2026-01-15T00:00:00"/>
    <s v="P028"/>
    <s v="Sale"/>
    <n v="-15"/>
    <n v="-15"/>
    <x v="0"/>
    <s v="PackRight"/>
    <s v="Poland"/>
    <n v="3"/>
    <n v="7"/>
    <m/>
    <n v="45"/>
    <n v="105"/>
    <n v="0"/>
  </r>
  <r>
    <s v="INV-01568"/>
    <d v="2026-01-15T00:00:00"/>
    <s v="P003"/>
    <s v="Purchase"/>
    <n v="45"/>
    <n v="45"/>
    <x v="1"/>
    <s v="ConnectX"/>
    <s v="China"/>
    <n v="16.5"/>
    <n v="28"/>
    <s v="PO-39265"/>
    <n v="742.5"/>
    <n v="0"/>
    <n v="742.5"/>
  </r>
  <r>
    <s v="INV-00543"/>
    <d v="2026-01-15T00:00:00"/>
    <s v="P008"/>
    <s v="Purchase"/>
    <n v="92"/>
    <n v="92"/>
    <x v="1"/>
    <s v="BrightHome"/>
    <s v="China"/>
    <n v="13.5"/>
    <n v="24"/>
    <s v="PO-75451"/>
    <n v="1242"/>
    <n v="0"/>
    <n v="1242"/>
  </r>
  <r>
    <s v="INV-00260"/>
    <d v="2026-01-15T00:00:00"/>
    <s v="P003"/>
    <s v="Sale"/>
    <n v="-2"/>
    <n v="-2"/>
    <x v="1"/>
    <s v="ConnectX"/>
    <s v="China"/>
    <n v="16.5"/>
    <n v="28"/>
    <m/>
    <n v="33"/>
    <n v="56"/>
    <n v="0"/>
  </r>
  <r>
    <s v="INV-01208"/>
    <d v="2026-01-16T00:00:00"/>
    <s v="P015"/>
    <s v="Purchase"/>
    <n v="101"/>
    <n v="101"/>
    <x v="0"/>
    <s v="VoltPro"/>
    <s v="China"/>
    <n v="23"/>
    <n v="38"/>
    <s v="PO-90249"/>
    <n v="2323"/>
    <n v="0"/>
    <n v="2323"/>
  </r>
  <r>
    <s v="INV-01786"/>
    <d v="2026-01-16T00:00:00"/>
    <s v="P028"/>
    <s v="Purchase"/>
    <n v="46"/>
    <n v="46"/>
    <x v="2"/>
    <s v="PackRight"/>
    <s v="Poland"/>
    <n v="3"/>
    <n v="7"/>
    <s v="PO-22521"/>
    <n v="138"/>
    <n v="0"/>
    <n v="138"/>
  </r>
  <r>
    <s v="INV-00538"/>
    <d v="2026-01-17T00:00:00"/>
    <s v="P008"/>
    <s v="Sale"/>
    <n v="-12"/>
    <n v="-12"/>
    <x v="2"/>
    <s v="BrightHome"/>
    <s v="China"/>
    <n v="13.5"/>
    <n v="24"/>
    <m/>
    <n v="162"/>
    <n v="288"/>
    <n v="0"/>
  </r>
  <r>
    <s v="INV-01781"/>
    <d v="2026-01-17T00:00:00"/>
    <s v="P001"/>
    <s v="Sale"/>
    <n v="-14"/>
    <n v="-14"/>
    <x v="0"/>
    <s v="TechGear"/>
    <s v="China"/>
    <n v="7.2"/>
    <n v="12.5"/>
    <m/>
    <n v="100.8"/>
    <n v="175"/>
    <n v="0"/>
  </r>
  <r>
    <s v="INV-01774"/>
    <d v="2026-01-17T00:00:00"/>
    <s v="P029"/>
    <s v="Adjustment"/>
    <n v="-17"/>
    <n v="-17"/>
    <x v="2"/>
    <s v="PackRight"/>
    <s v="Poland"/>
    <n v="4"/>
    <n v="9"/>
    <m/>
    <n v="68"/>
    <n v="0"/>
    <n v="0"/>
  </r>
  <r>
    <s v="INV-00371"/>
    <d v="2026-01-17T00:00:00"/>
    <s v="P003"/>
    <s v="Sale"/>
    <n v="-13"/>
    <n v="-13"/>
    <x v="2"/>
    <s v="ConnectX"/>
    <s v="China"/>
    <n v="16.5"/>
    <n v="28"/>
    <m/>
    <n v="214.5"/>
    <n v="364"/>
    <n v="0"/>
  </r>
  <r>
    <s v="INV-01437"/>
    <d v="2026-01-18T00:00:00"/>
    <s v="P011"/>
    <s v="Purchase"/>
    <n v="106"/>
    <n v="106"/>
    <x v="3"/>
    <s v="PaperMate"/>
    <s v="Germany"/>
    <n v="2.6"/>
    <n v="5.5"/>
    <s v="PO-84090"/>
    <n v="275.60000000000002"/>
    <n v="0"/>
    <n v="275.60000000000002"/>
  </r>
  <r>
    <s v="INV-01187"/>
    <d v="2026-01-18T00:00:00"/>
    <s v="P022"/>
    <s v="Purchase"/>
    <n v="113"/>
    <n v="113"/>
    <x v="2"/>
    <s v="HydroLife"/>
    <s v="Germany"/>
    <n v="8.5"/>
    <n v="18"/>
    <s v="PO-27059"/>
    <n v="960.5"/>
    <n v="0"/>
    <n v="960.5"/>
  </r>
  <r>
    <s v="INV-01390"/>
    <d v="2026-01-19T00:00:00"/>
    <s v="P015"/>
    <s v="Sale"/>
    <n v="-6"/>
    <n v="-6"/>
    <x v="0"/>
    <s v="VoltPro"/>
    <s v="China"/>
    <n v="23"/>
    <n v="38"/>
    <m/>
    <n v="138"/>
    <n v="228"/>
    <n v="0"/>
  </r>
  <r>
    <s v="INV-00635"/>
    <d v="2026-01-19T00:00:00"/>
    <s v="P003"/>
    <s v="Adjustment"/>
    <n v="5"/>
    <n v="5"/>
    <x v="2"/>
    <s v="ConnectX"/>
    <s v="China"/>
    <n v="16.5"/>
    <n v="28"/>
    <m/>
    <n v="82.5"/>
    <n v="0"/>
    <n v="0"/>
  </r>
  <r>
    <s v="INV-01091"/>
    <d v="2026-01-19T00:00:00"/>
    <s v="P029"/>
    <s v="Purchase"/>
    <n v="66"/>
    <n v="66"/>
    <x v="0"/>
    <s v="PackRight"/>
    <s v="Poland"/>
    <n v="4"/>
    <n v="9"/>
    <s v="PO-69894"/>
    <n v="264"/>
    <n v="0"/>
    <n v="264"/>
  </r>
  <r>
    <s v="INV-00042"/>
    <d v="2026-01-19T00:00:00"/>
    <s v="P016"/>
    <s v="Sale"/>
    <n v="-4"/>
    <n v="-4"/>
    <x v="0"/>
    <s v="ConnectX"/>
    <s v="China"/>
    <n v="4.2"/>
    <n v="10"/>
    <m/>
    <n v="16.8"/>
    <n v="40"/>
    <n v="0"/>
  </r>
  <r>
    <s v="INV-01717"/>
    <d v="2026-01-20T00:00:00"/>
    <s v="P002"/>
    <s v="Purchase"/>
    <n v="109"/>
    <n v="109"/>
    <x v="0"/>
    <s v="KeyPro"/>
    <s v="China"/>
    <n v="25"/>
    <n v="42"/>
    <s v="PO-31300"/>
    <n v="2725"/>
    <n v="0"/>
    <n v="2725"/>
  </r>
  <r>
    <s v="INV-01361"/>
    <d v="2026-01-21T00:00:00"/>
    <s v="P029"/>
    <s v="Sale"/>
    <n v="-4"/>
    <n v="-4"/>
    <x v="0"/>
    <s v="PackRight"/>
    <s v="Poland"/>
    <n v="4"/>
    <n v="9"/>
    <m/>
    <n v="16"/>
    <n v="36"/>
    <n v="0"/>
  </r>
  <r>
    <s v="INV-01168"/>
    <d v="2026-01-21T00:00:00"/>
    <s v="P016"/>
    <s v="Sale"/>
    <n v="-10"/>
    <n v="-10"/>
    <x v="2"/>
    <s v="ConnectX"/>
    <s v="China"/>
    <n v="4.2"/>
    <n v="10"/>
    <m/>
    <n v="42"/>
    <n v="100"/>
    <n v="0"/>
  </r>
  <r>
    <s v="INV-00299"/>
    <d v="2026-01-22T00:00:00"/>
    <s v="P020"/>
    <s v="Sale"/>
    <n v="-10"/>
    <n v="-10"/>
    <x v="0"/>
    <s v="PrintTech"/>
    <s v="Japan"/>
    <n v="30"/>
    <n v="48"/>
    <m/>
    <n v="300"/>
    <n v="480"/>
    <n v="0"/>
  </r>
  <r>
    <s v="INV-00293"/>
    <d v="2026-01-22T00:00:00"/>
    <s v="P026"/>
    <s v="Purchase"/>
    <n v="105"/>
    <n v="105"/>
    <x v="1"/>
    <s v="ScanPro"/>
    <s v="China"/>
    <n v="78"/>
    <n v="125"/>
    <s v="PO-90224"/>
    <n v="8190"/>
    <n v="0"/>
    <n v="8190"/>
  </r>
  <r>
    <s v="INV-00938"/>
    <d v="2026-01-22T00:00:00"/>
    <s v="P029"/>
    <s v="Sale"/>
    <n v="-7"/>
    <n v="-7"/>
    <x v="2"/>
    <s v="PackRight"/>
    <s v="Poland"/>
    <n v="4"/>
    <n v="9"/>
    <m/>
    <n v="28"/>
    <n v="63"/>
    <n v="0"/>
  </r>
  <r>
    <s v="INV-00638"/>
    <d v="2026-01-22T00:00:00"/>
    <s v="P008"/>
    <s v="Sale"/>
    <n v="-14"/>
    <n v="-14"/>
    <x v="0"/>
    <s v="BrightHome"/>
    <s v="China"/>
    <n v="13.5"/>
    <n v="24"/>
    <m/>
    <n v="189"/>
    <n v="336"/>
    <n v="0"/>
  </r>
  <r>
    <s v="INV-01372"/>
    <d v="2026-01-22T00:00:00"/>
    <s v="P006"/>
    <s v="Purchase"/>
    <n v="96"/>
    <n v="96"/>
    <x v="0"/>
    <s v="ViewPlus"/>
    <s v="South Korea"/>
    <n v="130"/>
    <n v="185"/>
    <s v="PO-96570"/>
    <n v="12480"/>
    <n v="0"/>
    <n v="12480"/>
  </r>
  <r>
    <s v="INV-01500"/>
    <d v="2026-01-23T00:00:00"/>
    <s v="P028"/>
    <s v="Sale"/>
    <n v="-2"/>
    <n v="-2"/>
    <x v="2"/>
    <s v="PackRight"/>
    <s v="Poland"/>
    <n v="3"/>
    <n v="7"/>
    <m/>
    <n v="6"/>
    <n v="14"/>
    <n v="0"/>
  </r>
  <r>
    <s v="INV-00675"/>
    <d v="2026-01-23T00:00:00"/>
    <s v="P013"/>
    <s v="Sale"/>
    <n v="-7"/>
    <n v="-7"/>
    <x v="2"/>
    <s v="DeskWorks"/>
    <s v="China"/>
    <n v="8"/>
    <n v="15"/>
    <m/>
    <n v="56"/>
    <n v="105"/>
    <n v="0"/>
  </r>
  <r>
    <s v="INV-01111"/>
    <d v="2026-01-23T00:00:00"/>
    <s v="P025"/>
    <s v="Purchase"/>
    <n v="52"/>
    <n v="52"/>
    <x v="1"/>
    <s v="PaperMate"/>
    <s v="Germany"/>
    <n v="5.5"/>
    <n v="12"/>
    <s v="PO-35568"/>
    <n v="286"/>
    <n v="0"/>
    <n v="286"/>
  </r>
  <r>
    <s v="INV-01354"/>
    <d v="2026-01-24T00:00:00"/>
    <s v="P023"/>
    <s v="Sale"/>
    <n v="-10"/>
    <n v="-10"/>
    <x v="2"/>
    <s v="DeskWorks"/>
    <s v="China"/>
    <n v="8.8000000000000007"/>
    <n v="17"/>
    <m/>
    <n v="88"/>
    <n v="170"/>
    <n v="0"/>
  </r>
  <r>
    <s v="INV-00722"/>
    <d v="2026-01-24T00:00:00"/>
    <s v="P006"/>
    <s v="Purchase"/>
    <n v="76"/>
    <n v="76"/>
    <x v="2"/>
    <s v="ViewPlus"/>
    <s v="South Korea"/>
    <n v="130"/>
    <n v="185"/>
    <s v="PO-87922"/>
    <n v="9880"/>
    <n v="0"/>
    <n v="9880"/>
  </r>
  <r>
    <s v="INV-01117"/>
    <d v="2026-01-24T00:00:00"/>
    <s v="P003"/>
    <s v="Sale"/>
    <n v="-4"/>
    <n v="-4"/>
    <x v="0"/>
    <s v="ConnectX"/>
    <s v="China"/>
    <n v="16.5"/>
    <n v="28"/>
    <m/>
    <n v="66"/>
    <n v="112"/>
    <n v="0"/>
  </r>
  <r>
    <s v="INV-01000"/>
    <d v="2026-01-24T00:00:00"/>
    <s v="P015"/>
    <s v="Purchase"/>
    <n v="96"/>
    <n v="96"/>
    <x v="0"/>
    <s v="VoltPro"/>
    <s v="China"/>
    <n v="23"/>
    <n v="38"/>
    <s v="PO-93700"/>
    <n v="2208"/>
    <n v="0"/>
    <n v="2208"/>
  </r>
  <r>
    <s v="INV-01764"/>
    <d v="2026-01-24T00:00:00"/>
    <s v="P016"/>
    <s v="Sale"/>
    <n v="-3"/>
    <n v="-3"/>
    <x v="1"/>
    <s v="ConnectX"/>
    <s v="China"/>
    <n v="4.2"/>
    <n v="10"/>
    <m/>
    <n v="12.600000000000001"/>
    <n v="30"/>
    <n v="0"/>
  </r>
  <r>
    <s v="INV-00939"/>
    <d v="2026-01-24T00:00:00"/>
    <s v="P004"/>
    <s v="Adjustment"/>
    <n v="-11"/>
    <n v="-11"/>
    <x v="2"/>
    <s v="SoundMax"/>
    <s v="Vietnam"/>
    <n v="20"/>
    <n v="35"/>
    <m/>
    <n v="220"/>
    <n v="0"/>
    <n v="0"/>
  </r>
  <r>
    <s v="INV-00362"/>
    <d v="2026-01-25T00:00:00"/>
    <s v="P021"/>
    <s v="Sale"/>
    <n v="-3"/>
    <n v="-3"/>
    <x v="2"/>
    <s v="TravelPro"/>
    <s v="Vietnam"/>
    <n v="25"/>
    <n v="45"/>
    <m/>
    <n v="75"/>
    <n v="135"/>
    <n v="0"/>
  </r>
  <r>
    <s v="INV-01133"/>
    <d v="2026-01-25T00:00:00"/>
    <s v="P002"/>
    <s v="Purchase"/>
    <n v="55"/>
    <n v="55"/>
    <x v="1"/>
    <s v="KeyPro"/>
    <s v="China"/>
    <n v="25"/>
    <n v="42"/>
    <s v="PO-79212"/>
    <n v="1375"/>
    <n v="0"/>
    <n v="1375"/>
  </r>
  <r>
    <s v="INV-01114"/>
    <d v="2026-01-26T00:00:00"/>
    <s v="P017"/>
    <s v="Adjustment"/>
    <n v="-2"/>
    <n v="-2"/>
    <x v="2"/>
    <s v="SoundMax"/>
    <s v="Vietnam"/>
    <n v="34"/>
    <n v="55"/>
    <m/>
    <n v="68"/>
    <n v="0"/>
    <n v="0"/>
  </r>
  <r>
    <s v="INV-00081"/>
    <d v="2026-01-26T00:00:00"/>
    <s v="P028"/>
    <s v="Sale"/>
    <n v="-14"/>
    <n v="-14"/>
    <x v="0"/>
    <s v="PackRight"/>
    <s v="Poland"/>
    <n v="3"/>
    <n v="7"/>
    <m/>
    <n v="42"/>
    <n v="98"/>
    <n v="0"/>
  </r>
  <r>
    <s v="INV-00109"/>
    <d v="2026-01-26T00:00:00"/>
    <s v="P008"/>
    <s v="Purchase"/>
    <n v="63"/>
    <n v="63"/>
    <x v="2"/>
    <s v="BrightHome"/>
    <s v="China"/>
    <n v="13.5"/>
    <n v="24"/>
    <s v="PO-53066"/>
    <n v="850.5"/>
    <n v="0"/>
    <n v="850.5"/>
  </r>
  <r>
    <s v="INV-01703"/>
    <d v="2026-01-27T00:00:00"/>
    <s v="P011"/>
    <s v="Adjustment"/>
    <n v="-17"/>
    <n v="-17"/>
    <x v="0"/>
    <s v="PaperMate"/>
    <s v="Germany"/>
    <n v="2.6"/>
    <n v="5.5"/>
    <m/>
    <n v="44.2"/>
    <n v="0"/>
    <n v="0"/>
  </r>
  <r>
    <s v="INV-01775"/>
    <d v="2026-01-27T00:00:00"/>
    <s v="P025"/>
    <s v="Sale"/>
    <n v="-12"/>
    <n v="-12"/>
    <x v="0"/>
    <s v="PaperMate"/>
    <s v="Germany"/>
    <n v="5.5"/>
    <n v="12"/>
    <m/>
    <n v="66"/>
    <n v="144"/>
    <n v="0"/>
  </r>
  <r>
    <s v="INV-00598"/>
    <d v="2026-01-27T00:00:00"/>
    <s v="P005"/>
    <s v="Purchase"/>
    <n v="66"/>
    <n v="66"/>
    <x v="0"/>
    <s v="VisionTech"/>
    <s v="China"/>
    <n v="18.5"/>
    <n v="31"/>
    <s v="PO-88506"/>
    <n v="1221"/>
    <n v="0"/>
    <n v="1221"/>
  </r>
  <r>
    <s v="INV-00329"/>
    <d v="2026-01-27T00:00:00"/>
    <s v="P014"/>
    <s v="Sale"/>
    <n v="-15"/>
    <n v="-15"/>
    <x v="2"/>
    <s v="DataStore"/>
    <s v="South Korea"/>
    <n v="63"/>
    <n v="95"/>
    <m/>
    <n v="945"/>
    <n v="1425"/>
    <n v="0"/>
  </r>
  <r>
    <s v="INV-01177"/>
    <d v="2026-01-28T00:00:00"/>
    <s v="P025"/>
    <s v="Sale"/>
    <n v="-5"/>
    <n v="-5"/>
    <x v="2"/>
    <s v="PaperMate"/>
    <s v="Germany"/>
    <n v="5.5"/>
    <n v="12"/>
    <m/>
    <n v="27.5"/>
    <n v="60"/>
    <n v="0"/>
  </r>
  <r>
    <s v="INV-01315"/>
    <d v="2026-01-28T00:00:00"/>
    <s v="P015"/>
    <s v="Purchase"/>
    <n v="108"/>
    <n v="108"/>
    <x v="0"/>
    <s v="VoltPro"/>
    <s v="China"/>
    <n v="23"/>
    <n v="38"/>
    <s v="PO-13598"/>
    <n v="2484"/>
    <n v="0"/>
    <n v="2484"/>
  </r>
  <r>
    <s v="INV-00717"/>
    <d v="2026-01-28T00:00:00"/>
    <s v="P026"/>
    <s v="Purchase"/>
    <n v="38"/>
    <n v="38"/>
    <x v="0"/>
    <s v="ScanPro"/>
    <s v="China"/>
    <n v="78"/>
    <n v="125"/>
    <s v="PO-98529"/>
    <n v="2964"/>
    <n v="0"/>
    <n v="2964"/>
  </r>
  <r>
    <s v="INV-01335"/>
    <d v="2026-01-28T00:00:00"/>
    <s v="P030"/>
    <s v="Purchase"/>
    <n v="78"/>
    <n v="78"/>
    <x v="0"/>
    <s v="StoreMax"/>
    <s v="Germany"/>
    <n v="11"/>
    <n v="22"/>
    <s v="PO-19705"/>
    <n v="858"/>
    <n v="0"/>
    <n v="858"/>
  </r>
  <r>
    <s v="INV-01635"/>
    <d v="2026-01-29T00:00:00"/>
    <s v="P029"/>
    <s v="Sale"/>
    <n v="-13"/>
    <n v="-13"/>
    <x v="0"/>
    <s v="PackRight"/>
    <s v="Poland"/>
    <n v="4"/>
    <n v="9"/>
    <m/>
    <n v="52"/>
    <n v="117"/>
    <n v="0"/>
  </r>
  <r>
    <s v="INV-00592"/>
    <d v="2026-01-29T00:00:00"/>
    <s v="P021"/>
    <s v="Purchase"/>
    <n v="118"/>
    <n v="118"/>
    <x v="2"/>
    <s v="TravelPro"/>
    <s v="Vietnam"/>
    <n v="25"/>
    <n v="45"/>
    <s v="PO-30897"/>
    <n v="2950"/>
    <n v="0"/>
    <n v="2950"/>
  </r>
  <r>
    <s v="INV-01258"/>
    <d v="2026-01-29T00:00:00"/>
    <s v="P016"/>
    <s v="Purchase"/>
    <n v="34"/>
    <n v="34"/>
    <x v="2"/>
    <s v="ConnectX"/>
    <s v="China"/>
    <n v="4.2"/>
    <n v="10"/>
    <s v="PO-70124"/>
    <n v="142.80000000000001"/>
    <n v="0"/>
    <n v="142.80000000000001"/>
  </r>
  <r>
    <s v="INV-01046"/>
    <d v="2026-01-29T00:00:00"/>
    <s v="P020"/>
    <s v="Sale"/>
    <n v="-5"/>
    <n v="-5"/>
    <x v="3"/>
    <s v="PrintTech"/>
    <s v="Japan"/>
    <n v="30"/>
    <n v="48"/>
    <m/>
    <n v="150"/>
    <n v="240"/>
    <n v="0"/>
  </r>
  <r>
    <s v="INV-00978"/>
    <d v="2026-01-29T00:00:00"/>
    <s v="P002"/>
    <s v="Purchase"/>
    <n v="92"/>
    <n v="92"/>
    <x v="2"/>
    <s v="KeyPro"/>
    <s v="China"/>
    <n v="25"/>
    <n v="42"/>
    <s v="PO-49551"/>
    <n v="2300"/>
    <n v="0"/>
    <n v="2300"/>
  </r>
  <r>
    <s v="INV-00849"/>
    <d v="2026-01-30T00:00:00"/>
    <s v="P016"/>
    <s v="Sale"/>
    <n v="-14"/>
    <n v="-14"/>
    <x v="0"/>
    <s v="ConnectX"/>
    <s v="China"/>
    <n v="4.2"/>
    <n v="10"/>
    <m/>
    <n v="58.800000000000004"/>
    <n v="140"/>
    <n v="0"/>
  </r>
  <r>
    <s v="INV-01513"/>
    <d v="2026-01-30T00:00:00"/>
    <s v="P029"/>
    <s v="Sale"/>
    <n v="-13"/>
    <n v="-13"/>
    <x v="0"/>
    <s v="PackRight"/>
    <s v="Poland"/>
    <n v="4"/>
    <n v="9"/>
    <m/>
    <n v="52"/>
    <n v="117"/>
    <n v="0"/>
  </r>
  <r>
    <s v="INV-01490"/>
    <d v="2026-01-31T00:00:00"/>
    <s v="P015"/>
    <s v="Purchase"/>
    <n v="60"/>
    <n v="60"/>
    <x v="2"/>
    <s v="VoltPro"/>
    <s v="China"/>
    <n v="23"/>
    <n v="38"/>
    <s v="PO-32072"/>
    <n v="1380"/>
    <n v="0"/>
    <n v="1380"/>
  </r>
  <r>
    <s v="INV-01731"/>
    <d v="2026-01-31T00:00:00"/>
    <s v="P011"/>
    <s v="Purchase"/>
    <n v="48"/>
    <n v="48"/>
    <x v="0"/>
    <s v="PaperMate"/>
    <s v="Germany"/>
    <n v="2.6"/>
    <n v="5.5"/>
    <s v="PO-98090"/>
    <n v="124.80000000000001"/>
    <n v="0"/>
    <n v="124.80000000000001"/>
  </r>
  <r>
    <s v="INV-00820"/>
    <d v="2026-01-31T00:00:00"/>
    <s v="P011"/>
    <s v="Purchase"/>
    <n v="117"/>
    <n v="117"/>
    <x v="2"/>
    <s v="PaperMate"/>
    <s v="Germany"/>
    <n v="2.6"/>
    <n v="5.5"/>
    <s v="PO-73925"/>
    <n v="304.2"/>
    <n v="0"/>
    <n v="304.2"/>
  </r>
  <r>
    <s v="INV-01542"/>
    <d v="2026-01-31T00:00:00"/>
    <s v="P003"/>
    <s v="Sale"/>
    <n v="-2"/>
    <n v="-2"/>
    <x v="2"/>
    <s v="ConnectX"/>
    <s v="China"/>
    <n v="16.5"/>
    <n v="28"/>
    <m/>
    <n v="33"/>
    <n v="56"/>
    <n v="0"/>
  </r>
  <r>
    <s v="INV-00848"/>
    <d v="2026-01-31T00:00:00"/>
    <s v="P030"/>
    <s v="Sale"/>
    <n v="-8"/>
    <n v="-8"/>
    <x v="2"/>
    <s v="StoreMax"/>
    <s v="Germany"/>
    <n v="11"/>
    <n v="22"/>
    <m/>
    <n v="88"/>
    <n v="176"/>
    <n v="0"/>
  </r>
  <r>
    <s v="INV-00502"/>
    <d v="2026-01-31T00:00:00"/>
    <s v="P017"/>
    <s v="Sale"/>
    <n v="-10"/>
    <n v="-10"/>
    <x v="2"/>
    <s v="SoundMax"/>
    <s v="Vietnam"/>
    <n v="34"/>
    <n v="55"/>
    <m/>
    <n v="340"/>
    <n v="550"/>
    <n v="0"/>
  </r>
  <r>
    <s v="INV-00318"/>
    <d v="2026-02-01T00:00:00"/>
    <s v="P005"/>
    <s v="Sale"/>
    <n v="-1"/>
    <n v="-1"/>
    <x v="0"/>
    <s v="VisionTech"/>
    <s v="China"/>
    <n v="18.5"/>
    <n v="31"/>
    <m/>
    <n v="18.5"/>
    <n v="31"/>
    <n v="0"/>
  </r>
  <r>
    <s v="INV-01192"/>
    <d v="2026-02-01T00:00:00"/>
    <s v="P018"/>
    <s v="Sale"/>
    <n v="-12"/>
    <n v="-12"/>
    <x v="1"/>
    <s v="DataStore"/>
    <s v="South Korea"/>
    <n v="5.2"/>
    <n v="11"/>
    <m/>
    <n v="62.400000000000006"/>
    <n v="132"/>
    <n v="0"/>
  </r>
  <r>
    <s v="INV-01045"/>
    <d v="2026-02-01T00:00:00"/>
    <s v="P028"/>
    <s v="Sale"/>
    <n v="-14"/>
    <n v="-14"/>
    <x v="1"/>
    <s v="PackRight"/>
    <s v="Poland"/>
    <n v="3"/>
    <n v="7"/>
    <m/>
    <n v="42"/>
    <n v="98"/>
    <n v="0"/>
  </r>
  <r>
    <s v="INV-00443"/>
    <d v="2026-02-01T00:00:00"/>
    <s v="P012"/>
    <s v="Sale"/>
    <n v="-4"/>
    <n v="-4"/>
    <x v="0"/>
    <s v="WriteWell"/>
    <s v="France"/>
    <n v="3.4"/>
    <n v="8"/>
    <m/>
    <n v="13.6"/>
    <n v="32"/>
    <n v="0"/>
  </r>
  <r>
    <s v="INV-01417"/>
    <d v="2026-02-02T00:00:00"/>
    <s v="P001"/>
    <s v="Purchase"/>
    <n v="41"/>
    <n v="41"/>
    <x v="0"/>
    <s v="TechGear"/>
    <s v="China"/>
    <n v="7.2"/>
    <n v="12.5"/>
    <s v="PO-72695"/>
    <n v="295.2"/>
    <n v="0"/>
    <n v="295.2"/>
  </r>
  <r>
    <s v="INV-00060"/>
    <d v="2026-02-02T00:00:00"/>
    <s v="P011"/>
    <s v="Sale"/>
    <n v="-11"/>
    <n v="-11"/>
    <x v="0"/>
    <s v="PaperMate"/>
    <s v="Germany"/>
    <n v="2.6"/>
    <n v="5.5"/>
    <m/>
    <n v="28.6"/>
    <n v="60.5"/>
    <n v="0"/>
  </r>
  <r>
    <s v="INV-00249"/>
    <d v="2026-02-02T00:00:00"/>
    <s v="P030"/>
    <s v="Sale"/>
    <n v="-15"/>
    <n v="-15"/>
    <x v="0"/>
    <s v="StoreMax"/>
    <s v="Germany"/>
    <n v="11"/>
    <n v="22"/>
    <m/>
    <n v="165"/>
    <n v="330"/>
    <n v="0"/>
  </r>
  <r>
    <s v="INV-00723"/>
    <d v="2026-02-02T00:00:00"/>
    <s v="P002"/>
    <s v="Purchase"/>
    <n v="104"/>
    <n v="104"/>
    <x v="0"/>
    <s v="KeyPro"/>
    <s v="China"/>
    <n v="25"/>
    <n v="42"/>
    <s v="PO-44033"/>
    <n v="2600"/>
    <n v="0"/>
    <n v="2600"/>
  </r>
  <r>
    <s v="INV-01545"/>
    <d v="2026-02-03T00:00:00"/>
    <s v="P029"/>
    <s v="Sale"/>
    <n v="-6"/>
    <n v="-6"/>
    <x v="1"/>
    <s v="PackRight"/>
    <s v="Poland"/>
    <n v="4"/>
    <n v="9"/>
    <m/>
    <n v="24"/>
    <n v="54"/>
    <n v="0"/>
  </r>
  <r>
    <s v="INV-00497"/>
    <d v="2026-02-03T00:00:00"/>
    <s v="P018"/>
    <s v="Purchase"/>
    <n v="75"/>
    <n v="75"/>
    <x v="0"/>
    <s v="DataStore"/>
    <s v="South Korea"/>
    <n v="5.2"/>
    <n v="11"/>
    <s v="PO-74068"/>
    <n v="390"/>
    <n v="0"/>
    <n v="390"/>
  </r>
  <r>
    <s v="INV-01433"/>
    <d v="2026-02-04T00:00:00"/>
    <s v="P016"/>
    <s v="Purchase"/>
    <n v="25"/>
    <n v="25"/>
    <x v="1"/>
    <s v="ConnectX"/>
    <s v="China"/>
    <n v="4.2"/>
    <n v="10"/>
    <s v="PO-23454"/>
    <n v="105"/>
    <n v="0"/>
    <n v="105"/>
  </r>
  <r>
    <s v="INV-01413"/>
    <d v="2026-02-05T00:00:00"/>
    <s v="P009"/>
    <s v="Purchase"/>
    <n v="96"/>
    <n v="96"/>
    <x v="1"/>
    <s v="ComfortPro"/>
    <s v="Poland"/>
    <n v="105"/>
    <n v="165"/>
    <s v="PO-13869"/>
    <n v="10080"/>
    <n v="0"/>
    <n v="10080"/>
  </r>
  <r>
    <s v="INV-00056"/>
    <d v="2026-02-06T00:00:00"/>
    <s v="P029"/>
    <s v="Purchase"/>
    <n v="42"/>
    <n v="42"/>
    <x v="0"/>
    <s v="PackRight"/>
    <s v="Poland"/>
    <n v="4"/>
    <n v="9"/>
    <s v="PO-82216"/>
    <n v="168"/>
    <n v="0"/>
    <n v="168"/>
  </r>
  <r>
    <s v="INV-00573"/>
    <d v="2026-02-06T00:00:00"/>
    <s v="P013"/>
    <s v="Sale"/>
    <n v="-5"/>
    <n v="-5"/>
    <x v="0"/>
    <s v="DeskWorks"/>
    <s v="China"/>
    <n v="8"/>
    <n v="15"/>
    <m/>
    <n v="40"/>
    <n v="75"/>
    <n v="0"/>
  </r>
  <r>
    <s v="INV-00396"/>
    <d v="2026-02-06T00:00:00"/>
    <s v="P029"/>
    <s v="Sale"/>
    <n v="-10"/>
    <n v="-10"/>
    <x v="3"/>
    <s v="PackRight"/>
    <s v="Poland"/>
    <n v="4"/>
    <n v="9"/>
    <m/>
    <n v="40"/>
    <n v="90"/>
    <n v="0"/>
  </r>
  <r>
    <s v="INV-00713"/>
    <d v="2026-02-06T00:00:00"/>
    <s v="P016"/>
    <s v="Sale"/>
    <n v="-10"/>
    <n v="-10"/>
    <x v="0"/>
    <s v="ConnectX"/>
    <s v="China"/>
    <n v="4.2"/>
    <n v="10"/>
    <m/>
    <n v="42"/>
    <n v="100"/>
    <n v="0"/>
  </r>
  <r>
    <s v="INV-01489"/>
    <d v="2026-02-07T00:00:00"/>
    <s v="P013"/>
    <s v="Return"/>
    <n v="2"/>
    <n v="2"/>
    <x v="0"/>
    <s v="DeskWorks"/>
    <s v="China"/>
    <n v="8"/>
    <n v="15"/>
    <m/>
    <n v="16"/>
    <n v="0"/>
    <n v="0"/>
  </r>
  <r>
    <s v="INV-00570"/>
    <d v="2026-02-07T00:00:00"/>
    <s v="P012"/>
    <s v="Sale"/>
    <n v="-3"/>
    <n v="-3"/>
    <x v="2"/>
    <s v="WriteWell"/>
    <s v="France"/>
    <n v="3.4"/>
    <n v="8"/>
    <m/>
    <n v="10.199999999999999"/>
    <n v="24"/>
    <n v="0"/>
  </r>
  <r>
    <s v="INV-01614"/>
    <d v="2026-02-07T00:00:00"/>
    <s v="P011"/>
    <s v="Sale"/>
    <n v="-7"/>
    <n v="-7"/>
    <x v="0"/>
    <s v="PaperMate"/>
    <s v="Germany"/>
    <n v="2.6"/>
    <n v="5.5"/>
    <m/>
    <n v="18.2"/>
    <n v="38.5"/>
    <n v="0"/>
  </r>
  <r>
    <s v="INV-01623"/>
    <d v="2026-02-07T00:00:00"/>
    <s v="P018"/>
    <s v="Sale"/>
    <n v="-10"/>
    <n v="-10"/>
    <x v="1"/>
    <s v="DataStore"/>
    <s v="South Korea"/>
    <n v="5.2"/>
    <n v="11"/>
    <m/>
    <n v="52"/>
    <n v="110"/>
    <n v="0"/>
  </r>
  <r>
    <s v="INV-01272"/>
    <d v="2026-02-07T00:00:00"/>
    <s v="P028"/>
    <s v="Sale"/>
    <n v="-13"/>
    <n v="-13"/>
    <x v="2"/>
    <s v="PackRight"/>
    <s v="Poland"/>
    <n v="3"/>
    <n v="7"/>
    <m/>
    <n v="39"/>
    <n v="91"/>
    <n v="0"/>
  </r>
  <r>
    <s v="INV-00736"/>
    <d v="2026-02-08T00:00:00"/>
    <s v="P028"/>
    <s v="Sale"/>
    <n v="-1"/>
    <n v="-1"/>
    <x v="2"/>
    <s v="PackRight"/>
    <s v="Poland"/>
    <n v="3"/>
    <n v="7"/>
    <m/>
    <n v="3"/>
    <n v="7"/>
    <n v="0"/>
  </r>
  <r>
    <s v="INV-01448"/>
    <d v="2026-02-08T00:00:00"/>
    <s v="P027"/>
    <s v="Sale"/>
    <n v="-5"/>
    <n v="-5"/>
    <x v="0"/>
    <s v="PrintTech"/>
    <s v="Japan"/>
    <n v="82"/>
    <n v="135"/>
    <m/>
    <n v="410"/>
    <n v="675"/>
    <n v="0"/>
  </r>
  <r>
    <s v="INV-01017"/>
    <d v="2026-02-08T00:00:00"/>
    <s v="P006"/>
    <s v="Sale"/>
    <n v="-6"/>
    <n v="-6"/>
    <x v="1"/>
    <s v="ViewPlus"/>
    <s v="South Korea"/>
    <n v="130"/>
    <n v="185"/>
    <m/>
    <n v="780"/>
    <n v="1110"/>
    <n v="0"/>
  </r>
  <r>
    <s v="INV-00195"/>
    <d v="2026-02-08T00:00:00"/>
    <s v="P012"/>
    <s v="Sale"/>
    <n v="-14"/>
    <n v="-14"/>
    <x v="1"/>
    <s v="WriteWell"/>
    <s v="France"/>
    <n v="3.4"/>
    <n v="8"/>
    <m/>
    <n v="47.6"/>
    <n v="112"/>
    <n v="0"/>
  </r>
  <r>
    <s v="INV-01695"/>
    <d v="2026-02-09T00:00:00"/>
    <s v="P012"/>
    <s v="Sale"/>
    <n v="-6"/>
    <n v="-6"/>
    <x v="0"/>
    <s v="WriteWell"/>
    <s v="France"/>
    <n v="3.4"/>
    <n v="8"/>
    <m/>
    <n v="20.399999999999999"/>
    <n v="48"/>
    <n v="0"/>
  </r>
  <r>
    <s v="INV-00303"/>
    <d v="2026-02-09T00:00:00"/>
    <s v="P017"/>
    <s v="Purchase"/>
    <n v="91"/>
    <n v="91"/>
    <x v="0"/>
    <s v="SoundMax"/>
    <s v="Vietnam"/>
    <n v="34"/>
    <n v="55"/>
    <s v="PO-80572"/>
    <n v="3094"/>
    <n v="0"/>
    <n v="3094"/>
  </r>
  <r>
    <s v="INV-01317"/>
    <d v="2026-02-09T00:00:00"/>
    <s v="P017"/>
    <s v="Sale"/>
    <n v="-12"/>
    <n v="-12"/>
    <x v="0"/>
    <s v="SoundMax"/>
    <s v="Vietnam"/>
    <n v="34"/>
    <n v="55"/>
    <m/>
    <n v="408"/>
    <n v="660"/>
    <n v="0"/>
  </r>
  <r>
    <s v="INV-00597"/>
    <d v="2026-02-09T00:00:00"/>
    <s v="P022"/>
    <s v="Purchase"/>
    <n v="76"/>
    <n v="76"/>
    <x v="2"/>
    <s v="HydroLife"/>
    <s v="Germany"/>
    <n v="8.5"/>
    <n v="18"/>
    <s v="PO-76957"/>
    <n v="646"/>
    <n v="0"/>
    <n v="646"/>
  </r>
  <r>
    <s v="INV-01292"/>
    <d v="2026-02-10T00:00:00"/>
    <s v="P004"/>
    <s v="Adjustment"/>
    <n v="-13"/>
    <n v="-13"/>
    <x v="2"/>
    <s v="SoundMax"/>
    <s v="Vietnam"/>
    <n v="20"/>
    <n v="35"/>
    <m/>
    <n v="260"/>
    <n v="0"/>
    <n v="0"/>
  </r>
  <r>
    <s v="INV-01546"/>
    <d v="2026-02-11T00:00:00"/>
    <s v="P016"/>
    <s v="Sale"/>
    <n v="-5"/>
    <n v="-5"/>
    <x v="1"/>
    <s v="ConnectX"/>
    <s v="China"/>
    <n v="4.2"/>
    <n v="10"/>
    <m/>
    <n v="21"/>
    <n v="50"/>
    <n v="0"/>
  </r>
  <r>
    <s v="INV-00983"/>
    <d v="2026-02-11T00:00:00"/>
    <s v="P003"/>
    <s v="Adjustment"/>
    <n v="13"/>
    <n v="13"/>
    <x v="2"/>
    <s v="ConnectX"/>
    <s v="China"/>
    <n v="16.5"/>
    <n v="28"/>
    <m/>
    <n v="214.5"/>
    <n v="0"/>
    <n v="0"/>
  </r>
  <r>
    <s v="INV-01783"/>
    <d v="2026-02-11T00:00:00"/>
    <s v="P016"/>
    <s v="Sale"/>
    <n v="-15"/>
    <n v="-15"/>
    <x v="0"/>
    <s v="ConnectX"/>
    <s v="China"/>
    <n v="4.2"/>
    <n v="10"/>
    <m/>
    <n v="63"/>
    <n v="150"/>
    <n v="0"/>
  </r>
  <r>
    <s v="INV-00220"/>
    <d v="2026-02-12T00:00:00"/>
    <s v="P028"/>
    <s v="Sale"/>
    <n v="-15"/>
    <n v="-15"/>
    <x v="2"/>
    <s v="PackRight"/>
    <s v="Poland"/>
    <n v="3"/>
    <n v="7"/>
    <m/>
    <n v="45"/>
    <n v="105"/>
    <n v="0"/>
  </r>
  <r>
    <s v="INV-01197"/>
    <d v="2026-02-12T00:00:00"/>
    <s v="P030"/>
    <s v="Purchase"/>
    <n v="81"/>
    <n v="81"/>
    <x v="1"/>
    <s v="StoreMax"/>
    <s v="Germany"/>
    <n v="11"/>
    <n v="22"/>
    <s v="PO-81524"/>
    <n v="891"/>
    <n v="0"/>
    <n v="891"/>
  </r>
  <r>
    <s v="INV-00471"/>
    <d v="2026-02-13T00:00:00"/>
    <s v="P001"/>
    <s v="Purchase"/>
    <n v="64"/>
    <n v="64"/>
    <x v="2"/>
    <s v="TechGear"/>
    <s v="China"/>
    <n v="7.2"/>
    <n v="12.5"/>
    <s v="PO-56566"/>
    <n v="460.8"/>
    <n v="0"/>
    <n v="460.8"/>
  </r>
  <r>
    <s v="INV-00728"/>
    <d v="2026-02-13T00:00:00"/>
    <s v="P025"/>
    <s v="Adjustment"/>
    <n v="-2"/>
    <n v="-2"/>
    <x v="2"/>
    <s v="PaperMate"/>
    <s v="Germany"/>
    <n v="5.5"/>
    <n v="12"/>
    <m/>
    <n v="11"/>
    <n v="0"/>
    <n v="0"/>
  </r>
  <r>
    <s v="INV-01603"/>
    <d v="2026-02-13T00:00:00"/>
    <s v="P008"/>
    <s v="Adjustment"/>
    <n v="12"/>
    <n v="12"/>
    <x v="0"/>
    <s v="BrightHome"/>
    <s v="China"/>
    <n v="13.5"/>
    <n v="24"/>
    <m/>
    <n v="162"/>
    <n v="0"/>
    <n v="0"/>
  </r>
  <r>
    <s v="INV-00354"/>
    <d v="2026-02-14T00:00:00"/>
    <s v="P005"/>
    <s v="Sale"/>
    <n v="-15"/>
    <n v="-15"/>
    <x v="2"/>
    <s v="VisionTech"/>
    <s v="China"/>
    <n v="18.5"/>
    <n v="31"/>
    <m/>
    <n v="277.5"/>
    <n v="465"/>
    <n v="0"/>
  </r>
  <r>
    <s v="INV-00422"/>
    <d v="2026-02-14T00:00:00"/>
    <s v="P025"/>
    <s v="Sale"/>
    <n v="-15"/>
    <n v="-15"/>
    <x v="1"/>
    <s v="PaperMate"/>
    <s v="Germany"/>
    <n v="5.5"/>
    <n v="12"/>
    <m/>
    <n v="82.5"/>
    <n v="180"/>
    <n v="0"/>
  </r>
  <r>
    <s v="INV-00107"/>
    <d v="2026-02-14T00:00:00"/>
    <s v="P013"/>
    <s v="Adjustment"/>
    <n v="15"/>
    <n v="15"/>
    <x v="2"/>
    <s v="DeskWorks"/>
    <s v="China"/>
    <n v="8"/>
    <n v="15"/>
    <m/>
    <n v="120"/>
    <n v="0"/>
    <n v="0"/>
  </r>
  <r>
    <s v="INV-00906"/>
    <d v="2026-02-15T00:00:00"/>
    <s v="P028"/>
    <s v="Sale"/>
    <n v="-11"/>
    <n v="-11"/>
    <x v="0"/>
    <s v="PackRight"/>
    <s v="Poland"/>
    <n v="3"/>
    <n v="7"/>
    <m/>
    <n v="33"/>
    <n v="77"/>
    <n v="0"/>
  </r>
  <r>
    <s v="INV-00037"/>
    <d v="2026-02-15T00:00:00"/>
    <s v="P011"/>
    <s v="Purchase"/>
    <n v="64"/>
    <n v="64"/>
    <x v="0"/>
    <s v="PaperMate"/>
    <s v="Germany"/>
    <n v="2.6"/>
    <n v="5.5"/>
    <s v="PO-10569"/>
    <n v="166.4"/>
    <n v="0"/>
    <n v="166.4"/>
  </r>
  <r>
    <s v="INV-00986"/>
    <d v="2026-02-16T00:00:00"/>
    <s v="P016"/>
    <s v="Purchase"/>
    <n v="32"/>
    <n v="32"/>
    <x v="0"/>
    <s v="ConnectX"/>
    <s v="China"/>
    <n v="4.2"/>
    <n v="10"/>
    <s v="PO-79358"/>
    <n v="134.4"/>
    <n v="0"/>
    <n v="134.4"/>
  </r>
  <r>
    <s v="INV-01236"/>
    <d v="2026-02-16T00:00:00"/>
    <s v="P012"/>
    <s v="Purchase"/>
    <n v="74"/>
    <n v="74"/>
    <x v="0"/>
    <s v="WriteWell"/>
    <s v="France"/>
    <n v="3.4"/>
    <n v="8"/>
    <s v="PO-72112"/>
    <n v="251.6"/>
    <n v="0"/>
    <n v="251.6"/>
  </r>
  <r>
    <s v="INV-00729"/>
    <d v="2026-02-16T00:00:00"/>
    <s v="P007"/>
    <s v="Purchase"/>
    <n v="78"/>
    <n v="78"/>
    <x v="2"/>
    <s v="DeskWorks"/>
    <s v="China"/>
    <n v="16"/>
    <n v="29"/>
    <s v="PO-22938"/>
    <n v="1248"/>
    <n v="0"/>
    <n v="1248"/>
  </r>
  <r>
    <s v="INV-01516"/>
    <d v="2026-02-16T00:00:00"/>
    <s v="P001"/>
    <s v="Sale"/>
    <n v="-1"/>
    <n v="-1"/>
    <x v="2"/>
    <s v="TechGear"/>
    <s v="China"/>
    <n v="7.2"/>
    <n v="12.5"/>
    <m/>
    <n v="7.2"/>
    <n v="12.5"/>
    <n v="0"/>
  </r>
  <r>
    <s v="INV-00917"/>
    <d v="2026-02-16T00:00:00"/>
    <s v="P011"/>
    <s v="Sale"/>
    <n v="-8"/>
    <n v="-8"/>
    <x v="0"/>
    <s v="PaperMate"/>
    <s v="Germany"/>
    <n v="2.6"/>
    <n v="5.5"/>
    <m/>
    <n v="20.8"/>
    <n v="44"/>
    <n v="0"/>
  </r>
  <r>
    <s v="INV-01222"/>
    <d v="2026-02-17T00:00:00"/>
    <s v="P005"/>
    <s v="Sale"/>
    <n v="-4"/>
    <n v="-4"/>
    <x v="1"/>
    <s v="VisionTech"/>
    <s v="China"/>
    <n v="18.5"/>
    <n v="31"/>
    <m/>
    <n v="74"/>
    <n v="124"/>
    <n v="0"/>
  </r>
  <r>
    <s v="INV-01506"/>
    <d v="2026-02-17T00:00:00"/>
    <s v="P013"/>
    <s v="Sale"/>
    <n v="-8"/>
    <n v="-8"/>
    <x v="0"/>
    <s v="DeskWorks"/>
    <s v="China"/>
    <n v="8"/>
    <n v="15"/>
    <m/>
    <n v="64"/>
    <n v="120"/>
    <n v="0"/>
  </r>
  <r>
    <s v="INV-00120"/>
    <d v="2026-02-17T00:00:00"/>
    <s v="P017"/>
    <s v="Sale"/>
    <n v="-9"/>
    <n v="-9"/>
    <x v="0"/>
    <s v="SoundMax"/>
    <s v="Vietnam"/>
    <n v="34"/>
    <n v="55"/>
    <m/>
    <n v="306"/>
    <n v="495"/>
    <n v="0"/>
  </r>
  <r>
    <s v="INV-00050"/>
    <d v="2026-02-17T00:00:00"/>
    <s v="P006"/>
    <s v="Sale"/>
    <n v="-1"/>
    <n v="-1"/>
    <x v="1"/>
    <s v="ViewPlus"/>
    <s v="South Korea"/>
    <n v="130"/>
    <n v="185"/>
    <m/>
    <n v="130"/>
    <n v="185"/>
    <n v="0"/>
  </r>
  <r>
    <s v="INV-00423"/>
    <d v="2026-02-18T00:00:00"/>
    <s v="P003"/>
    <s v="Purchase"/>
    <n v="54"/>
    <n v="54"/>
    <x v="0"/>
    <s v="ConnectX"/>
    <s v="China"/>
    <n v="16.5"/>
    <n v="28"/>
    <s v="PO-98306"/>
    <n v="891"/>
    <n v="0"/>
    <n v="891"/>
  </r>
  <r>
    <s v="INV-00571"/>
    <d v="2026-02-18T00:00:00"/>
    <s v="P016"/>
    <s v="Sale"/>
    <n v="-11"/>
    <n v="-11"/>
    <x v="0"/>
    <s v="ConnectX"/>
    <s v="China"/>
    <n v="4.2"/>
    <n v="10"/>
    <m/>
    <n v="46.2"/>
    <n v="110"/>
    <n v="0"/>
  </r>
  <r>
    <s v="INV-01492"/>
    <d v="2026-02-19T00:00:00"/>
    <s v="P012"/>
    <s v="Sale"/>
    <n v="-11"/>
    <n v="-11"/>
    <x v="0"/>
    <s v="WriteWell"/>
    <s v="France"/>
    <n v="3.4"/>
    <n v="8"/>
    <m/>
    <n v="37.4"/>
    <n v="88"/>
    <n v="0"/>
  </r>
  <r>
    <s v="INV-01722"/>
    <d v="2026-02-19T00:00:00"/>
    <s v="P004"/>
    <s v="Sale"/>
    <n v="-11"/>
    <n v="-11"/>
    <x v="2"/>
    <s v="SoundMax"/>
    <s v="Vietnam"/>
    <n v="20"/>
    <n v="35"/>
    <m/>
    <n v="220"/>
    <n v="385"/>
    <n v="0"/>
  </r>
  <r>
    <s v="INV-01748"/>
    <d v="2026-02-19T00:00:00"/>
    <s v="P009"/>
    <s v="Sale"/>
    <n v="-9"/>
    <n v="-9"/>
    <x v="2"/>
    <s v="ComfortPro"/>
    <s v="Poland"/>
    <n v="105"/>
    <n v="165"/>
    <m/>
    <n v="945"/>
    <n v="1485"/>
    <n v="0"/>
  </r>
  <r>
    <s v="INV-00560"/>
    <d v="2026-02-19T00:00:00"/>
    <s v="P020"/>
    <s v="Purchase"/>
    <n v="77"/>
    <n v="77"/>
    <x v="2"/>
    <s v="PrintTech"/>
    <s v="Japan"/>
    <n v="30"/>
    <n v="48"/>
    <s v="PO-75782"/>
    <n v="2310"/>
    <n v="0"/>
    <n v="2310"/>
  </r>
  <r>
    <s v="INV-01374"/>
    <d v="2026-02-19T00:00:00"/>
    <s v="P016"/>
    <s v="Purchase"/>
    <n v="94"/>
    <n v="94"/>
    <x v="0"/>
    <s v="ConnectX"/>
    <s v="China"/>
    <n v="4.2"/>
    <n v="10"/>
    <s v="PO-72648"/>
    <n v="394.8"/>
    <n v="0"/>
    <n v="394.8"/>
  </r>
  <r>
    <s v="INV-00930"/>
    <d v="2026-02-19T00:00:00"/>
    <s v="P008"/>
    <s v="Sale"/>
    <n v="-13"/>
    <n v="-13"/>
    <x v="1"/>
    <s v="BrightHome"/>
    <s v="China"/>
    <n v="13.5"/>
    <n v="24"/>
    <m/>
    <n v="175.5"/>
    <n v="312"/>
    <n v="0"/>
  </r>
  <r>
    <s v="INV-01552"/>
    <d v="2026-02-20T00:00:00"/>
    <s v="P019"/>
    <s v="Sale"/>
    <n v="-10"/>
    <n v="-10"/>
    <x v="1"/>
    <s v="PrintTech"/>
    <s v="Japan"/>
    <n v="145"/>
    <n v="210"/>
    <m/>
    <n v="1450"/>
    <n v="2100"/>
    <n v="0"/>
  </r>
  <r>
    <s v="INV-00844"/>
    <d v="2026-02-20T00:00:00"/>
    <s v="P029"/>
    <s v="Sale"/>
    <n v="-14"/>
    <n v="-14"/>
    <x v="0"/>
    <s v="PackRight"/>
    <s v="Poland"/>
    <n v="4"/>
    <n v="9"/>
    <m/>
    <n v="56"/>
    <n v="126"/>
    <n v="0"/>
  </r>
  <r>
    <s v="INV-00771"/>
    <d v="2026-02-20T00:00:00"/>
    <s v="P003"/>
    <s v="Sale"/>
    <n v="-11"/>
    <n v="-11"/>
    <x v="0"/>
    <s v="ConnectX"/>
    <s v="China"/>
    <n v="16.5"/>
    <n v="28"/>
    <m/>
    <n v="181.5"/>
    <n v="308"/>
    <n v="0"/>
  </r>
  <r>
    <s v="INV-00452"/>
    <d v="2026-02-20T00:00:00"/>
    <s v="P018"/>
    <s v="Return"/>
    <n v="3"/>
    <n v="3"/>
    <x v="0"/>
    <s v="DataStore"/>
    <s v="South Korea"/>
    <n v="5.2"/>
    <n v="11"/>
    <m/>
    <n v="15.600000000000001"/>
    <n v="0"/>
    <n v="0"/>
  </r>
  <r>
    <s v="INV-00767"/>
    <d v="2026-02-22T00:00:00"/>
    <s v="P024"/>
    <s v="Purchase"/>
    <n v="45"/>
    <n v="45"/>
    <x v="0"/>
    <s v="CalcPlus"/>
    <s v="China"/>
    <n v="6"/>
    <n v="14"/>
    <s v="PO-95013"/>
    <n v="270"/>
    <n v="0"/>
    <n v="270"/>
  </r>
  <r>
    <s v="INV-00694"/>
    <d v="2026-02-23T00:00:00"/>
    <s v="P008"/>
    <s v="Sale"/>
    <n v="-15"/>
    <n v="-15"/>
    <x v="0"/>
    <s v="BrightHome"/>
    <s v="China"/>
    <n v="13.5"/>
    <n v="24"/>
    <m/>
    <n v="202.5"/>
    <n v="360"/>
    <n v="0"/>
  </r>
  <r>
    <s v="INV-01533"/>
    <d v="2026-02-23T00:00:00"/>
    <s v="P023"/>
    <s v="Purchase"/>
    <n v="20"/>
    <n v="20"/>
    <x v="1"/>
    <s v="DeskWorks"/>
    <s v="China"/>
    <n v="8.8000000000000007"/>
    <n v="17"/>
    <s v="PO-44293"/>
    <n v="176"/>
    <n v="0"/>
    <n v="176"/>
  </r>
  <r>
    <s v="INV-01667"/>
    <d v="2026-02-23T00:00:00"/>
    <s v="P007"/>
    <s v="Sale"/>
    <n v="-3"/>
    <n v="-3"/>
    <x v="1"/>
    <s v="DeskWorks"/>
    <s v="China"/>
    <n v="16"/>
    <n v="29"/>
    <m/>
    <n v="48"/>
    <n v="87"/>
    <n v="0"/>
  </r>
  <r>
    <s v="INV-00805"/>
    <d v="2026-02-24T00:00:00"/>
    <s v="P014"/>
    <s v="Purchase"/>
    <n v="46"/>
    <n v="46"/>
    <x v="0"/>
    <s v="DataStore"/>
    <s v="South Korea"/>
    <n v="63"/>
    <n v="95"/>
    <s v="PO-18562"/>
    <n v="2898"/>
    <n v="0"/>
    <n v="2898"/>
  </r>
  <r>
    <s v="INV-00552"/>
    <d v="2026-02-24T00:00:00"/>
    <s v="P028"/>
    <s v="Return"/>
    <n v="1"/>
    <n v="1"/>
    <x v="1"/>
    <s v="PackRight"/>
    <s v="Poland"/>
    <n v="3"/>
    <n v="7"/>
    <m/>
    <n v="3"/>
    <n v="0"/>
    <n v="0"/>
  </r>
  <r>
    <s v="INV-00576"/>
    <d v="2026-02-24T00:00:00"/>
    <s v="P029"/>
    <s v="Purchase"/>
    <n v="64"/>
    <n v="64"/>
    <x v="1"/>
    <s v="PackRight"/>
    <s v="Poland"/>
    <n v="4"/>
    <n v="9"/>
    <s v="PO-95637"/>
    <n v="256"/>
    <n v="0"/>
    <n v="256"/>
  </r>
  <r>
    <s v="INV-00506"/>
    <d v="2026-02-24T00:00:00"/>
    <s v="P005"/>
    <s v="Sale"/>
    <n v="-9"/>
    <n v="-9"/>
    <x v="2"/>
    <s v="VisionTech"/>
    <s v="China"/>
    <n v="18.5"/>
    <n v="31"/>
    <m/>
    <n v="166.5"/>
    <n v="279"/>
    <n v="0"/>
  </r>
  <r>
    <s v="INV-01466"/>
    <d v="2026-02-24T00:00:00"/>
    <s v="P002"/>
    <s v="Purchase"/>
    <n v="110"/>
    <n v="110"/>
    <x v="0"/>
    <s v="KeyPro"/>
    <s v="China"/>
    <n v="25"/>
    <n v="42"/>
    <s v="PO-82254"/>
    <n v="2750"/>
    <n v="0"/>
    <n v="2750"/>
  </r>
  <r>
    <s v="INV-01682"/>
    <d v="2026-02-25T00:00:00"/>
    <s v="P030"/>
    <s v="Sale"/>
    <n v="-4"/>
    <n v="-4"/>
    <x v="0"/>
    <s v="StoreMax"/>
    <s v="Germany"/>
    <n v="11"/>
    <n v="22"/>
    <m/>
    <n v="44"/>
    <n v="88"/>
    <n v="0"/>
  </r>
  <r>
    <s v="INV-00950"/>
    <d v="2026-02-25T00:00:00"/>
    <s v="P019"/>
    <s v="Sale"/>
    <n v="-4"/>
    <n v="-4"/>
    <x v="2"/>
    <s v="PrintTech"/>
    <s v="Japan"/>
    <n v="145"/>
    <n v="210"/>
    <m/>
    <n v="580"/>
    <n v="840"/>
    <n v="0"/>
  </r>
  <r>
    <s v="INV-00458"/>
    <d v="2026-02-25T00:00:00"/>
    <s v="P016"/>
    <s v="Sale"/>
    <n v="-12"/>
    <n v="-12"/>
    <x v="0"/>
    <s v="ConnectX"/>
    <s v="China"/>
    <n v="4.2"/>
    <n v="10"/>
    <m/>
    <n v="50.400000000000006"/>
    <n v="120"/>
    <n v="0"/>
  </r>
  <r>
    <s v="INV-00306"/>
    <d v="2026-02-26T00:00:00"/>
    <s v="P030"/>
    <s v="Purchase"/>
    <n v="80"/>
    <n v="80"/>
    <x v="0"/>
    <s v="StoreMax"/>
    <s v="Germany"/>
    <n v="11"/>
    <n v="22"/>
    <s v="PO-39960"/>
    <n v="880"/>
    <n v="0"/>
    <n v="880"/>
  </r>
  <r>
    <s v="INV-01240"/>
    <d v="2026-02-26T00:00:00"/>
    <s v="P006"/>
    <s v="Sale"/>
    <n v="-14"/>
    <n v="-14"/>
    <x v="1"/>
    <s v="ViewPlus"/>
    <s v="South Korea"/>
    <n v="130"/>
    <n v="185"/>
    <m/>
    <n v="1820"/>
    <n v="2590"/>
    <n v="0"/>
  </r>
  <r>
    <s v="INV-00355"/>
    <d v="2026-02-26T00:00:00"/>
    <s v="P002"/>
    <s v="Purchase"/>
    <n v="73"/>
    <n v="73"/>
    <x v="2"/>
    <s v="KeyPro"/>
    <s v="China"/>
    <n v="25"/>
    <n v="42"/>
    <s v="PO-87257"/>
    <n v="1825"/>
    <n v="0"/>
    <n v="1825"/>
  </r>
  <r>
    <s v="INV-00488"/>
    <d v="2026-02-26T00:00:00"/>
    <s v="P010"/>
    <s v="Purchase"/>
    <n v="79"/>
    <n v="79"/>
    <x v="0"/>
    <s v="ErgoSpace"/>
    <s v="Germany"/>
    <n v="220"/>
    <n v="320"/>
    <s v="PO-38084"/>
    <n v="17380"/>
    <n v="0"/>
    <n v="17380"/>
  </r>
  <r>
    <s v="INV-01769"/>
    <d v="2026-02-26T00:00:00"/>
    <s v="P012"/>
    <s v="Sale"/>
    <n v="-4"/>
    <n v="-4"/>
    <x v="0"/>
    <s v="WriteWell"/>
    <s v="France"/>
    <n v="3.4"/>
    <n v="8"/>
    <m/>
    <n v="13.6"/>
    <n v="32"/>
    <n v="0"/>
  </r>
  <r>
    <s v="INV-01340"/>
    <d v="2026-02-27T00:00:00"/>
    <s v="P001"/>
    <s v="Purchase"/>
    <n v="70"/>
    <n v="70"/>
    <x v="1"/>
    <s v="TechGear"/>
    <s v="China"/>
    <n v="7.2"/>
    <n v="12.5"/>
    <s v="PO-65279"/>
    <n v="504"/>
    <n v="0"/>
    <n v="504"/>
  </r>
  <r>
    <s v="INV-00669"/>
    <d v="2026-02-27T00:00:00"/>
    <s v="P006"/>
    <s v="Sale"/>
    <n v="-2"/>
    <n v="-2"/>
    <x v="0"/>
    <s v="ViewPlus"/>
    <s v="South Korea"/>
    <n v="130"/>
    <n v="185"/>
    <m/>
    <n v="260"/>
    <n v="370"/>
    <n v="0"/>
  </r>
  <r>
    <s v="INV-01441"/>
    <d v="2026-02-28T00:00:00"/>
    <s v="P030"/>
    <s v="Sale"/>
    <n v="-14"/>
    <n v="-14"/>
    <x v="1"/>
    <s v="StoreMax"/>
    <s v="Germany"/>
    <n v="11"/>
    <n v="22"/>
    <m/>
    <n v="154"/>
    <n v="308"/>
    <n v="0"/>
  </r>
  <r>
    <s v="INV-00673"/>
    <d v="2026-02-28T00:00:00"/>
    <s v="P002"/>
    <s v="Return"/>
    <n v="5"/>
    <n v="5"/>
    <x v="0"/>
    <s v="KeyPro"/>
    <s v="China"/>
    <n v="25"/>
    <n v="42"/>
    <m/>
    <n v="125"/>
    <n v="0"/>
    <n v="0"/>
  </r>
  <r>
    <s v="INV-00169"/>
    <d v="2026-02-28T00:00:00"/>
    <s v="P001"/>
    <s v="Purchase"/>
    <n v="36"/>
    <n v="36"/>
    <x v="2"/>
    <s v="TechGear"/>
    <s v="China"/>
    <n v="7.2"/>
    <n v="12.5"/>
    <s v="PO-96914"/>
    <n v="259.2"/>
    <n v="0"/>
    <n v="259.2"/>
  </r>
  <r>
    <s v="INV-00514"/>
    <d v="2026-03-01T00:00:00"/>
    <s v="P028"/>
    <s v="Sale"/>
    <n v="-3"/>
    <n v="-3"/>
    <x v="2"/>
    <s v="PackRight"/>
    <s v="Poland"/>
    <n v="3"/>
    <n v="7"/>
    <m/>
    <n v="9"/>
    <n v="21"/>
    <n v="0"/>
  </r>
  <r>
    <s v="INV-00052"/>
    <d v="2026-03-01T00:00:00"/>
    <s v="P025"/>
    <s v="Sale"/>
    <n v="-10"/>
    <n v="-10"/>
    <x v="0"/>
    <s v="PaperMate"/>
    <s v="Germany"/>
    <n v="5.5"/>
    <n v="12"/>
    <m/>
    <n v="55"/>
    <n v="120"/>
    <n v="0"/>
  </r>
  <r>
    <s v="INV-01245"/>
    <d v="2026-03-01T00:00:00"/>
    <s v="P024"/>
    <s v="Sale"/>
    <n v="-10"/>
    <n v="-10"/>
    <x v="0"/>
    <s v="CalcPlus"/>
    <s v="China"/>
    <n v="6"/>
    <n v="14"/>
    <m/>
    <n v="60"/>
    <n v="140"/>
    <n v="0"/>
  </r>
  <r>
    <s v="INV-00984"/>
    <d v="2026-03-01T00:00:00"/>
    <s v="P002"/>
    <s v="Sale"/>
    <n v="-11"/>
    <n v="-11"/>
    <x v="1"/>
    <s v="KeyPro"/>
    <s v="China"/>
    <n v="25"/>
    <n v="42"/>
    <m/>
    <n v="275"/>
    <n v="462"/>
    <n v="0"/>
  </r>
  <r>
    <s v="INV-00014"/>
    <d v="2026-03-02T00:00:00"/>
    <s v="P007"/>
    <s v="Purchase"/>
    <n v="91"/>
    <n v="91"/>
    <x v="2"/>
    <s v="DeskWorks"/>
    <s v="China"/>
    <n v="16"/>
    <n v="29"/>
    <s v="PO-78306"/>
    <n v="1456"/>
    <n v="0"/>
    <n v="1456"/>
  </r>
  <r>
    <s v="INV-00639"/>
    <d v="2026-03-02T00:00:00"/>
    <s v="P009"/>
    <s v="Sale"/>
    <n v="-10"/>
    <n v="-10"/>
    <x v="1"/>
    <s v="ComfortPro"/>
    <s v="Poland"/>
    <n v="105"/>
    <n v="165"/>
    <m/>
    <n v="1050"/>
    <n v="1650"/>
    <n v="0"/>
  </r>
  <r>
    <s v="INV-00886"/>
    <d v="2026-03-02T00:00:00"/>
    <s v="P006"/>
    <s v="Purchase"/>
    <n v="100"/>
    <n v="100"/>
    <x v="0"/>
    <s v="ViewPlus"/>
    <s v="South Korea"/>
    <n v="130"/>
    <n v="185"/>
    <s v="PO-61801"/>
    <n v="13000"/>
    <n v="0"/>
    <n v="13000"/>
  </r>
  <r>
    <s v="INV-01007"/>
    <d v="2026-03-02T00:00:00"/>
    <s v="P022"/>
    <s v="Sale"/>
    <n v="-12"/>
    <n v="-12"/>
    <x v="0"/>
    <s v="HydroLife"/>
    <s v="Germany"/>
    <n v="8.5"/>
    <n v="18"/>
    <m/>
    <n v="102"/>
    <n v="216"/>
    <n v="0"/>
  </r>
  <r>
    <s v="INV-00163"/>
    <d v="2026-03-03T00:00:00"/>
    <s v="P021"/>
    <s v="Sale"/>
    <n v="-2"/>
    <n v="-2"/>
    <x v="1"/>
    <s v="TravelPro"/>
    <s v="Vietnam"/>
    <n v="25"/>
    <n v="45"/>
    <m/>
    <n v="50"/>
    <n v="90"/>
    <n v="0"/>
  </r>
  <r>
    <s v="INV-00710"/>
    <d v="2026-03-04T00:00:00"/>
    <s v="P022"/>
    <s v="Return"/>
    <n v="4"/>
    <n v="4"/>
    <x v="0"/>
    <s v="HydroLife"/>
    <s v="Germany"/>
    <n v="8.5"/>
    <n v="18"/>
    <m/>
    <n v="34"/>
    <n v="0"/>
    <n v="0"/>
  </r>
  <r>
    <s v="INV-00582"/>
    <d v="2026-03-04T00:00:00"/>
    <s v="P030"/>
    <s v="Sale"/>
    <n v="-12"/>
    <n v="-12"/>
    <x v="0"/>
    <s v="StoreMax"/>
    <s v="Germany"/>
    <n v="11"/>
    <n v="22"/>
    <m/>
    <n v="132"/>
    <n v="264"/>
    <n v="0"/>
  </r>
  <r>
    <s v="INV-01745"/>
    <d v="2026-03-04T00:00:00"/>
    <s v="P014"/>
    <s v="Sale"/>
    <n v="-7"/>
    <n v="-7"/>
    <x v="1"/>
    <s v="DataStore"/>
    <s v="South Korea"/>
    <n v="63"/>
    <n v="95"/>
    <m/>
    <n v="441"/>
    <n v="665"/>
    <n v="0"/>
  </r>
  <r>
    <s v="INV-01550"/>
    <d v="2026-03-04T00:00:00"/>
    <s v="P021"/>
    <s v="Purchase"/>
    <n v="58"/>
    <n v="58"/>
    <x v="0"/>
    <s v="TravelPro"/>
    <s v="Vietnam"/>
    <n v="25"/>
    <n v="45"/>
    <s v="PO-40868"/>
    <n v="1450"/>
    <n v="0"/>
    <n v="1450"/>
  </r>
  <r>
    <s v="INV-00167"/>
    <d v="2026-03-05T00:00:00"/>
    <s v="P011"/>
    <s v="Purchase"/>
    <n v="47"/>
    <n v="47"/>
    <x v="1"/>
    <s v="PaperMate"/>
    <s v="Germany"/>
    <n v="2.6"/>
    <n v="5.5"/>
    <s v="PO-48596"/>
    <n v="122.2"/>
    <n v="0"/>
    <n v="122.2"/>
  </r>
  <r>
    <s v="INV-00674"/>
    <d v="2026-03-05T00:00:00"/>
    <s v="P017"/>
    <s v="Sale"/>
    <n v="-3"/>
    <n v="-3"/>
    <x v="2"/>
    <s v="SoundMax"/>
    <s v="Vietnam"/>
    <n v="34"/>
    <n v="55"/>
    <m/>
    <n v="102"/>
    <n v="165"/>
    <n v="0"/>
  </r>
  <r>
    <s v="INV-01146"/>
    <d v="2026-03-05T00:00:00"/>
    <s v="P028"/>
    <s v="Purchase"/>
    <n v="50"/>
    <n v="50"/>
    <x v="0"/>
    <s v="PackRight"/>
    <s v="Poland"/>
    <n v="3"/>
    <n v="7"/>
    <s v="PO-12036"/>
    <n v="150"/>
    <n v="0"/>
    <n v="150"/>
  </r>
  <r>
    <s v="INV-00516"/>
    <d v="2026-03-05T00:00:00"/>
    <s v="P001"/>
    <s v="Purchase"/>
    <n v="30"/>
    <n v="30"/>
    <x v="3"/>
    <s v="TechGear"/>
    <s v="China"/>
    <n v="7.2"/>
    <n v="12.5"/>
    <s v="PO-84311"/>
    <n v="216"/>
    <n v="0"/>
    <n v="216"/>
  </r>
  <r>
    <s v="INV-01324"/>
    <d v="2026-03-05T00:00:00"/>
    <s v="P007"/>
    <s v="Sale"/>
    <n v="-6"/>
    <n v="-6"/>
    <x v="2"/>
    <s v="DeskWorks"/>
    <s v="China"/>
    <n v="16"/>
    <n v="29"/>
    <m/>
    <n v="96"/>
    <n v="174"/>
    <n v="0"/>
  </r>
  <r>
    <s v="INV-01171"/>
    <d v="2026-03-06T00:00:00"/>
    <s v="P020"/>
    <s v="Sale"/>
    <n v="-6"/>
    <n v="-6"/>
    <x v="2"/>
    <s v="PrintTech"/>
    <s v="Japan"/>
    <n v="30"/>
    <n v="48"/>
    <m/>
    <n v="180"/>
    <n v="288"/>
    <n v="0"/>
  </r>
  <r>
    <s v="INV-00031"/>
    <d v="2026-03-07T00:00:00"/>
    <s v="P020"/>
    <s v="Adjustment"/>
    <n v="20"/>
    <n v="20"/>
    <x v="2"/>
    <s v="PrintTech"/>
    <s v="Japan"/>
    <n v="30"/>
    <n v="48"/>
    <m/>
    <n v="600"/>
    <n v="0"/>
    <n v="0"/>
  </r>
  <r>
    <s v="INV-00043"/>
    <d v="2026-03-07T00:00:00"/>
    <s v="P001"/>
    <s v="Sale"/>
    <n v="-13"/>
    <n v="-13"/>
    <x v="2"/>
    <s v="TechGear"/>
    <s v="China"/>
    <n v="7.2"/>
    <n v="12.5"/>
    <m/>
    <n v="93.600000000000009"/>
    <n v="162.5"/>
    <n v="0"/>
  </r>
  <r>
    <s v="INV-01270"/>
    <d v="2026-03-08T00:00:00"/>
    <s v="P011"/>
    <s v="Sale"/>
    <n v="-15"/>
    <n v="-15"/>
    <x v="2"/>
    <s v="PaperMate"/>
    <s v="Germany"/>
    <n v="2.6"/>
    <n v="5.5"/>
    <m/>
    <n v="39"/>
    <n v="82.5"/>
    <n v="0"/>
  </r>
  <r>
    <s v="INV-00987"/>
    <d v="2026-03-08T00:00:00"/>
    <s v="P022"/>
    <s v="Adjustment"/>
    <n v="20"/>
    <n v="20"/>
    <x v="2"/>
    <s v="HydroLife"/>
    <s v="Germany"/>
    <n v="8.5"/>
    <n v="18"/>
    <m/>
    <n v="170"/>
    <n v="0"/>
    <n v="0"/>
  </r>
  <r>
    <s v="INV-01641"/>
    <d v="2026-03-08T00:00:00"/>
    <s v="P017"/>
    <s v="Sale"/>
    <n v="-10"/>
    <n v="-10"/>
    <x v="1"/>
    <s v="SoundMax"/>
    <s v="Vietnam"/>
    <n v="34"/>
    <n v="55"/>
    <m/>
    <n v="340"/>
    <n v="550"/>
    <n v="0"/>
  </r>
  <r>
    <s v="INV-01411"/>
    <d v="2026-03-09T00:00:00"/>
    <s v="P007"/>
    <s v="Purchase"/>
    <n v="99"/>
    <n v="99"/>
    <x v="2"/>
    <s v="DeskWorks"/>
    <s v="China"/>
    <n v="16"/>
    <n v="29"/>
    <s v="PO-65781"/>
    <n v="1584"/>
    <n v="0"/>
    <n v="1584"/>
  </r>
  <r>
    <s v="INV-00532"/>
    <d v="2026-03-09T00:00:00"/>
    <s v="P030"/>
    <s v="Purchase"/>
    <n v="30"/>
    <n v="30"/>
    <x v="0"/>
    <s v="StoreMax"/>
    <s v="Germany"/>
    <n v="11"/>
    <n v="22"/>
    <s v="PO-40776"/>
    <n v="330"/>
    <n v="0"/>
    <n v="330"/>
  </r>
  <r>
    <s v="INV-00699"/>
    <d v="2026-03-09T00:00:00"/>
    <s v="P005"/>
    <s v="Adjustment"/>
    <n v="-4"/>
    <n v="-4"/>
    <x v="0"/>
    <s v="VisionTech"/>
    <s v="China"/>
    <n v="18.5"/>
    <n v="31"/>
    <m/>
    <n v="74"/>
    <n v="0"/>
    <n v="0"/>
  </r>
  <r>
    <s v="INV-00208"/>
    <d v="2026-03-09T00:00:00"/>
    <s v="P022"/>
    <s v="Sale"/>
    <n v="-6"/>
    <n v="-6"/>
    <x v="3"/>
    <s v="HydroLife"/>
    <s v="Germany"/>
    <n v="8.5"/>
    <n v="18"/>
    <m/>
    <n v="51"/>
    <n v="108"/>
    <n v="0"/>
  </r>
  <r>
    <s v="INV-01126"/>
    <d v="2026-03-09T00:00:00"/>
    <s v="P018"/>
    <s v="Return"/>
    <n v="1"/>
    <n v="1"/>
    <x v="1"/>
    <s v="DataStore"/>
    <s v="South Korea"/>
    <n v="5.2"/>
    <n v="11"/>
    <m/>
    <n v="5.2"/>
    <n v="0"/>
    <n v="0"/>
  </r>
  <r>
    <s v="INV-00191"/>
    <d v="2026-03-09T00:00:00"/>
    <s v="P003"/>
    <s v="Sale"/>
    <n v="-12"/>
    <n v="-12"/>
    <x v="0"/>
    <s v="ConnectX"/>
    <s v="China"/>
    <n v="16.5"/>
    <n v="28"/>
    <m/>
    <n v="198"/>
    <n v="336"/>
    <n v="0"/>
  </r>
  <r>
    <s v="INV-01486"/>
    <d v="2026-03-09T00:00:00"/>
    <s v="P012"/>
    <s v="Purchase"/>
    <n v="85"/>
    <n v="85"/>
    <x v="0"/>
    <s v="WriteWell"/>
    <s v="France"/>
    <n v="3.4"/>
    <n v="8"/>
    <s v="PO-88004"/>
    <n v="289"/>
    <n v="0"/>
    <n v="289"/>
  </r>
  <r>
    <s v="INV-01086"/>
    <d v="2026-03-10T00:00:00"/>
    <s v="P016"/>
    <s v="Adjustment"/>
    <n v="15"/>
    <n v="15"/>
    <x v="1"/>
    <s v="ConnectX"/>
    <s v="China"/>
    <n v="4.2"/>
    <n v="10"/>
    <m/>
    <n v="63"/>
    <n v="0"/>
    <n v="0"/>
  </r>
  <r>
    <s v="INV-00091"/>
    <d v="2026-03-10T00:00:00"/>
    <s v="P004"/>
    <s v="Purchase"/>
    <n v="102"/>
    <n v="102"/>
    <x v="1"/>
    <s v="SoundMax"/>
    <s v="Vietnam"/>
    <n v="20"/>
    <n v="35"/>
    <s v="PO-16908"/>
    <n v="2040"/>
    <n v="0"/>
    <n v="2040"/>
  </r>
  <r>
    <s v="INV-00517"/>
    <d v="2026-03-10T00:00:00"/>
    <s v="P012"/>
    <s v="Purchase"/>
    <n v="62"/>
    <n v="62"/>
    <x v="2"/>
    <s v="WriteWell"/>
    <s v="France"/>
    <n v="3.4"/>
    <n v="8"/>
    <s v="PO-39655"/>
    <n v="210.79999999999998"/>
    <n v="0"/>
    <n v="210.79999999999998"/>
  </r>
  <r>
    <s v="INV-00395"/>
    <d v="2026-03-11T00:00:00"/>
    <s v="P012"/>
    <s v="Purchase"/>
    <n v="105"/>
    <n v="105"/>
    <x v="1"/>
    <s v="WriteWell"/>
    <s v="France"/>
    <n v="3.4"/>
    <n v="8"/>
    <s v="PO-36470"/>
    <n v="357"/>
    <n v="0"/>
    <n v="357"/>
  </r>
  <r>
    <s v="INV-00033"/>
    <d v="2026-03-11T00:00:00"/>
    <s v="P002"/>
    <s v="Sale"/>
    <n v="-15"/>
    <n v="-15"/>
    <x v="0"/>
    <s v="KeyPro"/>
    <s v="China"/>
    <n v="25"/>
    <n v="42"/>
    <m/>
    <n v="375"/>
    <n v="630"/>
    <n v="0"/>
  </r>
  <r>
    <s v="INV-00401"/>
    <d v="2026-03-12T00:00:00"/>
    <s v="P003"/>
    <s v="Adjustment"/>
    <n v="-15"/>
    <n v="-15"/>
    <x v="2"/>
    <s v="ConnectX"/>
    <s v="China"/>
    <n v="16.5"/>
    <n v="28"/>
    <m/>
    <n v="247.5"/>
    <n v="0"/>
    <n v="0"/>
  </r>
  <r>
    <s v="INV-00245"/>
    <d v="2026-03-12T00:00:00"/>
    <s v="P001"/>
    <s v="Sale"/>
    <n v="-10"/>
    <n v="-10"/>
    <x v="0"/>
    <s v="TechGear"/>
    <s v="China"/>
    <n v="7.2"/>
    <n v="12.5"/>
    <m/>
    <n v="72"/>
    <n v="125"/>
    <n v="0"/>
  </r>
  <r>
    <s v="INV-00646"/>
    <d v="2026-03-12T00:00:00"/>
    <s v="P028"/>
    <s v="Purchase"/>
    <n v="48"/>
    <n v="48"/>
    <x v="2"/>
    <s v="PackRight"/>
    <s v="Poland"/>
    <n v="3"/>
    <n v="7"/>
    <s v="PO-56103"/>
    <n v="144"/>
    <n v="0"/>
    <n v="144"/>
  </r>
  <r>
    <s v="INV-01312"/>
    <d v="2026-03-13T00:00:00"/>
    <s v="P028"/>
    <s v="Purchase"/>
    <n v="108"/>
    <n v="108"/>
    <x v="2"/>
    <s v="PackRight"/>
    <s v="Poland"/>
    <n v="3"/>
    <n v="7"/>
    <s v="PO-88946"/>
    <n v="324"/>
    <n v="0"/>
    <n v="324"/>
  </r>
  <r>
    <s v="INV-01670"/>
    <d v="2026-03-13T00:00:00"/>
    <s v="P025"/>
    <s v="Purchase"/>
    <n v="26"/>
    <n v="26"/>
    <x v="2"/>
    <s v="PaperMate"/>
    <s v="Germany"/>
    <n v="5.5"/>
    <n v="12"/>
    <s v="PO-91588"/>
    <n v="143"/>
    <n v="0"/>
    <n v="143"/>
  </r>
  <r>
    <s v="INV-01450"/>
    <d v="2026-03-13T00:00:00"/>
    <s v="P022"/>
    <s v="Sale"/>
    <n v="-7"/>
    <n v="-7"/>
    <x v="0"/>
    <s v="HydroLife"/>
    <s v="Germany"/>
    <n v="8.5"/>
    <n v="18"/>
    <m/>
    <n v="59.5"/>
    <n v="126"/>
    <n v="0"/>
  </r>
  <r>
    <s v="INV-00957"/>
    <d v="2026-03-14T00:00:00"/>
    <s v="P017"/>
    <s v="Sale"/>
    <n v="-15"/>
    <n v="-15"/>
    <x v="0"/>
    <s v="SoundMax"/>
    <s v="Vietnam"/>
    <n v="34"/>
    <n v="55"/>
    <m/>
    <n v="510"/>
    <n v="825"/>
    <n v="0"/>
  </r>
  <r>
    <s v="INV-00346"/>
    <d v="2026-03-14T00:00:00"/>
    <s v="P020"/>
    <s v="Sale"/>
    <n v="-7"/>
    <n v="-7"/>
    <x v="1"/>
    <s v="PrintTech"/>
    <s v="Japan"/>
    <n v="30"/>
    <n v="48"/>
    <m/>
    <n v="210"/>
    <n v="336"/>
    <n v="0"/>
  </r>
  <r>
    <s v="INV-00098"/>
    <d v="2026-03-14T00:00:00"/>
    <s v="P014"/>
    <s v="Purchase"/>
    <n v="114"/>
    <n v="114"/>
    <x v="1"/>
    <s v="DataStore"/>
    <s v="South Korea"/>
    <n v="63"/>
    <n v="95"/>
    <s v="PO-61455"/>
    <n v="7182"/>
    <n v="0"/>
    <n v="7182"/>
  </r>
  <r>
    <s v="INV-01741"/>
    <d v="2026-03-15T00:00:00"/>
    <s v="P026"/>
    <s v="Purchase"/>
    <n v="46"/>
    <n v="46"/>
    <x v="1"/>
    <s v="ScanPro"/>
    <s v="China"/>
    <n v="78"/>
    <n v="125"/>
    <s v="PO-39802"/>
    <n v="3588"/>
    <n v="0"/>
    <n v="3588"/>
  </r>
  <r>
    <s v="INV-01073"/>
    <d v="2026-03-15T00:00:00"/>
    <s v="P001"/>
    <s v="Return"/>
    <n v="1"/>
    <n v="1"/>
    <x v="0"/>
    <s v="TechGear"/>
    <s v="China"/>
    <n v="7.2"/>
    <n v="12.5"/>
    <m/>
    <n v="7.2"/>
    <n v="0"/>
    <n v="0"/>
  </r>
  <r>
    <s v="INV-01510"/>
    <d v="2026-03-15T00:00:00"/>
    <s v="P024"/>
    <s v="Sale"/>
    <n v="-4"/>
    <n v="-4"/>
    <x v="1"/>
    <s v="CalcPlus"/>
    <s v="China"/>
    <n v="6"/>
    <n v="14"/>
    <m/>
    <n v="24"/>
    <n v="56"/>
    <n v="0"/>
  </r>
  <r>
    <s v="INV-00816"/>
    <d v="2026-03-15T00:00:00"/>
    <s v="P017"/>
    <s v="Purchase"/>
    <n v="109"/>
    <n v="109"/>
    <x v="2"/>
    <s v="SoundMax"/>
    <s v="Vietnam"/>
    <n v="34"/>
    <n v="55"/>
    <s v="PO-93268"/>
    <n v="3706"/>
    <n v="0"/>
    <n v="3706"/>
  </r>
  <r>
    <s v="INV-00007"/>
    <d v="2026-03-16T00:00:00"/>
    <s v="P002"/>
    <s v="Sale"/>
    <n v="-3"/>
    <n v="-3"/>
    <x v="2"/>
    <s v="KeyPro"/>
    <s v="China"/>
    <n v="25"/>
    <n v="42"/>
    <m/>
    <n v="75"/>
    <n v="126"/>
    <n v="0"/>
  </r>
  <r>
    <s v="INV-00064"/>
    <d v="2026-03-16T00:00:00"/>
    <s v="P012"/>
    <s v="Sale"/>
    <n v="-13"/>
    <n v="-13"/>
    <x v="3"/>
    <s v="WriteWell"/>
    <s v="France"/>
    <n v="3.4"/>
    <n v="8"/>
    <m/>
    <n v="44.199999999999996"/>
    <n v="104"/>
    <n v="0"/>
  </r>
  <r>
    <s v="INV-01727"/>
    <d v="2026-03-16T00:00:00"/>
    <s v="P016"/>
    <s v="Adjustment"/>
    <n v="7"/>
    <n v="7"/>
    <x v="0"/>
    <s v="ConnectX"/>
    <s v="China"/>
    <n v="4.2"/>
    <n v="10"/>
    <m/>
    <n v="29.400000000000002"/>
    <n v="0"/>
    <n v="0"/>
  </r>
  <r>
    <s v="INV-01420"/>
    <d v="2026-03-16T00:00:00"/>
    <s v="P029"/>
    <s v="Sale"/>
    <n v="-3"/>
    <n v="-3"/>
    <x v="1"/>
    <s v="PackRight"/>
    <s v="Poland"/>
    <n v="4"/>
    <n v="9"/>
    <m/>
    <n v="12"/>
    <n v="27"/>
    <n v="0"/>
  </r>
  <r>
    <s v="INV-01138"/>
    <d v="2026-03-17T00:00:00"/>
    <s v="P016"/>
    <s v="Sale"/>
    <n v="-14"/>
    <n v="-14"/>
    <x v="0"/>
    <s v="ConnectX"/>
    <s v="China"/>
    <n v="4.2"/>
    <n v="10"/>
    <m/>
    <n v="58.800000000000004"/>
    <n v="140"/>
    <n v="0"/>
  </r>
  <r>
    <s v="INV-00846"/>
    <d v="2026-03-17T00:00:00"/>
    <s v="P013"/>
    <s v="Sale"/>
    <n v="-5"/>
    <n v="-5"/>
    <x v="1"/>
    <s v="DeskWorks"/>
    <s v="China"/>
    <n v="8"/>
    <n v="15"/>
    <m/>
    <n v="40"/>
    <n v="75"/>
    <n v="0"/>
  </r>
  <r>
    <s v="INV-00333"/>
    <d v="2026-03-17T00:00:00"/>
    <s v="P001"/>
    <s v="Sale"/>
    <n v="-10"/>
    <n v="-10"/>
    <x v="2"/>
    <s v="TechGear"/>
    <s v="China"/>
    <n v="7.2"/>
    <n v="12.5"/>
    <m/>
    <n v="72"/>
    <n v="125"/>
    <n v="0"/>
  </r>
  <r>
    <s v="INV-01590"/>
    <d v="2026-03-17T00:00:00"/>
    <s v="P023"/>
    <s v="Sale"/>
    <n v="-13"/>
    <n v="-13"/>
    <x v="0"/>
    <s v="DeskWorks"/>
    <s v="China"/>
    <n v="8.8000000000000007"/>
    <n v="17"/>
    <m/>
    <n v="114.4"/>
    <n v="221"/>
    <n v="0"/>
  </r>
  <r>
    <s v="INV-00904"/>
    <d v="2026-03-18T00:00:00"/>
    <s v="P018"/>
    <s v="Purchase"/>
    <n v="97"/>
    <n v="97"/>
    <x v="1"/>
    <s v="DataStore"/>
    <s v="South Korea"/>
    <n v="5.2"/>
    <n v="11"/>
    <s v="PO-19066"/>
    <n v="504.40000000000003"/>
    <n v="0"/>
    <n v="504.40000000000003"/>
  </r>
  <r>
    <s v="INV-00228"/>
    <d v="2026-03-18T00:00:00"/>
    <s v="P013"/>
    <s v="Adjustment"/>
    <n v="-20"/>
    <n v="-20"/>
    <x v="2"/>
    <s v="DeskWorks"/>
    <s v="China"/>
    <n v="8"/>
    <n v="15"/>
    <m/>
    <n v="160"/>
    <n v="0"/>
    <n v="0"/>
  </r>
  <r>
    <s v="INV-01467"/>
    <d v="2026-03-18T00:00:00"/>
    <s v="P030"/>
    <s v="Sale"/>
    <n v="-6"/>
    <n v="-6"/>
    <x v="0"/>
    <s v="StoreMax"/>
    <s v="Germany"/>
    <n v="11"/>
    <n v="22"/>
    <m/>
    <n v="66"/>
    <n v="132"/>
    <n v="0"/>
  </r>
  <r>
    <s v="INV-00148"/>
    <d v="2026-03-18T00:00:00"/>
    <s v="P016"/>
    <s v="Purchase"/>
    <n v="69"/>
    <n v="69"/>
    <x v="1"/>
    <s v="ConnectX"/>
    <s v="China"/>
    <n v="4.2"/>
    <n v="10"/>
    <s v="PO-35921"/>
    <n v="289.8"/>
    <n v="0"/>
    <n v="289.8"/>
  </r>
  <r>
    <s v="INV-00819"/>
    <d v="2026-03-18T00:00:00"/>
    <s v="P002"/>
    <s v="Sale"/>
    <n v="-9"/>
    <n v="-9"/>
    <x v="0"/>
    <s v="KeyPro"/>
    <s v="China"/>
    <n v="25"/>
    <n v="42"/>
    <m/>
    <n v="225"/>
    <n v="378"/>
    <n v="0"/>
  </r>
  <r>
    <s v="INV-00373"/>
    <d v="2026-03-19T00:00:00"/>
    <s v="P003"/>
    <s v="Purchase"/>
    <n v="57"/>
    <n v="57"/>
    <x v="0"/>
    <s v="ConnectX"/>
    <s v="China"/>
    <n v="16.5"/>
    <n v="28"/>
    <s v="PO-49051"/>
    <n v="940.5"/>
    <n v="0"/>
    <n v="940.5"/>
  </r>
  <r>
    <s v="INV-00288"/>
    <d v="2026-03-19T00:00:00"/>
    <s v="P017"/>
    <s v="Sale"/>
    <n v="-7"/>
    <n v="-7"/>
    <x v="0"/>
    <s v="SoundMax"/>
    <s v="Vietnam"/>
    <n v="34"/>
    <n v="55"/>
    <m/>
    <n v="238"/>
    <n v="385"/>
    <n v="0"/>
  </r>
  <r>
    <s v="INV-01269"/>
    <d v="2026-03-19T00:00:00"/>
    <s v="P019"/>
    <s v="Purchase"/>
    <n v="31"/>
    <n v="31"/>
    <x v="0"/>
    <s v="PrintTech"/>
    <s v="Japan"/>
    <n v="145"/>
    <n v="210"/>
    <s v="PO-13196"/>
    <n v="4495"/>
    <n v="0"/>
    <n v="4495"/>
  </r>
  <r>
    <s v="INV-01651"/>
    <d v="2026-03-20T00:00:00"/>
    <s v="P001"/>
    <s v="Sale"/>
    <n v="-5"/>
    <n v="-5"/>
    <x v="0"/>
    <s v="TechGear"/>
    <s v="China"/>
    <n v="7.2"/>
    <n v="12.5"/>
    <m/>
    <n v="36"/>
    <n v="62.5"/>
    <n v="0"/>
  </r>
  <r>
    <s v="INV-00156"/>
    <d v="2026-03-20T00:00:00"/>
    <s v="P008"/>
    <s v="Return"/>
    <n v="3"/>
    <n v="3"/>
    <x v="2"/>
    <s v="BrightHome"/>
    <s v="China"/>
    <n v="13.5"/>
    <n v="24"/>
    <m/>
    <n v="40.5"/>
    <n v="0"/>
    <n v="0"/>
  </r>
  <r>
    <s v="INV-01692"/>
    <d v="2026-03-20T00:00:00"/>
    <s v="P016"/>
    <s v="Sale"/>
    <n v="-2"/>
    <n v="-2"/>
    <x v="1"/>
    <s v="ConnectX"/>
    <s v="China"/>
    <n v="4.2"/>
    <n v="10"/>
    <m/>
    <n v="8.4"/>
    <n v="20"/>
    <n v="0"/>
  </r>
  <r>
    <s v="INV-01799"/>
    <d v="2026-03-20T00:00:00"/>
    <s v="P002"/>
    <s v="Sale"/>
    <n v="-8"/>
    <n v="-8"/>
    <x v="1"/>
    <s v="KeyPro"/>
    <s v="China"/>
    <n v="25"/>
    <n v="42"/>
    <m/>
    <n v="200"/>
    <n v="336"/>
    <n v="0"/>
  </r>
  <r>
    <s v="INV-00595"/>
    <d v="2026-03-20T00:00:00"/>
    <s v="P028"/>
    <s v="Return"/>
    <n v="2"/>
    <n v="2"/>
    <x v="1"/>
    <s v="PackRight"/>
    <s v="Poland"/>
    <n v="3"/>
    <n v="7"/>
    <m/>
    <n v="6"/>
    <n v="0"/>
    <n v="0"/>
  </r>
  <r>
    <s v="INV-00818"/>
    <d v="2026-03-20T00:00:00"/>
    <s v="P013"/>
    <s v="Purchase"/>
    <n v="29"/>
    <n v="29"/>
    <x v="2"/>
    <s v="DeskWorks"/>
    <s v="China"/>
    <n v="8"/>
    <n v="15"/>
    <s v="PO-64708"/>
    <n v="232"/>
    <n v="0"/>
    <n v="232"/>
  </r>
  <r>
    <s v="INV-01178"/>
    <d v="2026-03-21T00:00:00"/>
    <s v="P003"/>
    <s v="Purchase"/>
    <n v="37"/>
    <n v="37"/>
    <x v="0"/>
    <s v="ConnectX"/>
    <s v="China"/>
    <n v="16.5"/>
    <n v="28"/>
    <s v="PO-91943"/>
    <n v="610.5"/>
    <n v="0"/>
    <n v="610.5"/>
  </r>
  <r>
    <s v="INV-00608"/>
    <d v="2026-03-21T00:00:00"/>
    <s v="P012"/>
    <s v="Purchase"/>
    <n v="109"/>
    <n v="109"/>
    <x v="0"/>
    <s v="WriteWell"/>
    <s v="France"/>
    <n v="3.4"/>
    <n v="8"/>
    <s v="PO-10255"/>
    <n v="370.59999999999997"/>
    <n v="0"/>
    <n v="370.59999999999997"/>
  </r>
  <r>
    <s v="INV-01435"/>
    <d v="2026-03-21T00:00:00"/>
    <s v="P004"/>
    <s v="Sale"/>
    <n v="-3"/>
    <n v="-3"/>
    <x v="1"/>
    <s v="SoundMax"/>
    <s v="Vietnam"/>
    <n v="20"/>
    <n v="35"/>
    <m/>
    <n v="60"/>
    <n v="105"/>
    <n v="0"/>
  </r>
  <r>
    <s v="INV-01712"/>
    <d v="2026-03-22T00:00:00"/>
    <s v="P002"/>
    <s v="Purchase"/>
    <n v="94"/>
    <n v="94"/>
    <x v="0"/>
    <s v="KeyPro"/>
    <s v="China"/>
    <n v="25"/>
    <n v="42"/>
    <s v="PO-98662"/>
    <n v="2350"/>
    <n v="0"/>
    <n v="2350"/>
  </r>
  <r>
    <s v="INV-00614"/>
    <d v="2026-03-22T00:00:00"/>
    <s v="P002"/>
    <s v="Purchase"/>
    <n v="65"/>
    <n v="65"/>
    <x v="0"/>
    <s v="KeyPro"/>
    <s v="China"/>
    <n v="25"/>
    <n v="42"/>
    <s v="PO-25487"/>
    <n v="1625"/>
    <n v="0"/>
    <n v="1625"/>
  </r>
  <r>
    <s v="INV-00360"/>
    <d v="2026-03-22T00:00:00"/>
    <s v="P018"/>
    <s v="Sale"/>
    <n v="-6"/>
    <n v="-6"/>
    <x v="1"/>
    <s v="DataStore"/>
    <s v="South Korea"/>
    <n v="5.2"/>
    <n v="11"/>
    <m/>
    <n v="31.200000000000003"/>
    <n v="66"/>
    <n v="0"/>
  </r>
  <r>
    <s v="INV-01247"/>
    <d v="2026-03-22T00:00:00"/>
    <s v="P004"/>
    <s v="Sale"/>
    <n v="-6"/>
    <n v="-6"/>
    <x v="0"/>
    <s v="SoundMax"/>
    <s v="Vietnam"/>
    <n v="20"/>
    <n v="35"/>
    <m/>
    <n v="120"/>
    <n v="210"/>
    <n v="0"/>
  </r>
  <r>
    <s v="INV-00528"/>
    <d v="2026-03-22T00:00:00"/>
    <s v="P009"/>
    <s v="Purchase"/>
    <n v="41"/>
    <n v="41"/>
    <x v="0"/>
    <s v="ComfortPro"/>
    <s v="Poland"/>
    <n v="105"/>
    <n v="165"/>
    <s v="PO-57632"/>
    <n v="4305"/>
    <n v="0"/>
    <n v="4305"/>
  </r>
  <r>
    <s v="INV-01422"/>
    <d v="2026-03-22T00:00:00"/>
    <s v="P016"/>
    <s v="Purchase"/>
    <n v="64"/>
    <n v="64"/>
    <x v="2"/>
    <s v="ConnectX"/>
    <s v="China"/>
    <n v="4.2"/>
    <n v="10"/>
    <s v="PO-17971"/>
    <n v="268.8"/>
    <n v="0"/>
    <n v="268.8"/>
  </r>
  <r>
    <s v="INV-00158"/>
    <d v="2026-03-23T00:00:00"/>
    <s v="P024"/>
    <s v="Sale"/>
    <n v="-11"/>
    <n v="-11"/>
    <x v="2"/>
    <s v="CalcPlus"/>
    <s v="China"/>
    <n v="6"/>
    <n v="14"/>
    <m/>
    <n v="66"/>
    <n v="154"/>
    <n v="0"/>
  </r>
  <r>
    <s v="INV-00332"/>
    <d v="2026-03-23T00:00:00"/>
    <s v="P024"/>
    <s v="Purchase"/>
    <n v="111"/>
    <n v="111"/>
    <x v="1"/>
    <s v="CalcPlus"/>
    <s v="China"/>
    <n v="6"/>
    <n v="14"/>
    <s v="PO-68105"/>
    <n v="666"/>
    <n v="0"/>
    <n v="666"/>
  </r>
  <r>
    <s v="INV-00843"/>
    <d v="2026-03-23T00:00:00"/>
    <s v="P006"/>
    <s v="Sale"/>
    <n v="-10"/>
    <n v="-10"/>
    <x v="0"/>
    <s v="ViewPlus"/>
    <s v="South Korea"/>
    <n v="130"/>
    <n v="185"/>
    <m/>
    <n v="1300"/>
    <n v="1850"/>
    <n v="0"/>
  </r>
  <r>
    <s v="INV-00915"/>
    <d v="2026-03-23T00:00:00"/>
    <s v="P018"/>
    <s v="Purchase"/>
    <n v="81"/>
    <n v="81"/>
    <x v="2"/>
    <s v="DataStore"/>
    <s v="South Korea"/>
    <n v="5.2"/>
    <n v="11"/>
    <s v="PO-26991"/>
    <n v="421.2"/>
    <n v="0"/>
    <n v="421.2"/>
  </r>
  <r>
    <s v="INV-00969"/>
    <d v="2026-03-24T00:00:00"/>
    <s v="P018"/>
    <s v="Sale"/>
    <n v="-3"/>
    <n v="-3"/>
    <x v="2"/>
    <s v="DataStore"/>
    <s v="South Korea"/>
    <n v="5.2"/>
    <n v="11"/>
    <m/>
    <n v="15.600000000000001"/>
    <n v="33"/>
    <n v="0"/>
  </r>
  <r>
    <s v="INV-01031"/>
    <d v="2026-03-25T00:00:00"/>
    <s v="P001"/>
    <s v="Sale"/>
    <n v="-8"/>
    <n v="-8"/>
    <x v="2"/>
    <s v="TechGear"/>
    <s v="China"/>
    <n v="7.2"/>
    <n v="12.5"/>
    <m/>
    <n v="57.6"/>
    <n v="100"/>
    <n v="0"/>
  </r>
  <r>
    <s v="INV-00750"/>
    <d v="2026-03-26T00:00:00"/>
    <s v="P020"/>
    <s v="Purchase"/>
    <n v="69"/>
    <n v="69"/>
    <x v="1"/>
    <s v="PrintTech"/>
    <s v="Japan"/>
    <n v="30"/>
    <n v="48"/>
    <s v="PO-28961"/>
    <n v="2070"/>
    <n v="0"/>
    <n v="2070"/>
  </r>
  <r>
    <s v="INV-01201"/>
    <d v="2026-03-26T00:00:00"/>
    <s v="P024"/>
    <s v="Sale"/>
    <n v="-7"/>
    <n v="-7"/>
    <x v="1"/>
    <s v="CalcPlus"/>
    <s v="China"/>
    <n v="6"/>
    <n v="14"/>
    <m/>
    <n v="42"/>
    <n v="98"/>
    <n v="0"/>
  </r>
  <r>
    <s v="INV-00212"/>
    <d v="2026-03-26T00:00:00"/>
    <s v="P022"/>
    <s v="Purchase"/>
    <n v="75"/>
    <n v="75"/>
    <x v="0"/>
    <s v="HydroLife"/>
    <s v="Germany"/>
    <n v="8.5"/>
    <n v="18"/>
    <s v="PO-42314"/>
    <n v="637.5"/>
    <n v="0"/>
    <n v="637.5"/>
  </r>
  <r>
    <s v="INV-00549"/>
    <d v="2026-03-28T00:00:00"/>
    <s v="P017"/>
    <s v="Sale"/>
    <n v="-5"/>
    <n v="-5"/>
    <x v="0"/>
    <s v="SoundMax"/>
    <s v="Vietnam"/>
    <n v="34"/>
    <n v="55"/>
    <m/>
    <n v="170"/>
    <n v="275"/>
    <n v="0"/>
  </r>
  <r>
    <s v="INV-01280"/>
    <d v="2026-03-28T00:00:00"/>
    <s v="P016"/>
    <s v="Adjustment"/>
    <n v="4"/>
    <n v="4"/>
    <x v="0"/>
    <s v="ConnectX"/>
    <s v="China"/>
    <n v="4.2"/>
    <n v="10"/>
    <m/>
    <n v="16.8"/>
    <n v="0"/>
    <n v="0"/>
  </r>
  <r>
    <s v="INV-00085"/>
    <d v="2026-03-28T00:00:00"/>
    <s v="P011"/>
    <s v="Purchase"/>
    <n v="104"/>
    <n v="104"/>
    <x v="0"/>
    <s v="PaperMate"/>
    <s v="Germany"/>
    <n v="2.6"/>
    <n v="5.5"/>
    <s v="PO-89027"/>
    <n v="270.40000000000003"/>
    <n v="0"/>
    <n v="270.40000000000003"/>
  </r>
  <r>
    <s v="INV-00888"/>
    <d v="2026-03-29T00:00:00"/>
    <s v="P008"/>
    <s v="Sale"/>
    <n v="-14"/>
    <n v="-14"/>
    <x v="1"/>
    <s v="BrightHome"/>
    <s v="China"/>
    <n v="13.5"/>
    <n v="24"/>
    <m/>
    <n v="189"/>
    <n v="336"/>
    <n v="0"/>
  </r>
  <r>
    <s v="INV-01403"/>
    <d v="2026-03-29T00:00:00"/>
    <s v="P001"/>
    <s v="Purchase"/>
    <n v="68"/>
    <n v="68"/>
    <x v="0"/>
    <s v="TechGear"/>
    <s v="China"/>
    <n v="7.2"/>
    <n v="12.5"/>
    <s v="PO-19107"/>
    <n v="489.6"/>
    <n v="0"/>
    <n v="489.6"/>
  </r>
  <r>
    <s v="INV-00591"/>
    <d v="2026-03-29T00:00:00"/>
    <s v="P004"/>
    <s v="Sale"/>
    <n v="-2"/>
    <n v="-2"/>
    <x v="0"/>
    <s v="SoundMax"/>
    <s v="Vietnam"/>
    <n v="20"/>
    <n v="35"/>
    <m/>
    <n v="40"/>
    <n v="70"/>
    <n v="0"/>
  </r>
  <r>
    <s v="INV-01191"/>
    <d v="2026-03-30T00:00:00"/>
    <s v="P002"/>
    <s v="Purchase"/>
    <n v="40"/>
    <n v="40"/>
    <x v="0"/>
    <s v="KeyPro"/>
    <s v="China"/>
    <n v="25"/>
    <n v="42"/>
    <s v="PO-33052"/>
    <n v="1000"/>
    <n v="0"/>
    <n v="1000"/>
  </r>
  <r>
    <s v="INV-01363"/>
    <d v="2026-03-30T00:00:00"/>
    <s v="P020"/>
    <s v="Purchase"/>
    <n v="101"/>
    <n v="101"/>
    <x v="0"/>
    <s v="PrintTech"/>
    <s v="Japan"/>
    <n v="30"/>
    <n v="48"/>
    <s v="PO-50934"/>
    <n v="3030"/>
    <n v="0"/>
    <n v="3030"/>
  </r>
  <r>
    <s v="INV-01062"/>
    <d v="2026-03-31T00:00:00"/>
    <s v="P030"/>
    <s v="Purchase"/>
    <n v="73"/>
    <n v="73"/>
    <x v="2"/>
    <s v="StoreMax"/>
    <s v="Germany"/>
    <n v="11"/>
    <n v="22"/>
    <s v="PO-57800"/>
    <n v="803"/>
    <n v="0"/>
    <n v="803"/>
  </r>
  <r>
    <s v="INV-01611"/>
    <d v="2026-03-31T00:00:00"/>
    <s v="P028"/>
    <s v="Sale"/>
    <n v="-2"/>
    <n v="-2"/>
    <x v="2"/>
    <s v="PackRight"/>
    <s v="Poland"/>
    <n v="3"/>
    <n v="7"/>
    <m/>
    <n v="6"/>
    <n v="14"/>
    <n v="0"/>
  </r>
  <r>
    <s v="INV-01255"/>
    <d v="2026-03-31T00:00:00"/>
    <s v="P022"/>
    <s v="Sale"/>
    <n v="-10"/>
    <n v="-10"/>
    <x v="2"/>
    <s v="HydroLife"/>
    <s v="Germany"/>
    <n v="8.5"/>
    <n v="18"/>
    <m/>
    <n v="85"/>
    <n v="180"/>
    <n v="0"/>
  </r>
  <r>
    <s v="INV-00387"/>
    <d v="2026-03-31T00:00:00"/>
    <s v="P010"/>
    <s v="Sale"/>
    <n v="-13"/>
    <n v="-13"/>
    <x v="0"/>
    <s v="ErgoSpace"/>
    <s v="Germany"/>
    <n v="220"/>
    <n v="320"/>
    <m/>
    <n v="2860"/>
    <n v="4160"/>
    <n v="0"/>
  </r>
  <r>
    <s v="INV-01579"/>
    <d v="2026-04-01T00:00:00"/>
    <s v="P020"/>
    <s v="Purchase"/>
    <n v="39"/>
    <n v="39"/>
    <x v="2"/>
    <s v="PrintTech"/>
    <s v="Japan"/>
    <n v="30"/>
    <n v="48"/>
    <s v="PO-11502"/>
    <n v="1170"/>
    <n v="0"/>
    <n v="1170"/>
  </r>
  <r>
    <s v="INV-00963"/>
    <d v="2026-04-01T00:00:00"/>
    <s v="P008"/>
    <s v="Sale"/>
    <n v="-6"/>
    <n v="-6"/>
    <x v="0"/>
    <s v="BrightHome"/>
    <s v="China"/>
    <n v="13.5"/>
    <n v="24"/>
    <m/>
    <n v="81"/>
    <n v="144"/>
    <n v="0"/>
  </r>
  <r>
    <s v="INV-01737"/>
    <d v="2026-04-02T00:00:00"/>
    <s v="P015"/>
    <s v="Purchase"/>
    <n v="22"/>
    <n v="22"/>
    <x v="0"/>
    <s v="VoltPro"/>
    <s v="China"/>
    <n v="23"/>
    <n v="38"/>
    <s v="PO-55440"/>
    <n v="506"/>
    <n v="0"/>
    <n v="506"/>
  </r>
  <r>
    <s v="INV-00253"/>
    <d v="2026-04-02T00:00:00"/>
    <s v="P028"/>
    <s v="Purchase"/>
    <n v="106"/>
    <n v="106"/>
    <x v="0"/>
    <s v="PackRight"/>
    <s v="Poland"/>
    <n v="3"/>
    <n v="7"/>
    <s v="PO-39877"/>
    <n v="318"/>
    <n v="0"/>
    <n v="318"/>
  </r>
  <r>
    <s v="INV-01034"/>
    <d v="2026-04-03T00:00:00"/>
    <s v="P004"/>
    <s v="Purchase"/>
    <n v="80"/>
    <n v="80"/>
    <x v="1"/>
    <s v="SoundMax"/>
    <s v="Vietnam"/>
    <n v="20"/>
    <n v="35"/>
    <s v="PO-84176"/>
    <n v="1600"/>
    <n v="0"/>
    <n v="1600"/>
  </r>
  <r>
    <s v="INV-00047"/>
    <d v="2026-04-04T00:00:00"/>
    <s v="P011"/>
    <s v="Purchase"/>
    <n v="20"/>
    <n v="20"/>
    <x v="2"/>
    <s v="PaperMate"/>
    <s v="Germany"/>
    <n v="2.6"/>
    <n v="5.5"/>
    <s v="PO-59088"/>
    <n v="52"/>
    <n v="0"/>
    <n v="52"/>
  </r>
  <r>
    <s v="INV-01640"/>
    <d v="2026-04-04T00:00:00"/>
    <s v="P029"/>
    <s v="Return"/>
    <n v="4"/>
    <n v="4"/>
    <x v="2"/>
    <s v="PackRight"/>
    <s v="Poland"/>
    <n v="4"/>
    <n v="9"/>
    <m/>
    <n v="16"/>
    <n v="0"/>
    <n v="0"/>
  </r>
  <r>
    <s v="INV-00445"/>
    <d v="2026-04-04T00:00:00"/>
    <s v="P025"/>
    <s v="Sale"/>
    <n v="-6"/>
    <n v="-6"/>
    <x v="2"/>
    <s v="PaperMate"/>
    <s v="Germany"/>
    <n v="5.5"/>
    <n v="12"/>
    <m/>
    <n v="33"/>
    <n v="72"/>
    <n v="0"/>
  </r>
  <r>
    <s v="INV-00247"/>
    <d v="2026-04-04T00:00:00"/>
    <s v="P014"/>
    <s v="Purchase"/>
    <n v="53"/>
    <n v="53"/>
    <x v="2"/>
    <s v="DataStore"/>
    <s v="South Korea"/>
    <n v="63"/>
    <n v="95"/>
    <s v="PO-83030"/>
    <n v="3339"/>
    <n v="0"/>
    <n v="3339"/>
  </r>
  <r>
    <s v="INV-01277"/>
    <d v="2026-04-05T00:00:00"/>
    <s v="P008"/>
    <s v="Adjustment"/>
    <n v="-8"/>
    <n v="-8"/>
    <x v="2"/>
    <s v="BrightHome"/>
    <s v="China"/>
    <n v="13.5"/>
    <n v="24"/>
    <m/>
    <n v="108"/>
    <n v="0"/>
    <n v="0"/>
  </r>
  <r>
    <s v="INV-00343"/>
    <d v="2026-04-05T00:00:00"/>
    <s v="P005"/>
    <s v="Sale"/>
    <n v="-9"/>
    <n v="-9"/>
    <x v="1"/>
    <s v="VisionTech"/>
    <s v="China"/>
    <n v="18.5"/>
    <n v="31"/>
    <m/>
    <n v="166.5"/>
    <n v="279"/>
    <n v="0"/>
  </r>
  <r>
    <s v="INV-01514"/>
    <d v="2026-04-05T00:00:00"/>
    <s v="P001"/>
    <s v="Purchase"/>
    <n v="54"/>
    <n v="54"/>
    <x v="2"/>
    <s v="TechGear"/>
    <s v="China"/>
    <n v="7.2"/>
    <n v="12.5"/>
    <s v="PO-37268"/>
    <n v="388.8"/>
    <n v="0"/>
    <n v="388.8"/>
  </r>
  <r>
    <s v="INV-00547"/>
    <d v="2026-04-06T00:00:00"/>
    <s v="P003"/>
    <s v="Sale"/>
    <n v="-13"/>
    <n v="-13"/>
    <x v="0"/>
    <s v="ConnectX"/>
    <s v="China"/>
    <n v="16.5"/>
    <n v="28"/>
    <m/>
    <n v="214.5"/>
    <n v="364"/>
    <n v="0"/>
  </r>
  <r>
    <s v="INV-01151"/>
    <d v="2026-04-06T00:00:00"/>
    <s v="P023"/>
    <s v="Sale"/>
    <n v="-7"/>
    <n v="-7"/>
    <x v="0"/>
    <s v="DeskWorks"/>
    <s v="China"/>
    <n v="8.8000000000000007"/>
    <n v="17"/>
    <m/>
    <n v="61.600000000000009"/>
    <n v="119"/>
    <n v="0"/>
  </r>
  <r>
    <s v="INV-00801"/>
    <d v="2026-04-06T00:00:00"/>
    <s v="P023"/>
    <s v="Sale"/>
    <n v="-13"/>
    <n v="-13"/>
    <x v="0"/>
    <s v="DeskWorks"/>
    <s v="China"/>
    <n v="8.8000000000000007"/>
    <n v="17"/>
    <m/>
    <n v="114.4"/>
    <n v="221"/>
    <n v="0"/>
  </r>
  <r>
    <s v="INV-00465"/>
    <d v="2026-04-06T00:00:00"/>
    <s v="P029"/>
    <s v="Sale"/>
    <n v="-8"/>
    <n v="-8"/>
    <x v="0"/>
    <s v="PackRight"/>
    <s v="Poland"/>
    <n v="4"/>
    <n v="9"/>
    <m/>
    <n v="32"/>
    <n v="72"/>
    <n v="0"/>
  </r>
  <r>
    <s v="INV-00108"/>
    <d v="2026-04-06T00:00:00"/>
    <s v="P024"/>
    <s v="Sale"/>
    <n v="-1"/>
    <n v="-1"/>
    <x v="2"/>
    <s v="CalcPlus"/>
    <s v="China"/>
    <n v="6"/>
    <n v="14"/>
    <m/>
    <n v="6"/>
    <n v="14"/>
    <n v="0"/>
  </r>
  <r>
    <s v="INV-01152"/>
    <d v="2026-04-07T00:00:00"/>
    <s v="P027"/>
    <s v="Sale"/>
    <n v="-9"/>
    <n v="-9"/>
    <x v="0"/>
    <s v="PrintTech"/>
    <s v="Japan"/>
    <n v="82"/>
    <n v="135"/>
    <m/>
    <n v="738"/>
    <n v="1215"/>
    <n v="0"/>
  </r>
  <r>
    <s v="INV-01131"/>
    <d v="2026-04-07T00:00:00"/>
    <s v="P023"/>
    <s v="Sale"/>
    <n v="-8"/>
    <n v="-8"/>
    <x v="0"/>
    <s v="DeskWorks"/>
    <s v="China"/>
    <n v="8.8000000000000007"/>
    <n v="17"/>
    <m/>
    <n v="70.400000000000006"/>
    <n v="136"/>
    <n v="0"/>
  </r>
  <r>
    <s v="INV-01597"/>
    <d v="2026-04-07T00:00:00"/>
    <s v="P009"/>
    <s v="Sale"/>
    <n v="-3"/>
    <n v="-3"/>
    <x v="2"/>
    <s v="ComfortPro"/>
    <s v="Poland"/>
    <n v="105"/>
    <n v="165"/>
    <m/>
    <n v="315"/>
    <n v="495"/>
    <n v="0"/>
  </r>
  <r>
    <s v="INV-00751"/>
    <d v="2026-04-08T00:00:00"/>
    <s v="P004"/>
    <s v="Sale"/>
    <n v="-12"/>
    <n v="-12"/>
    <x v="0"/>
    <s v="SoundMax"/>
    <s v="Vietnam"/>
    <n v="20"/>
    <n v="35"/>
    <m/>
    <n v="240"/>
    <n v="420"/>
    <n v="0"/>
  </r>
  <r>
    <s v="INV-01456"/>
    <d v="2026-04-08T00:00:00"/>
    <s v="P029"/>
    <s v="Purchase"/>
    <n v="107"/>
    <n v="107"/>
    <x v="1"/>
    <s v="PackRight"/>
    <s v="Poland"/>
    <n v="4"/>
    <n v="9"/>
    <s v="PO-54045"/>
    <n v="428"/>
    <n v="0"/>
    <n v="428"/>
  </r>
  <r>
    <s v="INV-01752"/>
    <d v="2026-04-08T00:00:00"/>
    <s v="P007"/>
    <s v="Purchase"/>
    <n v="52"/>
    <n v="52"/>
    <x v="1"/>
    <s v="DeskWorks"/>
    <s v="China"/>
    <n v="16"/>
    <n v="29"/>
    <s v="PO-32075"/>
    <n v="832"/>
    <n v="0"/>
    <n v="832"/>
  </r>
  <r>
    <s v="INV-01493"/>
    <d v="2026-04-08T00:00:00"/>
    <s v="P008"/>
    <s v="Sale"/>
    <n v="-9"/>
    <n v="-9"/>
    <x v="0"/>
    <s v="BrightHome"/>
    <s v="China"/>
    <n v="13.5"/>
    <n v="24"/>
    <m/>
    <n v="121.5"/>
    <n v="216"/>
    <n v="0"/>
  </r>
  <r>
    <s v="INV-00739"/>
    <d v="2026-04-08T00:00:00"/>
    <s v="P015"/>
    <s v="Sale"/>
    <n v="-5"/>
    <n v="-5"/>
    <x v="2"/>
    <s v="VoltPro"/>
    <s v="China"/>
    <n v="23"/>
    <n v="38"/>
    <m/>
    <n v="115"/>
    <n v="190"/>
    <n v="0"/>
  </r>
  <r>
    <s v="INV-01669"/>
    <d v="2026-04-08T00:00:00"/>
    <s v="P004"/>
    <s v="Sale"/>
    <n v="-4"/>
    <n v="-4"/>
    <x v="0"/>
    <s v="SoundMax"/>
    <s v="Vietnam"/>
    <n v="20"/>
    <n v="35"/>
    <m/>
    <n v="80"/>
    <n v="140"/>
    <n v="0"/>
  </r>
  <r>
    <s v="INV-00550"/>
    <d v="2026-04-09T00:00:00"/>
    <s v="P024"/>
    <s v="Purchase"/>
    <n v="66"/>
    <n v="66"/>
    <x v="1"/>
    <s v="CalcPlus"/>
    <s v="China"/>
    <n v="6"/>
    <n v="14"/>
    <s v="PO-58812"/>
    <n v="396"/>
    <n v="0"/>
    <n v="396"/>
  </r>
  <r>
    <s v="INV-00226"/>
    <d v="2026-04-09T00:00:00"/>
    <s v="P008"/>
    <s v="Purchase"/>
    <n v="92"/>
    <n v="92"/>
    <x v="0"/>
    <s v="BrightHome"/>
    <s v="China"/>
    <n v="13.5"/>
    <n v="24"/>
    <s v="PO-57006"/>
    <n v="1242"/>
    <n v="0"/>
    <n v="1242"/>
  </r>
  <r>
    <s v="INV-01087"/>
    <d v="2026-04-09T00:00:00"/>
    <s v="P020"/>
    <s v="Sale"/>
    <n v="-14"/>
    <n v="-14"/>
    <x v="1"/>
    <s v="PrintTech"/>
    <s v="Japan"/>
    <n v="30"/>
    <n v="48"/>
    <m/>
    <n v="420"/>
    <n v="672"/>
    <n v="0"/>
  </r>
  <r>
    <s v="INV-00847"/>
    <d v="2026-04-09T00:00:00"/>
    <s v="P003"/>
    <s v="Adjustment"/>
    <n v="-18"/>
    <n v="-18"/>
    <x v="1"/>
    <s v="ConnectX"/>
    <s v="China"/>
    <n v="16.5"/>
    <n v="28"/>
    <m/>
    <n v="297"/>
    <n v="0"/>
    <n v="0"/>
  </r>
  <r>
    <s v="INV-00876"/>
    <d v="2026-04-09T00:00:00"/>
    <s v="P005"/>
    <s v="Purchase"/>
    <n v="88"/>
    <n v="88"/>
    <x v="1"/>
    <s v="VisionTech"/>
    <s v="China"/>
    <n v="18.5"/>
    <n v="31"/>
    <s v="PO-97235"/>
    <n v="1628"/>
    <n v="0"/>
    <n v="1628"/>
  </r>
  <r>
    <s v="INV-00003"/>
    <d v="2026-04-09T00:00:00"/>
    <s v="P024"/>
    <s v="Sale"/>
    <n v="-6"/>
    <n v="-6"/>
    <x v="0"/>
    <s v="CalcPlus"/>
    <s v="China"/>
    <n v="6"/>
    <n v="14"/>
    <m/>
    <n v="36"/>
    <n v="84"/>
    <n v="0"/>
  </r>
  <r>
    <s v="INV-00670"/>
    <d v="2026-04-11T00:00:00"/>
    <s v="P010"/>
    <s v="Sale"/>
    <n v="-5"/>
    <n v="-5"/>
    <x v="0"/>
    <s v="ErgoSpace"/>
    <s v="Germany"/>
    <n v="220"/>
    <n v="320"/>
    <m/>
    <n v="1100"/>
    <n v="1600"/>
    <n v="0"/>
  </r>
  <r>
    <s v="INV-01639"/>
    <d v="2026-04-11T00:00:00"/>
    <s v="P030"/>
    <s v="Return"/>
    <n v="2"/>
    <n v="2"/>
    <x v="0"/>
    <s v="StoreMax"/>
    <s v="Germany"/>
    <n v="11"/>
    <n v="22"/>
    <m/>
    <n v="22"/>
    <n v="0"/>
    <n v="0"/>
  </r>
  <r>
    <s v="INV-01574"/>
    <d v="2026-04-11T00:00:00"/>
    <s v="P028"/>
    <s v="Sale"/>
    <n v="-9"/>
    <n v="-9"/>
    <x v="0"/>
    <s v="PackRight"/>
    <s v="Poland"/>
    <n v="3"/>
    <n v="7"/>
    <m/>
    <n v="27"/>
    <n v="63"/>
    <n v="0"/>
  </r>
  <r>
    <s v="INV-01085"/>
    <d v="2026-04-11T00:00:00"/>
    <s v="P029"/>
    <s v="Purchase"/>
    <n v="64"/>
    <n v="64"/>
    <x v="2"/>
    <s v="PackRight"/>
    <s v="Poland"/>
    <n v="4"/>
    <n v="9"/>
    <s v="PO-15813"/>
    <n v="256"/>
    <n v="0"/>
    <n v="256"/>
  </r>
  <r>
    <s v="INV-01421"/>
    <d v="2026-04-11T00:00:00"/>
    <s v="P011"/>
    <s v="Sale"/>
    <n v="-12"/>
    <n v="-12"/>
    <x v="0"/>
    <s v="PaperMate"/>
    <s v="Germany"/>
    <n v="2.6"/>
    <n v="5.5"/>
    <m/>
    <n v="31.200000000000003"/>
    <n v="66"/>
    <n v="0"/>
  </r>
  <r>
    <s v="INV-01483"/>
    <d v="2026-04-12T00:00:00"/>
    <s v="P017"/>
    <s v="Sale"/>
    <n v="-1"/>
    <n v="-1"/>
    <x v="0"/>
    <s v="SoundMax"/>
    <s v="Vietnam"/>
    <n v="34"/>
    <n v="55"/>
    <m/>
    <n v="34"/>
    <n v="55"/>
    <n v="0"/>
  </r>
  <r>
    <s v="INV-01373"/>
    <d v="2026-04-13T00:00:00"/>
    <s v="P028"/>
    <s v="Purchase"/>
    <n v="74"/>
    <n v="74"/>
    <x v="0"/>
    <s v="PackRight"/>
    <s v="Poland"/>
    <n v="3"/>
    <n v="7"/>
    <s v="PO-18484"/>
    <n v="222"/>
    <n v="0"/>
    <n v="222"/>
  </r>
  <r>
    <s v="INV-00727"/>
    <d v="2026-04-13T00:00:00"/>
    <s v="P004"/>
    <s v="Purchase"/>
    <n v="114"/>
    <n v="114"/>
    <x v="2"/>
    <s v="SoundMax"/>
    <s v="Vietnam"/>
    <n v="20"/>
    <n v="35"/>
    <s v="PO-71993"/>
    <n v="2280"/>
    <n v="0"/>
    <n v="2280"/>
  </r>
  <r>
    <s v="INV-00577"/>
    <d v="2026-04-13T00:00:00"/>
    <s v="P005"/>
    <s v="Purchase"/>
    <n v="26"/>
    <n v="26"/>
    <x v="0"/>
    <s v="VisionTech"/>
    <s v="China"/>
    <n v="18.5"/>
    <n v="31"/>
    <s v="PO-92027"/>
    <n v="481"/>
    <n v="0"/>
    <n v="481"/>
  </r>
  <r>
    <s v="INV-00338"/>
    <d v="2026-04-14T00:00:00"/>
    <s v="P023"/>
    <s v="Sale"/>
    <n v="-8"/>
    <n v="-8"/>
    <x v="2"/>
    <s v="DeskWorks"/>
    <s v="China"/>
    <n v="8.8000000000000007"/>
    <n v="17"/>
    <m/>
    <n v="70.400000000000006"/>
    <n v="136"/>
    <n v="0"/>
  </r>
  <r>
    <s v="INV-00558"/>
    <d v="2026-04-14T00:00:00"/>
    <s v="P001"/>
    <s v="Purchase"/>
    <n v="97"/>
    <n v="97"/>
    <x v="0"/>
    <s v="TechGear"/>
    <s v="China"/>
    <n v="7.2"/>
    <n v="12.5"/>
    <s v="PO-28895"/>
    <n v="698.4"/>
    <n v="0"/>
    <n v="698.4"/>
  </r>
  <r>
    <s v="INV-01569"/>
    <d v="2026-04-15T00:00:00"/>
    <s v="P020"/>
    <s v="Purchase"/>
    <n v="23"/>
    <n v="23"/>
    <x v="2"/>
    <s v="PrintTech"/>
    <s v="Japan"/>
    <n v="30"/>
    <n v="48"/>
    <s v="PO-91490"/>
    <n v="690"/>
    <n v="0"/>
    <n v="690"/>
  </r>
  <r>
    <s v="INV-00022"/>
    <d v="2026-04-15T00:00:00"/>
    <s v="P004"/>
    <s v="Purchase"/>
    <n v="95"/>
    <n v="95"/>
    <x v="0"/>
    <s v="SoundMax"/>
    <s v="Vietnam"/>
    <n v="20"/>
    <n v="35"/>
    <s v="PO-59044"/>
    <n v="1900"/>
    <n v="0"/>
    <n v="1900"/>
  </r>
  <r>
    <s v="INV-01389"/>
    <d v="2026-04-16T00:00:00"/>
    <s v="P030"/>
    <s v="Sale"/>
    <n v="-7"/>
    <n v="-7"/>
    <x v="1"/>
    <s v="StoreMax"/>
    <s v="Germany"/>
    <n v="11"/>
    <n v="22"/>
    <m/>
    <n v="77"/>
    <n v="154"/>
    <n v="0"/>
  </r>
  <r>
    <s v="INV-00061"/>
    <d v="2026-04-16T00:00:00"/>
    <s v="P013"/>
    <s v="Sale"/>
    <n v="-10"/>
    <n v="-10"/>
    <x v="2"/>
    <s v="DeskWorks"/>
    <s v="China"/>
    <n v="8"/>
    <n v="15"/>
    <m/>
    <n v="80"/>
    <n v="150"/>
    <n v="0"/>
  </r>
  <r>
    <s v="INV-01610"/>
    <d v="2026-04-16T00:00:00"/>
    <s v="P017"/>
    <s v="Purchase"/>
    <n v="90"/>
    <n v="90"/>
    <x v="0"/>
    <s v="SoundMax"/>
    <s v="Vietnam"/>
    <n v="34"/>
    <n v="55"/>
    <s v="PO-66731"/>
    <n v="3060"/>
    <n v="0"/>
    <n v="3060"/>
  </r>
  <r>
    <s v="INV-01176"/>
    <d v="2026-04-16T00:00:00"/>
    <s v="P017"/>
    <s v="Purchase"/>
    <n v="38"/>
    <n v="38"/>
    <x v="1"/>
    <s v="SoundMax"/>
    <s v="Vietnam"/>
    <n v="34"/>
    <n v="55"/>
    <s v="PO-42844"/>
    <n v="1292"/>
    <n v="0"/>
    <n v="1292"/>
  </r>
  <r>
    <s v="INV-00889"/>
    <d v="2026-04-16T00:00:00"/>
    <s v="P003"/>
    <s v="Sale"/>
    <n v="-13"/>
    <n v="-13"/>
    <x v="2"/>
    <s v="ConnectX"/>
    <s v="China"/>
    <n v="16.5"/>
    <n v="28"/>
    <m/>
    <n v="214.5"/>
    <n v="364"/>
    <n v="0"/>
  </r>
  <r>
    <s v="INV-00004"/>
    <d v="2026-04-17T00:00:00"/>
    <s v="P019"/>
    <s v="Purchase"/>
    <n v="111"/>
    <n v="111"/>
    <x v="1"/>
    <s v="PrintTech"/>
    <s v="Japan"/>
    <n v="145"/>
    <n v="210"/>
    <s v="PO-52235"/>
    <n v="16095"/>
    <n v="0"/>
    <n v="16095"/>
  </r>
  <r>
    <s v="INV-00536"/>
    <d v="2026-04-17T00:00:00"/>
    <s v="P029"/>
    <s v="Sale"/>
    <n v="-9"/>
    <n v="-9"/>
    <x v="2"/>
    <s v="PackRight"/>
    <s v="Poland"/>
    <n v="4"/>
    <n v="9"/>
    <m/>
    <n v="36"/>
    <n v="81"/>
    <n v="0"/>
  </r>
  <r>
    <s v="INV-01376"/>
    <d v="2026-04-17T00:00:00"/>
    <s v="P028"/>
    <s v="Purchase"/>
    <n v="54"/>
    <n v="54"/>
    <x v="2"/>
    <s v="PackRight"/>
    <s v="Poland"/>
    <n v="3"/>
    <n v="7"/>
    <s v="PO-63678"/>
    <n v="162"/>
    <n v="0"/>
    <n v="162"/>
  </r>
  <r>
    <s v="INV-00307"/>
    <d v="2026-04-17T00:00:00"/>
    <s v="P017"/>
    <s v="Sale"/>
    <n v="-5"/>
    <n v="-5"/>
    <x v="0"/>
    <s v="SoundMax"/>
    <s v="Vietnam"/>
    <n v="34"/>
    <n v="55"/>
    <m/>
    <n v="170"/>
    <n v="275"/>
    <n v="0"/>
  </r>
  <r>
    <s v="INV-00799"/>
    <d v="2026-04-18T00:00:00"/>
    <s v="P022"/>
    <s v="Purchase"/>
    <n v="56"/>
    <n v="56"/>
    <x v="1"/>
    <s v="HydroLife"/>
    <s v="Germany"/>
    <n v="8.5"/>
    <n v="18"/>
    <s v="PO-17045"/>
    <n v="476"/>
    <n v="0"/>
    <n v="476"/>
  </r>
  <r>
    <s v="INV-00029"/>
    <d v="2026-04-19T00:00:00"/>
    <s v="P019"/>
    <s v="Sale"/>
    <n v="-9"/>
    <n v="-9"/>
    <x v="2"/>
    <s v="PrintTech"/>
    <s v="Japan"/>
    <n v="145"/>
    <n v="210"/>
    <m/>
    <n v="1305"/>
    <n v="1890"/>
    <n v="0"/>
  </r>
  <r>
    <s v="INV-00812"/>
    <d v="2026-04-19T00:00:00"/>
    <s v="P027"/>
    <s v="Purchase"/>
    <n v="31"/>
    <n v="31"/>
    <x v="1"/>
    <s v="PrintTech"/>
    <s v="Japan"/>
    <n v="82"/>
    <n v="135"/>
    <s v="PO-36844"/>
    <n v="2542"/>
    <n v="0"/>
    <n v="2542"/>
  </r>
  <r>
    <s v="INV-01166"/>
    <d v="2026-04-19T00:00:00"/>
    <s v="P025"/>
    <s v="Sale"/>
    <n v="-1"/>
    <n v="-1"/>
    <x v="0"/>
    <s v="PaperMate"/>
    <s v="Germany"/>
    <n v="5.5"/>
    <n v="12"/>
    <m/>
    <n v="5.5"/>
    <n v="12"/>
    <n v="0"/>
  </r>
  <r>
    <s v="INV-00544"/>
    <d v="2026-04-19T00:00:00"/>
    <s v="P022"/>
    <s v="Sale"/>
    <n v="-7"/>
    <n v="-7"/>
    <x v="2"/>
    <s v="HydroLife"/>
    <s v="Germany"/>
    <n v="8.5"/>
    <n v="18"/>
    <m/>
    <n v="59.5"/>
    <n v="126"/>
    <n v="0"/>
  </r>
  <r>
    <s v="INV-01408"/>
    <d v="2026-04-19T00:00:00"/>
    <s v="P025"/>
    <s v="Sale"/>
    <n v="-15"/>
    <n v="-15"/>
    <x v="2"/>
    <s v="PaperMate"/>
    <s v="Germany"/>
    <n v="5.5"/>
    <n v="12"/>
    <m/>
    <n v="82.5"/>
    <n v="180"/>
    <n v="0"/>
  </r>
  <r>
    <s v="INV-01580"/>
    <d v="2026-04-20T00:00:00"/>
    <s v="P018"/>
    <s v="Sale"/>
    <n v="-15"/>
    <n v="-15"/>
    <x v="1"/>
    <s v="DataStore"/>
    <s v="South Korea"/>
    <n v="5.2"/>
    <n v="11"/>
    <m/>
    <n v="78"/>
    <n v="165"/>
    <n v="0"/>
  </r>
  <r>
    <s v="INV-00342"/>
    <d v="2026-04-22T00:00:00"/>
    <s v="P016"/>
    <s v="Sale"/>
    <n v="-4"/>
    <n v="-4"/>
    <x v="0"/>
    <s v="ConnectX"/>
    <s v="China"/>
    <n v="4.2"/>
    <n v="10"/>
    <m/>
    <n v="16.8"/>
    <n v="40"/>
    <n v="0"/>
  </r>
  <r>
    <s v="INV-00068"/>
    <d v="2026-04-22T00:00:00"/>
    <s v="P025"/>
    <s v="Purchase"/>
    <n v="108"/>
    <n v="108"/>
    <x v="2"/>
    <s v="PaperMate"/>
    <s v="Germany"/>
    <n v="5.5"/>
    <n v="12"/>
    <s v="PO-48138"/>
    <n v="594"/>
    <n v="0"/>
    <n v="594"/>
  </r>
  <r>
    <s v="INV-01726"/>
    <d v="2026-04-22T00:00:00"/>
    <s v="P002"/>
    <s v="Purchase"/>
    <n v="115"/>
    <n v="115"/>
    <x v="2"/>
    <s v="KeyPro"/>
    <s v="China"/>
    <n v="25"/>
    <n v="42"/>
    <s v="PO-73115"/>
    <n v="2875"/>
    <n v="0"/>
    <n v="2875"/>
  </r>
  <r>
    <s v="INV-01788"/>
    <d v="2026-04-22T00:00:00"/>
    <s v="P020"/>
    <s v="Sale"/>
    <n v="-2"/>
    <n v="-2"/>
    <x v="2"/>
    <s v="PrintTech"/>
    <s v="Japan"/>
    <n v="30"/>
    <n v="48"/>
    <m/>
    <n v="60"/>
    <n v="96"/>
    <n v="0"/>
  </r>
  <r>
    <s v="INV-00386"/>
    <d v="2026-04-22T00:00:00"/>
    <s v="P025"/>
    <s v="Return"/>
    <n v="3"/>
    <n v="3"/>
    <x v="0"/>
    <s v="PaperMate"/>
    <s v="Germany"/>
    <n v="5.5"/>
    <n v="12"/>
    <m/>
    <n v="16.5"/>
    <n v="0"/>
    <n v="0"/>
  </r>
  <r>
    <s v="INV-00551"/>
    <d v="2026-04-23T00:00:00"/>
    <s v="P017"/>
    <s v="Sale"/>
    <n v="-4"/>
    <n v="-4"/>
    <x v="1"/>
    <s v="SoundMax"/>
    <s v="Vietnam"/>
    <n v="34"/>
    <n v="55"/>
    <m/>
    <n v="136"/>
    <n v="220"/>
    <n v="0"/>
  </r>
  <r>
    <s v="INV-00865"/>
    <d v="2026-04-23T00:00:00"/>
    <s v="P013"/>
    <s v="Sale"/>
    <n v="-1"/>
    <n v="-1"/>
    <x v="0"/>
    <s v="DeskWorks"/>
    <s v="China"/>
    <n v="8"/>
    <n v="15"/>
    <m/>
    <n v="8"/>
    <n v="15"/>
    <n v="0"/>
  </r>
  <r>
    <s v="INV-00349"/>
    <d v="2026-04-23T00:00:00"/>
    <s v="P012"/>
    <s v="Sale"/>
    <n v="-5"/>
    <n v="-5"/>
    <x v="2"/>
    <s v="WriteWell"/>
    <s v="France"/>
    <n v="3.4"/>
    <n v="8"/>
    <m/>
    <n v="17"/>
    <n v="40"/>
    <n v="0"/>
  </r>
  <r>
    <s v="INV-01024"/>
    <d v="2026-04-23T00:00:00"/>
    <s v="P030"/>
    <s v="Purchase"/>
    <n v="84"/>
    <n v="84"/>
    <x v="2"/>
    <s v="StoreMax"/>
    <s v="Germany"/>
    <n v="11"/>
    <n v="22"/>
    <s v="PO-37360"/>
    <n v="924"/>
    <n v="0"/>
    <n v="924"/>
  </r>
  <r>
    <s v="INV-00607"/>
    <d v="2026-04-24T00:00:00"/>
    <s v="P007"/>
    <s v="Sale"/>
    <n v="-2"/>
    <n v="-2"/>
    <x v="1"/>
    <s v="DeskWorks"/>
    <s v="China"/>
    <n v="16"/>
    <n v="29"/>
    <m/>
    <n v="32"/>
    <n v="58"/>
    <n v="0"/>
  </r>
  <r>
    <s v="INV-00758"/>
    <d v="2026-04-24T00:00:00"/>
    <s v="P017"/>
    <s v="Purchase"/>
    <n v="111"/>
    <n v="111"/>
    <x v="1"/>
    <s v="SoundMax"/>
    <s v="Vietnam"/>
    <n v="34"/>
    <n v="55"/>
    <s v="PO-24706"/>
    <n v="3774"/>
    <n v="0"/>
    <n v="3774"/>
  </r>
  <r>
    <s v="INV-00797"/>
    <d v="2026-04-24T00:00:00"/>
    <s v="P029"/>
    <s v="Purchase"/>
    <n v="61"/>
    <n v="61"/>
    <x v="3"/>
    <s v="PackRight"/>
    <s v="Poland"/>
    <n v="4"/>
    <n v="9"/>
    <s v="PO-62076"/>
    <n v="244"/>
    <n v="0"/>
    <n v="244"/>
  </r>
  <r>
    <s v="INV-00711"/>
    <d v="2026-04-24T00:00:00"/>
    <s v="P024"/>
    <s v="Purchase"/>
    <n v="53"/>
    <n v="53"/>
    <x v="2"/>
    <s v="CalcPlus"/>
    <s v="China"/>
    <n v="6"/>
    <n v="14"/>
    <s v="PO-70110"/>
    <n v="318"/>
    <n v="0"/>
    <n v="318"/>
  </r>
  <r>
    <s v="INV-01098"/>
    <d v="2026-04-24T00:00:00"/>
    <s v="P006"/>
    <s v="Purchase"/>
    <n v="26"/>
    <n v="26"/>
    <x v="0"/>
    <s v="ViewPlus"/>
    <s v="South Korea"/>
    <n v="130"/>
    <n v="185"/>
    <s v="PO-44269"/>
    <n v="3380"/>
    <n v="0"/>
    <n v="3380"/>
  </r>
  <r>
    <s v="INV-00866"/>
    <d v="2026-04-24T00:00:00"/>
    <s v="P018"/>
    <s v="Purchase"/>
    <n v="64"/>
    <n v="64"/>
    <x v="2"/>
    <s v="DataStore"/>
    <s v="South Korea"/>
    <n v="5.2"/>
    <n v="11"/>
    <s v="PO-35105"/>
    <n v="332.8"/>
    <n v="0"/>
    <n v="332.8"/>
  </r>
  <r>
    <s v="INV-01656"/>
    <d v="2026-04-25T00:00:00"/>
    <s v="P029"/>
    <s v="Purchase"/>
    <n v="81"/>
    <n v="81"/>
    <x v="1"/>
    <s v="PackRight"/>
    <s v="Poland"/>
    <n v="4"/>
    <n v="9"/>
    <s v="PO-64645"/>
    <n v="324"/>
    <n v="0"/>
    <n v="324"/>
  </r>
  <r>
    <s v="INV-01526"/>
    <d v="2026-04-25T00:00:00"/>
    <s v="P008"/>
    <s v="Sale"/>
    <n v="-3"/>
    <n v="-3"/>
    <x v="1"/>
    <s v="BrightHome"/>
    <s v="China"/>
    <n v="13.5"/>
    <n v="24"/>
    <m/>
    <n v="40.5"/>
    <n v="72"/>
    <n v="0"/>
  </r>
  <r>
    <s v="INV-01770"/>
    <d v="2026-04-25T00:00:00"/>
    <s v="P013"/>
    <s v="Sale"/>
    <n v="-14"/>
    <n v="-14"/>
    <x v="0"/>
    <s v="DeskWorks"/>
    <s v="China"/>
    <n v="8"/>
    <n v="15"/>
    <m/>
    <n v="112"/>
    <n v="210"/>
    <n v="0"/>
  </r>
  <r>
    <s v="INV-01547"/>
    <d v="2026-04-25T00:00:00"/>
    <s v="P025"/>
    <s v="Purchase"/>
    <n v="89"/>
    <n v="89"/>
    <x v="0"/>
    <s v="PaperMate"/>
    <s v="Germany"/>
    <n v="5.5"/>
    <n v="12"/>
    <s v="PO-48893"/>
    <n v="489.5"/>
    <n v="0"/>
    <n v="489.5"/>
  </r>
  <r>
    <s v="INV-00283"/>
    <d v="2026-04-25T00:00:00"/>
    <s v="P012"/>
    <s v="Sale"/>
    <n v="-9"/>
    <n v="-9"/>
    <x v="0"/>
    <s v="WriteWell"/>
    <s v="France"/>
    <n v="3.4"/>
    <n v="8"/>
    <m/>
    <n v="30.599999999999998"/>
    <n v="72"/>
    <n v="0"/>
  </r>
  <r>
    <s v="INV-00210"/>
    <d v="2026-04-25T00:00:00"/>
    <s v="P005"/>
    <s v="Sale"/>
    <n v="-9"/>
    <n v="-9"/>
    <x v="2"/>
    <s v="VisionTech"/>
    <s v="China"/>
    <n v="18.5"/>
    <n v="31"/>
    <m/>
    <n v="166.5"/>
    <n v="279"/>
    <n v="0"/>
  </r>
  <r>
    <s v="INV-01048"/>
    <d v="2026-04-27T00:00:00"/>
    <s v="P001"/>
    <s v="Purchase"/>
    <n v="99"/>
    <n v="99"/>
    <x v="1"/>
    <s v="TechGear"/>
    <s v="China"/>
    <n v="7.2"/>
    <n v="12.5"/>
    <s v="PO-98919"/>
    <n v="712.80000000000007"/>
    <n v="0"/>
    <n v="712.80000000000007"/>
  </r>
  <r>
    <s v="INV-00066"/>
    <d v="2026-04-27T00:00:00"/>
    <s v="P017"/>
    <s v="Return"/>
    <n v="5"/>
    <n v="5"/>
    <x v="2"/>
    <s v="SoundMax"/>
    <s v="Vietnam"/>
    <n v="34"/>
    <n v="55"/>
    <m/>
    <n v="170"/>
    <n v="0"/>
    <n v="0"/>
  </r>
  <r>
    <s v="INV-00482"/>
    <d v="2026-04-27T00:00:00"/>
    <s v="P022"/>
    <s v="Sale"/>
    <n v="-3"/>
    <n v="-3"/>
    <x v="2"/>
    <s v="HydroLife"/>
    <s v="Germany"/>
    <n v="8.5"/>
    <n v="18"/>
    <m/>
    <n v="25.5"/>
    <n v="54"/>
    <n v="0"/>
  </r>
  <r>
    <s v="INV-01512"/>
    <d v="2026-04-28T00:00:00"/>
    <s v="P023"/>
    <s v="Sale"/>
    <n v="-8"/>
    <n v="-8"/>
    <x v="0"/>
    <s v="DeskWorks"/>
    <s v="China"/>
    <n v="8.8000000000000007"/>
    <n v="17"/>
    <m/>
    <n v="70.400000000000006"/>
    <n v="136"/>
    <n v="0"/>
  </r>
  <r>
    <s v="INV-01044"/>
    <d v="2026-04-28T00:00:00"/>
    <s v="P020"/>
    <s v="Adjustment"/>
    <n v="-5"/>
    <n v="-5"/>
    <x v="0"/>
    <s v="PrintTech"/>
    <s v="Japan"/>
    <n v="30"/>
    <n v="48"/>
    <m/>
    <n v="150"/>
    <n v="0"/>
    <n v="0"/>
  </r>
  <r>
    <s v="INV-00792"/>
    <d v="2026-04-28T00:00:00"/>
    <s v="P018"/>
    <s v="Sale"/>
    <n v="-12"/>
    <n v="-12"/>
    <x v="1"/>
    <s v="DataStore"/>
    <s v="South Korea"/>
    <n v="5.2"/>
    <n v="11"/>
    <m/>
    <n v="62.400000000000006"/>
    <n v="132"/>
    <n v="0"/>
  </r>
  <r>
    <s v="INV-01200"/>
    <d v="2026-04-29T00:00:00"/>
    <s v="P004"/>
    <s v="Sale"/>
    <n v="-4"/>
    <n v="-4"/>
    <x v="1"/>
    <s v="SoundMax"/>
    <s v="Vietnam"/>
    <n v="20"/>
    <n v="35"/>
    <m/>
    <n v="80"/>
    <n v="140"/>
    <n v="0"/>
  </r>
  <r>
    <s v="INV-01037"/>
    <d v="2026-04-29T00:00:00"/>
    <s v="P012"/>
    <s v="Adjustment"/>
    <n v="12"/>
    <n v="12"/>
    <x v="1"/>
    <s v="WriteWell"/>
    <s v="France"/>
    <n v="3.4"/>
    <n v="8"/>
    <m/>
    <n v="40.799999999999997"/>
    <n v="0"/>
    <n v="0"/>
  </r>
  <r>
    <s v="INV-00612"/>
    <d v="2026-04-29T00:00:00"/>
    <s v="P025"/>
    <s v="Purchase"/>
    <n v="26"/>
    <n v="26"/>
    <x v="2"/>
    <s v="PaperMate"/>
    <s v="Germany"/>
    <n v="5.5"/>
    <n v="12"/>
    <s v="PO-86555"/>
    <n v="143"/>
    <n v="0"/>
    <n v="143"/>
  </r>
  <r>
    <s v="INV-00094"/>
    <d v="2026-04-30T00:00:00"/>
    <s v="P018"/>
    <s v="Purchase"/>
    <n v="92"/>
    <n v="92"/>
    <x v="0"/>
    <s v="DataStore"/>
    <s v="South Korea"/>
    <n v="5.2"/>
    <n v="11"/>
    <s v="PO-20844"/>
    <n v="478.40000000000003"/>
    <n v="0"/>
    <n v="478.40000000000003"/>
  </r>
  <r>
    <s v="INV-00432"/>
    <d v="2026-04-30T00:00:00"/>
    <s v="P024"/>
    <s v="Purchase"/>
    <n v="67"/>
    <n v="67"/>
    <x v="2"/>
    <s v="CalcPlus"/>
    <s v="China"/>
    <n v="6"/>
    <n v="14"/>
    <s v="PO-21929"/>
    <n v="402"/>
    <n v="0"/>
    <n v="402"/>
  </r>
  <r>
    <s v="INV-00965"/>
    <d v="2026-05-01T00:00:00"/>
    <s v="P010"/>
    <s v="Purchase"/>
    <n v="48"/>
    <n v="48"/>
    <x v="0"/>
    <s v="ErgoSpace"/>
    <s v="Germany"/>
    <n v="220"/>
    <n v="320"/>
    <s v="PO-65255"/>
    <n v="10560"/>
    <n v="0"/>
    <n v="10560"/>
  </r>
  <r>
    <s v="INV-00628"/>
    <d v="2026-05-01T00:00:00"/>
    <s v="P024"/>
    <s v="Adjustment"/>
    <n v="8"/>
    <n v="8"/>
    <x v="0"/>
    <s v="CalcPlus"/>
    <s v="China"/>
    <n v="6"/>
    <n v="14"/>
    <m/>
    <n v="48"/>
    <n v="0"/>
    <n v="0"/>
  </r>
  <r>
    <s v="INV-00789"/>
    <d v="2026-05-01T00:00:00"/>
    <s v="P016"/>
    <s v="Purchase"/>
    <n v="44"/>
    <n v="44"/>
    <x v="2"/>
    <s v="ConnectX"/>
    <s v="China"/>
    <n v="4.2"/>
    <n v="10"/>
    <s v="PO-79810"/>
    <n v="184.8"/>
    <n v="0"/>
    <n v="184.8"/>
  </r>
  <r>
    <s v="INV-01599"/>
    <d v="2026-05-01T00:00:00"/>
    <s v="P003"/>
    <s v="Purchase"/>
    <n v="61"/>
    <n v="61"/>
    <x v="2"/>
    <s v="ConnectX"/>
    <s v="China"/>
    <n v="16.5"/>
    <n v="28"/>
    <s v="PO-77396"/>
    <n v="1006.5"/>
    <n v="0"/>
    <n v="1006.5"/>
  </r>
  <r>
    <s v="INV-00763"/>
    <d v="2026-05-01T00:00:00"/>
    <s v="P008"/>
    <s v="Purchase"/>
    <n v="43"/>
    <n v="43"/>
    <x v="0"/>
    <s v="BrightHome"/>
    <s v="China"/>
    <n v="13.5"/>
    <n v="24"/>
    <s v="PO-86464"/>
    <n v="580.5"/>
    <n v="0"/>
    <n v="580.5"/>
  </r>
  <r>
    <s v="INV-00920"/>
    <d v="2026-05-01T00:00:00"/>
    <s v="P004"/>
    <s v="Purchase"/>
    <n v="103"/>
    <n v="103"/>
    <x v="0"/>
    <s v="SoundMax"/>
    <s v="Vietnam"/>
    <n v="20"/>
    <n v="35"/>
    <s v="PO-99710"/>
    <n v="2060"/>
    <n v="0"/>
    <n v="2060"/>
  </r>
  <r>
    <s v="INV-00231"/>
    <d v="2026-05-02T00:00:00"/>
    <s v="P025"/>
    <s v="Purchase"/>
    <n v="29"/>
    <n v="29"/>
    <x v="2"/>
    <s v="PaperMate"/>
    <s v="Germany"/>
    <n v="5.5"/>
    <n v="12"/>
    <s v="PO-20686"/>
    <n v="159.5"/>
    <n v="0"/>
    <n v="159.5"/>
  </r>
  <r>
    <s v="INV-00464"/>
    <d v="2026-05-02T00:00:00"/>
    <s v="P018"/>
    <s v="Sale"/>
    <n v="-6"/>
    <n v="-6"/>
    <x v="0"/>
    <s v="DataStore"/>
    <s v="South Korea"/>
    <n v="5.2"/>
    <n v="11"/>
    <m/>
    <n v="31.200000000000003"/>
    <n v="66"/>
    <n v="0"/>
  </r>
  <r>
    <s v="INV-01423"/>
    <d v="2026-05-03T00:00:00"/>
    <s v="P001"/>
    <s v="Purchase"/>
    <n v="65"/>
    <n v="65"/>
    <x v="2"/>
    <s v="TechGear"/>
    <s v="China"/>
    <n v="7.2"/>
    <n v="12.5"/>
    <s v="PO-35651"/>
    <n v="468"/>
    <n v="0"/>
    <n v="468"/>
  </r>
  <r>
    <s v="INV-01214"/>
    <d v="2026-05-03T00:00:00"/>
    <s v="P025"/>
    <s v="Sale"/>
    <n v="-12"/>
    <n v="-12"/>
    <x v="0"/>
    <s v="PaperMate"/>
    <s v="Germany"/>
    <n v="5.5"/>
    <n v="12"/>
    <m/>
    <n v="66"/>
    <n v="144"/>
    <n v="0"/>
  </r>
  <r>
    <s v="INV-01600"/>
    <d v="2026-05-05T00:00:00"/>
    <s v="P028"/>
    <s v="Sale"/>
    <n v="-13"/>
    <n v="-13"/>
    <x v="1"/>
    <s v="PackRight"/>
    <s v="Poland"/>
    <n v="3"/>
    <n v="7"/>
    <m/>
    <n v="39"/>
    <n v="91"/>
    <n v="0"/>
  </r>
  <r>
    <s v="INV-01206"/>
    <d v="2026-05-06T00:00:00"/>
    <s v="P024"/>
    <s v="Sale"/>
    <n v="-3"/>
    <n v="-3"/>
    <x v="1"/>
    <s v="CalcPlus"/>
    <s v="China"/>
    <n v="6"/>
    <n v="14"/>
    <m/>
    <n v="18"/>
    <n v="42"/>
    <n v="0"/>
  </r>
  <r>
    <s v="INV-00924"/>
    <d v="2026-05-07T00:00:00"/>
    <s v="P025"/>
    <s v="Sale"/>
    <n v="-13"/>
    <n v="-13"/>
    <x v="2"/>
    <s v="PaperMate"/>
    <s v="Germany"/>
    <n v="5.5"/>
    <n v="12"/>
    <m/>
    <n v="71.5"/>
    <n v="156"/>
    <n v="0"/>
  </r>
  <r>
    <s v="INV-01030"/>
    <d v="2026-05-07T00:00:00"/>
    <s v="P026"/>
    <s v="Purchase"/>
    <n v="66"/>
    <n v="66"/>
    <x v="0"/>
    <s v="ScanPro"/>
    <s v="China"/>
    <n v="78"/>
    <n v="125"/>
    <s v="PO-32703"/>
    <n v="5148"/>
    <n v="0"/>
    <n v="5148"/>
  </r>
  <r>
    <s v="INV-00073"/>
    <d v="2026-05-07T00:00:00"/>
    <s v="P001"/>
    <s v="Sale"/>
    <n v="-15"/>
    <n v="-15"/>
    <x v="0"/>
    <s v="TechGear"/>
    <s v="China"/>
    <n v="7.2"/>
    <n v="12.5"/>
    <m/>
    <n v="108"/>
    <n v="187.5"/>
    <n v="0"/>
  </r>
  <r>
    <s v="INV-00823"/>
    <d v="2026-05-08T00:00:00"/>
    <s v="P011"/>
    <s v="Sale"/>
    <n v="-2"/>
    <n v="-2"/>
    <x v="0"/>
    <s v="PaperMate"/>
    <s v="Germany"/>
    <n v="2.6"/>
    <n v="5.5"/>
    <m/>
    <n v="5.2"/>
    <n v="11"/>
    <n v="0"/>
  </r>
  <r>
    <s v="INV-00883"/>
    <d v="2026-05-08T00:00:00"/>
    <s v="P001"/>
    <s v="Purchase"/>
    <n v="89"/>
    <n v="89"/>
    <x v="2"/>
    <s v="TechGear"/>
    <s v="China"/>
    <n v="7.2"/>
    <n v="12.5"/>
    <s v="PO-72170"/>
    <n v="640.80000000000007"/>
    <n v="0"/>
    <n v="640.80000000000007"/>
  </r>
  <r>
    <s v="INV-00718"/>
    <d v="2026-05-09T00:00:00"/>
    <s v="P030"/>
    <s v="Sale"/>
    <n v="-10"/>
    <n v="-10"/>
    <x v="2"/>
    <s v="StoreMax"/>
    <s v="Germany"/>
    <n v="11"/>
    <n v="22"/>
    <m/>
    <n v="110"/>
    <n v="220"/>
    <n v="0"/>
  </r>
  <r>
    <s v="INV-00145"/>
    <d v="2026-05-09T00:00:00"/>
    <s v="P010"/>
    <s v="Sale"/>
    <n v="-8"/>
    <n v="-8"/>
    <x v="2"/>
    <s v="ErgoSpace"/>
    <s v="Germany"/>
    <n v="220"/>
    <n v="320"/>
    <m/>
    <n v="1760"/>
    <n v="2560"/>
    <n v="0"/>
  </r>
  <r>
    <s v="INV-00026"/>
    <d v="2026-05-09T00:00:00"/>
    <s v="P025"/>
    <s v="Sale"/>
    <n v="-13"/>
    <n v="-13"/>
    <x v="1"/>
    <s v="PaperMate"/>
    <s v="Germany"/>
    <n v="5.5"/>
    <n v="12"/>
    <m/>
    <n v="71.5"/>
    <n v="156"/>
    <n v="0"/>
  </r>
  <r>
    <s v="INV-01026"/>
    <d v="2026-05-10T00:00:00"/>
    <s v="P016"/>
    <s v="Sale"/>
    <n v="-8"/>
    <n v="-8"/>
    <x v="0"/>
    <s v="ConnectX"/>
    <s v="China"/>
    <n v="4.2"/>
    <n v="10"/>
    <m/>
    <n v="33.6"/>
    <n v="80"/>
    <n v="0"/>
  </r>
  <r>
    <s v="INV-00937"/>
    <d v="2026-05-10T00:00:00"/>
    <s v="P001"/>
    <s v="Adjustment"/>
    <n v="-12"/>
    <n v="-12"/>
    <x v="2"/>
    <s v="TechGear"/>
    <s v="China"/>
    <n v="7.2"/>
    <n v="12.5"/>
    <m/>
    <n v="86.4"/>
    <n v="0"/>
    <n v="0"/>
  </r>
  <r>
    <s v="INV-01105"/>
    <d v="2026-05-10T00:00:00"/>
    <s v="P030"/>
    <s v="Sale"/>
    <n v="-10"/>
    <n v="-10"/>
    <x v="2"/>
    <s v="StoreMax"/>
    <s v="Germany"/>
    <n v="11"/>
    <n v="22"/>
    <m/>
    <n v="110"/>
    <n v="220"/>
    <n v="0"/>
  </r>
  <r>
    <s v="INV-00185"/>
    <d v="2026-05-11T00:00:00"/>
    <s v="P008"/>
    <s v="Purchase"/>
    <n v="71"/>
    <n v="71"/>
    <x v="0"/>
    <s v="BrightHome"/>
    <s v="China"/>
    <n v="13.5"/>
    <n v="24"/>
    <s v="PO-52875"/>
    <n v="958.5"/>
    <n v="0"/>
    <n v="958.5"/>
  </r>
  <r>
    <s v="INV-00460"/>
    <d v="2026-05-11T00:00:00"/>
    <s v="P004"/>
    <s v="Sale"/>
    <n v="-13"/>
    <n v="-13"/>
    <x v="2"/>
    <s v="SoundMax"/>
    <s v="Vietnam"/>
    <n v="20"/>
    <n v="35"/>
    <m/>
    <n v="260"/>
    <n v="455"/>
    <n v="0"/>
  </r>
  <r>
    <s v="INV-01298"/>
    <d v="2026-05-11T00:00:00"/>
    <s v="P003"/>
    <s v="Purchase"/>
    <n v="117"/>
    <n v="117"/>
    <x v="0"/>
    <s v="ConnectX"/>
    <s v="China"/>
    <n v="16.5"/>
    <n v="28"/>
    <s v="PO-59220"/>
    <n v="1930.5"/>
    <n v="0"/>
    <n v="1930.5"/>
  </r>
  <r>
    <s v="INV-01468"/>
    <d v="2026-05-11T00:00:00"/>
    <s v="P013"/>
    <s v="Sale"/>
    <n v="-11"/>
    <n v="-11"/>
    <x v="0"/>
    <s v="DeskWorks"/>
    <s v="China"/>
    <n v="8"/>
    <n v="15"/>
    <m/>
    <n v="88"/>
    <n v="165"/>
    <n v="0"/>
  </r>
  <r>
    <s v="INV-01487"/>
    <d v="2026-05-11T00:00:00"/>
    <s v="P013"/>
    <s v="Sale"/>
    <n v="-9"/>
    <n v="-9"/>
    <x v="0"/>
    <s v="DeskWorks"/>
    <s v="China"/>
    <n v="8"/>
    <n v="15"/>
    <m/>
    <n v="72"/>
    <n v="135"/>
    <n v="0"/>
  </r>
  <r>
    <s v="INV-01271"/>
    <d v="2026-05-12T00:00:00"/>
    <s v="P022"/>
    <s v="Sale"/>
    <n v="-6"/>
    <n v="-6"/>
    <x v="2"/>
    <s v="HydroLife"/>
    <s v="Germany"/>
    <n v="8.5"/>
    <n v="18"/>
    <m/>
    <n v="51"/>
    <n v="108"/>
    <n v="0"/>
  </r>
  <r>
    <s v="INV-00653"/>
    <d v="2026-05-12T00:00:00"/>
    <s v="P018"/>
    <s v="Sale"/>
    <n v="-3"/>
    <n v="-3"/>
    <x v="0"/>
    <s v="DataStore"/>
    <s v="South Korea"/>
    <n v="5.2"/>
    <n v="11"/>
    <m/>
    <n v="15.600000000000001"/>
    <n v="33"/>
    <n v="0"/>
  </r>
  <r>
    <s v="INV-01388"/>
    <d v="2026-05-13T00:00:00"/>
    <s v="P004"/>
    <s v="Sale"/>
    <n v="-11"/>
    <n v="-11"/>
    <x v="0"/>
    <s v="SoundMax"/>
    <s v="Vietnam"/>
    <n v="20"/>
    <n v="35"/>
    <m/>
    <n v="220"/>
    <n v="385"/>
    <n v="0"/>
  </r>
  <r>
    <s v="INV-01384"/>
    <d v="2026-05-13T00:00:00"/>
    <s v="P008"/>
    <s v="Purchase"/>
    <n v="107"/>
    <n v="107"/>
    <x v="0"/>
    <s v="BrightHome"/>
    <s v="China"/>
    <n v="13.5"/>
    <n v="24"/>
    <s v="PO-45361"/>
    <n v="1444.5"/>
    <n v="0"/>
    <n v="1444.5"/>
  </r>
  <r>
    <s v="INV-01064"/>
    <d v="2026-05-13T00:00:00"/>
    <s v="P014"/>
    <s v="Sale"/>
    <n v="-7"/>
    <n v="-7"/>
    <x v="1"/>
    <s v="DataStore"/>
    <s v="South Korea"/>
    <n v="63"/>
    <n v="95"/>
    <m/>
    <n v="441"/>
    <n v="665"/>
    <n v="0"/>
  </r>
  <r>
    <s v="INV-00975"/>
    <d v="2026-05-13T00:00:00"/>
    <s v="P001"/>
    <s v="Sale"/>
    <n v="-12"/>
    <n v="-12"/>
    <x v="1"/>
    <s v="TechGear"/>
    <s v="China"/>
    <n v="7.2"/>
    <n v="12.5"/>
    <m/>
    <n v="86.4"/>
    <n v="150"/>
    <n v="0"/>
  </r>
  <r>
    <s v="INV-00762"/>
    <d v="2026-05-13T00:00:00"/>
    <s v="P011"/>
    <s v="Sale"/>
    <n v="-2"/>
    <n v="-2"/>
    <x v="0"/>
    <s v="PaperMate"/>
    <s v="Germany"/>
    <n v="2.6"/>
    <n v="5.5"/>
    <m/>
    <n v="5.2"/>
    <n v="11"/>
    <n v="0"/>
  </r>
  <r>
    <s v="INV-00147"/>
    <d v="2026-05-13T00:00:00"/>
    <s v="P020"/>
    <s v="Sale"/>
    <n v="-6"/>
    <n v="-6"/>
    <x v="0"/>
    <s v="PrintTech"/>
    <s v="Japan"/>
    <n v="30"/>
    <n v="48"/>
    <m/>
    <n v="180"/>
    <n v="288"/>
    <n v="0"/>
  </r>
  <r>
    <s v="INV-00051"/>
    <d v="2026-05-14T00:00:00"/>
    <s v="P030"/>
    <s v="Purchase"/>
    <n v="43"/>
    <n v="43"/>
    <x v="1"/>
    <s v="StoreMax"/>
    <s v="Germany"/>
    <n v="11"/>
    <n v="22"/>
    <s v="PO-84466"/>
    <n v="473"/>
    <n v="0"/>
    <n v="473"/>
  </r>
  <r>
    <s v="INV-00017"/>
    <d v="2026-05-14T00:00:00"/>
    <s v="P011"/>
    <s v="Purchase"/>
    <n v="97"/>
    <n v="97"/>
    <x v="0"/>
    <s v="PaperMate"/>
    <s v="Germany"/>
    <n v="2.6"/>
    <n v="5.5"/>
    <s v="PO-80382"/>
    <n v="252.20000000000002"/>
    <n v="0"/>
    <n v="252.20000000000002"/>
  </r>
  <r>
    <s v="INV-01660"/>
    <d v="2026-05-15T00:00:00"/>
    <s v="P015"/>
    <s v="Sale"/>
    <n v="-15"/>
    <n v="-15"/>
    <x v="2"/>
    <s v="VoltPro"/>
    <s v="China"/>
    <n v="23"/>
    <n v="38"/>
    <m/>
    <n v="345"/>
    <n v="570"/>
    <n v="0"/>
  </r>
  <r>
    <s v="INV-00099"/>
    <d v="2026-05-16T00:00:00"/>
    <s v="P001"/>
    <s v="Sale"/>
    <n v="-5"/>
    <n v="-5"/>
    <x v="0"/>
    <s v="TechGear"/>
    <s v="China"/>
    <n v="7.2"/>
    <n v="12.5"/>
    <m/>
    <n v="36"/>
    <n v="62.5"/>
    <n v="0"/>
  </r>
  <r>
    <s v="INV-01259"/>
    <d v="2026-05-16T00:00:00"/>
    <s v="P002"/>
    <s v="Purchase"/>
    <n v="90"/>
    <n v="90"/>
    <x v="0"/>
    <s v="KeyPro"/>
    <s v="China"/>
    <n v="25"/>
    <n v="42"/>
    <s v="PO-60949"/>
    <n v="2250"/>
    <n v="0"/>
    <n v="2250"/>
  </r>
  <r>
    <s v="INV-00934"/>
    <d v="2026-05-17T00:00:00"/>
    <s v="P017"/>
    <s v="Adjustment"/>
    <n v="8"/>
    <n v="8"/>
    <x v="0"/>
    <s v="SoundMax"/>
    <s v="Vietnam"/>
    <n v="34"/>
    <n v="55"/>
    <m/>
    <n v="272"/>
    <n v="0"/>
    <n v="0"/>
  </r>
  <r>
    <s v="INV-00979"/>
    <d v="2026-05-17T00:00:00"/>
    <s v="P016"/>
    <s v="Sale"/>
    <n v="-7"/>
    <n v="-7"/>
    <x v="0"/>
    <s v="ConnectX"/>
    <s v="China"/>
    <n v="4.2"/>
    <n v="10"/>
    <m/>
    <n v="29.400000000000002"/>
    <n v="70"/>
    <n v="0"/>
  </r>
  <r>
    <s v="INV-01471"/>
    <d v="2026-05-17T00:00:00"/>
    <s v="P018"/>
    <s v="Purchase"/>
    <n v="76"/>
    <n v="76"/>
    <x v="2"/>
    <s v="DataStore"/>
    <s v="South Korea"/>
    <n v="5.2"/>
    <n v="11"/>
    <s v="PO-23782"/>
    <n v="395.2"/>
    <n v="0"/>
    <n v="395.2"/>
  </r>
  <r>
    <s v="INV-01314"/>
    <d v="2026-05-17T00:00:00"/>
    <s v="P025"/>
    <s v="Purchase"/>
    <n v="31"/>
    <n v="31"/>
    <x v="0"/>
    <s v="PaperMate"/>
    <s v="Germany"/>
    <n v="5.5"/>
    <n v="12"/>
    <s v="PO-55971"/>
    <n v="170.5"/>
    <n v="0"/>
    <n v="170.5"/>
  </r>
  <r>
    <s v="INV-00309"/>
    <d v="2026-05-18T00:00:00"/>
    <s v="P025"/>
    <s v="Purchase"/>
    <n v="72"/>
    <n v="72"/>
    <x v="1"/>
    <s v="PaperMate"/>
    <s v="Germany"/>
    <n v="5.5"/>
    <n v="12"/>
    <s v="PO-97695"/>
    <n v="396"/>
    <n v="0"/>
    <n v="396"/>
  </r>
  <r>
    <s v="INV-01295"/>
    <d v="2026-05-18T00:00:00"/>
    <s v="P025"/>
    <s v="Purchase"/>
    <n v="90"/>
    <n v="90"/>
    <x v="0"/>
    <s v="PaperMate"/>
    <s v="Germany"/>
    <n v="5.5"/>
    <n v="12"/>
    <s v="PO-60345"/>
    <n v="495"/>
    <n v="0"/>
    <n v="495"/>
  </r>
  <r>
    <s v="INV-00556"/>
    <d v="2026-05-18T00:00:00"/>
    <s v="P013"/>
    <s v="Purchase"/>
    <n v="44"/>
    <n v="44"/>
    <x v="1"/>
    <s v="DeskWorks"/>
    <s v="China"/>
    <n v="8"/>
    <n v="15"/>
    <s v="PO-90602"/>
    <n v="352"/>
    <n v="0"/>
    <n v="352"/>
  </r>
  <r>
    <s v="INV-00760"/>
    <d v="2026-05-18T00:00:00"/>
    <s v="P025"/>
    <s v="Sale"/>
    <n v="-10"/>
    <n v="-10"/>
    <x v="0"/>
    <s v="PaperMate"/>
    <s v="Germany"/>
    <n v="5.5"/>
    <n v="12"/>
    <m/>
    <n v="55"/>
    <n v="120"/>
    <n v="0"/>
  </r>
  <r>
    <s v="INV-01504"/>
    <d v="2026-05-19T00:00:00"/>
    <s v="P012"/>
    <s v="Purchase"/>
    <n v="118"/>
    <n v="118"/>
    <x v="2"/>
    <s v="WriteWell"/>
    <s v="France"/>
    <n v="3.4"/>
    <n v="8"/>
    <s v="PO-55702"/>
    <n v="401.2"/>
    <n v="0"/>
    <n v="401.2"/>
  </r>
  <r>
    <s v="INV-00659"/>
    <d v="2026-05-19T00:00:00"/>
    <s v="P021"/>
    <s v="Sale"/>
    <n v="-7"/>
    <n v="-7"/>
    <x v="0"/>
    <s v="TravelPro"/>
    <s v="Vietnam"/>
    <n v="25"/>
    <n v="45"/>
    <m/>
    <n v="175"/>
    <n v="315"/>
    <n v="0"/>
  </r>
  <r>
    <s v="INV-01796"/>
    <d v="2026-05-19T00:00:00"/>
    <s v="P003"/>
    <s v="Sale"/>
    <n v="-9"/>
    <n v="-9"/>
    <x v="0"/>
    <s v="ConnectX"/>
    <s v="China"/>
    <n v="16.5"/>
    <n v="28"/>
    <m/>
    <n v="148.5"/>
    <n v="252"/>
    <n v="0"/>
  </r>
  <r>
    <s v="INV-00992"/>
    <d v="2026-05-20T00:00:00"/>
    <s v="P022"/>
    <s v="Adjustment"/>
    <n v="-8"/>
    <n v="-8"/>
    <x v="2"/>
    <s v="HydroLife"/>
    <s v="Germany"/>
    <n v="8.5"/>
    <n v="18"/>
    <m/>
    <n v="68"/>
    <n v="0"/>
    <n v="0"/>
  </r>
  <r>
    <s v="INV-01013"/>
    <d v="2026-05-21T00:00:00"/>
    <s v="P029"/>
    <s v="Sale"/>
    <n v="-10"/>
    <n v="-10"/>
    <x v="2"/>
    <s v="PackRight"/>
    <s v="Poland"/>
    <n v="4"/>
    <n v="9"/>
    <m/>
    <n v="40"/>
    <n v="90"/>
    <n v="0"/>
  </r>
  <r>
    <s v="INV-01119"/>
    <d v="2026-05-21T00:00:00"/>
    <s v="P009"/>
    <s v="Sale"/>
    <n v="-6"/>
    <n v="-6"/>
    <x v="0"/>
    <s v="ComfortPro"/>
    <s v="Poland"/>
    <n v="105"/>
    <n v="165"/>
    <m/>
    <n v="630"/>
    <n v="990"/>
    <n v="0"/>
  </r>
  <r>
    <s v="INV-01309"/>
    <d v="2026-05-21T00:00:00"/>
    <s v="P012"/>
    <s v="Sale"/>
    <n v="-14"/>
    <n v="-14"/>
    <x v="0"/>
    <s v="WriteWell"/>
    <s v="France"/>
    <n v="3.4"/>
    <n v="8"/>
    <m/>
    <n v="47.6"/>
    <n v="112"/>
    <n v="0"/>
  </r>
  <r>
    <s v="INV-01460"/>
    <d v="2026-05-21T00:00:00"/>
    <s v="P022"/>
    <s v="Return"/>
    <n v="3"/>
    <n v="3"/>
    <x v="2"/>
    <s v="HydroLife"/>
    <s v="Germany"/>
    <n v="8.5"/>
    <n v="18"/>
    <m/>
    <n v="25.5"/>
    <n v="0"/>
    <n v="0"/>
  </r>
  <r>
    <s v="INV-00023"/>
    <d v="2026-05-21T00:00:00"/>
    <s v="P011"/>
    <s v="Sale"/>
    <n v="-1"/>
    <n v="-1"/>
    <x v="2"/>
    <s v="PaperMate"/>
    <s v="Germany"/>
    <n v="2.6"/>
    <n v="5.5"/>
    <m/>
    <n v="2.6"/>
    <n v="5.5"/>
    <n v="0"/>
  </r>
  <r>
    <s v="INV-01327"/>
    <d v="2026-05-21T00:00:00"/>
    <s v="P006"/>
    <s v="Sale"/>
    <n v="-11"/>
    <n v="-11"/>
    <x v="2"/>
    <s v="ViewPlus"/>
    <s v="South Korea"/>
    <n v="130"/>
    <n v="185"/>
    <m/>
    <n v="1430"/>
    <n v="2035"/>
    <n v="0"/>
  </r>
  <r>
    <s v="INV-00584"/>
    <d v="2026-05-22T00:00:00"/>
    <s v="P011"/>
    <s v="Sale"/>
    <n v="-10"/>
    <n v="-10"/>
    <x v="0"/>
    <s v="PaperMate"/>
    <s v="Germany"/>
    <n v="2.6"/>
    <n v="5.5"/>
    <m/>
    <n v="26"/>
    <n v="55"/>
    <n v="0"/>
  </r>
  <r>
    <s v="INV-01391"/>
    <d v="2026-05-22T00:00:00"/>
    <s v="P008"/>
    <s v="Purchase"/>
    <n v="42"/>
    <n v="42"/>
    <x v="2"/>
    <s v="BrightHome"/>
    <s v="China"/>
    <n v="13.5"/>
    <n v="24"/>
    <s v="PO-20315"/>
    <n v="567"/>
    <n v="0"/>
    <n v="567"/>
  </r>
  <r>
    <s v="INV-01382"/>
    <d v="2026-05-23T00:00:00"/>
    <s v="P013"/>
    <s v="Purchase"/>
    <n v="64"/>
    <n v="64"/>
    <x v="1"/>
    <s v="DeskWorks"/>
    <s v="China"/>
    <n v="8"/>
    <n v="15"/>
    <s v="PO-96332"/>
    <n v="512"/>
    <n v="0"/>
    <n v="512"/>
  </r>
  <r>
    <s v="INV-01784"/>
    <d v="2026-05-23T00:00:00"/>
    <s v="P021"/>
    <s v="Sale"/>
    <n v="-15"/>
    <n v="-15"/>
    <x v="2"/>
    <s v="TravelPro"/>
    <s v="Vietnam"/>
    <n v="25"/>
    <n v="45"/>
    <m/>
    <n v="375"/>
    <n v="675"/>
    <n v="0"/>
  </r>
  <r>
    <s v="INV-01478"/>
    <d v="2026-05-23T00:00:00"/>
    <s v="P024"/>
    <s v="Sale"/>
    <n v="-1"/>
    <n v="-1"/>
    <x v="2"/>
    <s v="CalcPlus"/>
    <s v="China"/>
    <n v="6"/>
    <n v="14"/>
    <m/>
    <n v="6"/>
    <n v="14"/>
    <n v="0"/>
  </r>
  <r>
    <s v="INV-00714"/>
    <d v="2026-05-23T00:00:00"/>
    <s v="P013"/>
    <s v="Sale"/>
    <n v="-9"/>
    <n v="-9"/>
    <x v="2"/>
    <s v="DeskWorks"/>
    <s v="China"/>
    <n v="8"/>
    <n v="15"/>
    <m/>
    <n v="72"/>
    <n v="135"/>
    <n v="0"/>
  </r>
  <r>
    <s v="INV-00925"/>
    <d v="2026-05-24T00:00:00"/>
    <s v="P014"/>
    <s v="Sale"/>
    <n v="-6"/>
    <n v="-6"/>
    <x v="1"/>
    <s v="DataStore"/>
    <s v="South Korea"/>
    <n v="63"/>
    <n v="95"/>
    <m/>
    <n v="378"/>
    <n v="570"/>
    <n v="0"/>
  </r>
  <r>
    <s v="INV-00269"/>
    <d v="2026-05-24T00:00:00"/>
    <s v="P012"/>
    <s v="Purchase"/>
    <n v="104"/>
    <n v="104"/>
    <x v="1"/>
    <s v="WriteWell"/>
    <s v="France"/>
    <n v="3.4"/>
    <n v="8"/>
    <s v="PO-99180"/>
    <n v="353.59999999999997"/>
    <n v="0"/>
    <n v="353.59999999999997"/>
  </r>
  <r>
    <s v="INV-00775"/>
    <d v="2026-05-24T00:00:00"/>
    <s v="P025"/>
    <s v="Purchase"/>
    <n v="86"/>
    <n v="86"/>
    <x v="0"/>
    <s v="PaperMate"/>
    <s v="Germany"/>
    <n v="5.5"/>
    <n v="12"/>
    <s v="PO-56156"/>
    <n v="473"/>
    <n v="0"/>
    <n v="473"/>
  </r>
  <r>
    <s v="INV-00655"/>
    <d v="2026-05-24T00:00:00"/>
    <s v="P014"/>
    <s v="Sale"/>
    <n v="-10"/>
    <n v="-10"/>
    <x v="0"/>
    <s v="DataStore"/>
    <s v="South Korea"/>
    <n v="63"/>
    <n v="95"/>
    <m/>
    <n v="630"/>
    <n v="950"/>
    <n v="0"/>
  </r>
  <r>
    <s v="INV-01662"/>
    <d v="2026-05-25T00:00:00"/>
    <s v="P017"/>
    <s v="Purchase"/>
    <n v="74"/>
    <n v="74"/>
    <x v="0"/>
    <s v="SoundMax"/>
    <s v="Vietnam"/>
    <n v="34"/>
    <n v="55"/>
    <s v="PO-88210"/>
    <n v="2516"/>
    <n v="0"/>
    <n v="2516"/>
  </r>
  <r>
    <s v="INV-00510"/>
    <d v="2026-05-25T00:00:00"/>
    <s v="P023"/>
    <s v="Sale"/>
    <n v="-6"/>
    <n v="-6"/>
    <x v="0"/>
    <s v="DeskWorks"/>
    <s v="China"/>
    <n v="8.8000000000000007"/>
    <n v="17"/>
    <m/>
    <n v="52.800000000000004"/>
    <n v="102"/>
    <n v="0"/>
  </r>
  <r>
    <s v="INV-01033"/>
    <d v="2026-05-26T00:00:00"/>
    <s v="P008"/>
    <s v="Purchase"/>
    <n v="30"/>
    <n v="30"/>
    <x v="2"/>
    <s v="BrightHome"/>
    <s v="China"/>
    <n v="13.5"/>
    <n v="24"/>
    <s v="PO-69021"/>
    <n v="405"/>
    <n v="0"/>
    <n v="405"/>
  </r>
  <r>
    <s v="INV-00995"/>
    <d v="2026-05-26T00:00:00"/>
    <s v="P012"/>
    <s v="Sale"/>
    <n v="-10"/>
    <n v="-10"/>
    <x v="0"/>
    <s v="WriteWell"/>
    <s v="France"/>
    <n v="3.4"/>
    <n v="8"/>
    <m/>
    <n v="34"/>
    <n v="80"/>
    <n v="0"/>
  </r>
  <r>
    <s v="INV-01596"/>
    <d v="2026-05-26T00:00:00"/>
    <s v="P018"/>
    <s v="Adjustment"/>
    <n v="-11"/>
    <n v="-11"/>
    <x v="0"/>
    <s v="DataStore"/>
    <s v="South Korea"/>
    <n v="5.2"/>
    <n v="11"/>
    <m/>
    <n v="57.2"/>
    <n v="0"/>
    <n v="0"/>
  </r>
  <r>
    <s v="INV-00716"/>
    <d v="2026-05-26T00:00:00"/>
    <s v="P029"/>
    <s v="Return"/>
    <n v="4"/>
    <n v="4"/>
    <x v="0"/>
    <s v="PackRight"/>
    <s v="Poland"/>
    <n v="4"/>
    <n v="9"/>
    <m/>
    <n v="16"/>
    <n v="0"/>
    <n v="0"/>
  </r>
  <r>
    <s v="INV-00157"/>
    <d v="2026-05-27T00:00:00"/>
    <s v="P022"/>
    <s v="Sale"/>
    <n v="-3"/>
    <n v="-3"/>
    <x v="0"/>
    <s v="HydroLife"/>
    <s v="Germany"/>
    <n v="8.5"/>
    <n v="18"/>
    <m/>
    <n v="25.5"/>
    <n v="54"/>
    <n v="0"/>
  </r>
  <r>
    <s v="INV-00266"/>
    <d v="2026-05-27T00:00:00"/>
    <s v="P024"/>
    <s v="Sale"/>
    <n v="-4"/>
    <n v="-4"/>
    <x v="1"/>
    <s v="CalcPlus"/>
    <s v="China"/>
    <n v="6"/>
    <n v="14"/>
    <m/>
    <n v="24"/>
    <n v="56"/>
    <n v="0"/>
  </r>
  <r>
    <s v="INV-01536"/>
    <d v="2026-05-27T00:00:00"/>
    <s v="P004"/>
    <s v="Sale"/>
    <n v="-1"/>
    <n v="-1"/>
    <x v="2"/>
    <s v="SoundMax"/>
    <s v="Vietnam"/>
    <n v="20"/>
    <n v="35"/>
    <m/>
    <n v="20"/>
    <n v="35"/>
    <n v="0"/>
  </r>
  <r>
    <s v="INV-01365"/>
    <d v="2026-05-28T00:00:00"/>
    <s v="P024"/>
    <s v="Purchase"/>
    <n v="93"/>
    <n v="93"/>
    <x v="2"/>
    <s v="CalcPlus"/>
    <s v="China"/>
    <n v="6"/>
    <n v="14"/>
    <s v="PO-16050"/>
    <n v="558"/>
    <n v="0"/>
    <n v="558"/>
  </r>
  <r>
    <s v="INV-00522"/>
    <d v="2026-05-28T00:00:00"/>
    <s v="P012"/>
    <s v="Sale"/>
    <n v="-1"/>
    <n v="-1"/>
    <x v="0"/>
    <s v="WriteWell"/>
    <s v="France"/>
    <n v="3.4"/>
    <n v="8"/>
    <m/>
    <n v="3.4"/>
    <n v="8"/>
    <n v="0"/>
  </r>
  <r>
    <s v="INV-01100"/>
    <d v="2026-05-29T00:00:00"/>
    <s v="P012"/>
    <s v="Purchase"/>
    <n v="100"/>
    <n v="100"/>
    <x v="0"/>
    <s v="WriteWell"/>
    <s v="France"/>
    <n v="3.4"/>
    <n v="8"/>
    <s v="PO-71748"/>
    <n v="340"/>
    <n v="0"/>
    <n v="340"/>
  </r>
  <r>
    <s v="INV-01106"/>
    <d v="2026-05-29T00:00:00"/>
    <s v="P006"/>
    <s v="Purchase"/>
    <n v="76"/>
    <n v="76"/>
    <x v="2"/>
    <s v="ViewPlus"/>
    <s v="South Korea"/>
    <n v="130"/>
    <n v="185"/>
    <s v="PO-47018"/>
    <n v="9880"/>
    <n v="0"/>
    <n v="9880"/>
  </r>
  <r>
    <s v="INV-00874"/>
    <d v="2026-05-29T00:00:00"/>
    <s v="P013"/>
    <s v="Purchase"/>
    <n v="35"/>
    <n v="35"/>
    <x v="1"/>
    <s v="DeskWorks"/>
    <s v="China"/>
    <n v="8"/>
    <n v="15"/>
    <s v="PO-42442"/>
    <n v="280"/>
    <n v="0"/>
    <n v="280"/>
  </r>
  <r>
    <s v="INV-00248"/>
    <d v="2026-05-29T00:00:00"/>
    <s v="P030"/>
    <s v="Sale"/>
    <n v="-7"/>
    <n v="-7"/>
    <x v="2"/>
    <s v="StoreMax"/>
    <s v="Germany"/>
    <n v="11"/>
    <n v="22"/>
    <m/>
    <n v="77"/>
    <n v="154"/>
    <n v="0"/>
  </r>
  <r>
    <s v="INV-01193"/>
    <d v="2026-05-30T00:00:00"/>
    <s v="P012"/>
    <s v="Sale"/>
    <n v="-7"/>
    <n v="-7"/>
    <x v="1"/>
    <s v="WriteWell"/>
    <s v="France"/>
    <n v="3.4"/>
    <n v="8"/>
    <m/>
    <n v="23.8"/>
    <n v="56"/>
    <n v="0"/>
  </r>
  <r>
    <s v="INV-00772"/>
    <d v="2026-05-30T00:00:00"/>
    <s v="P027"/>
    <s v="Return"/>
    <n v="3"/>
    <n v="3"/>
    <x v="0"/>
    <s v="PrintTech"/>
    <s v="Japan"/>
    <n v="82"/>
    <n v="135"/>
    <m/>
    <n v="246"/>
    <n v="0"/>
    <n v="0"/>
  </r>
  <r>
    <s v="INV-01170"/>
    <d v="2026-05-30T00:00:00"/>
    <s v="P010"/>
    <s v="Sale"/>
    <n v="-6"/>
    <n v="-6"/>
    <x v="2"/>
    <s v="ErgoSpace"/>
    <s v="Germany"/>
    <n v="220"/>
    <n v="320"/>
    <m/>
    <n v="1320"/>
    <n v="1920"/>
    <n v="0"/>
  </r>
  <r>
    <s v="INV-00123"/>
    <d v="2026-05-30T00:00:00"/>
    <s v="P011"/>
    <s v="Sale"/>
    <n v="-8"/>
    <n v="-8"/>
    <x v="1"/>
    <s v="PaperMate"/>
    <s v="Germany"/>
    <n v="2.6"/>
    <n v="5.5"/>
    <m/>
    <n v="20.8"/>
    <n v="44"/>
    <n v="0"/>
  </r>
  <r>
    <s v="INV-00317"/>
    <d v="2026-05-31T00:00:00"/>
    <s v="P013"/>
    <s v="Sale"/>
    <n v="-2"/>
    <n v="-2"/>
    <x v="1"/>
    <s v="DeskWorks"/>
    <s v="China"/>
    <n v="8"/>
    <n v="15"/>
    <m/>
    <n v="16"/>
    <n v="30"/>
    <n v="0"/>
  </r>
  <r>
    <s v="INV-01401"/>
    <d v="2026-05-31T00:00:00"/>
    <s v="P005"/>
    <s v="Sale"/>
    <n v="-4"/>
    <n v="-4"/>
    <x v="0"/>
    <s v="VisionTech"/>
    <s v="China"/>
    <n v="18.5"/>
    <n v="31"/>
    <m/>
    <n v="74"/>
    <n v="124"/>
    <n v="0"/>
  </r>
  <r>
    <s v="INV-00790"/>
    <d v="2026-05-31T00:00:00"/>
    <s v="P029"/>
    <s v="Sale"/>
    <n v="-13"/>
    <n v="-13"/>
    <x v="1"/>
    <s v="PackRight"/>
    <s v="Poland"/>
    <n v="4"/>
    <n v="9"/>
    <m/>
    <n v="52"/>
    <n v="117"/>
    <n v="0"/>
  </r>
  <r>
    <s v="INV-00833"/>
    <d v="2026-06-01T00:00:00"/>
    <s v="P004"/>
    <s v="Purchase"/>
    <n v="97"/>
    <n v="97"/>
    <x v="1"/>
    <s v="SoundMax"/>
    <s v="Vietnam"/>
    <n v="20"/>
    <n v="35"/>
    <s v="PO-61574"/>
    <n v="1940"/>
    <n v="0"/>
    <n v="1940"/>
  </r>
  <r>
    <s v="INV-00631"/>
    <d v="2026-06-01T00:00:00"/>
    <s v="P023"/>
    <s v="Sale"/>
    <n v="-4"/>
    <n v="-4"/>
    <x v="0"/>
    <s v="DeskWorks"/>
    <s v="China"/>
    <n v="8.8000000000000007"/>
    <n v="17"/>
    <m/>
    <n v="35.200000000000003"/>
    <n v="68"/>
    <n v="0"/>
  </r>
  <r>
    <s v="INV-00444"/>
    <d v="2026-06-01T00:00:00"/>
    <s v="P012"/>
    <s v="Adjustment"/>
    <n v="13"/>
    <n v="13"/>
    <x v="2"/>
    <s v="WriteWell"/>
    <s v="France"/>
    <n v="3.4"/>
    <n v="8"/>
    <m/>
    <n v="44.199999999999996"/>
    <n v="0"/>
    <n v="0"/>
  </r>
  <r>
    <s v="INV-01539"/>
    <d v="2026-06-02T00:00:00"/>
    <s v="P006"/>
    <s v="Sale"/>
    <n v="-8"/>
    <n v="-8"/>
    <x v="0"/>
    <s v="ViewPlus"/>
    <s v="South Korea"/>
    <n v="130"/>
    <n v="185"/>
    <m/>
    <n v="1040"/>
    <n v="1480"/>
    <n v="0"/>
  </r>
  <r>
    <s v="INV-00131"/>
    <d v="2026-06-02T00:00:00"/>
    <s v="P014"/>
    <s v="Sale"/>
    <n v="-14"/>
    <n v="-14"/>
    <x v="0"/>
    <s v="DataStore"/>
    <s v="South Korea"/>
    <n v="63"/>
    <n v="95"/>
    <m/>
    <n v="882"/>
    <n v="1330"/>
    <n v="0"/>
  </r>
  <r>
    <s v="INV-00885"/>
    <d v="2026-06-03T00:00:00"/>
    <s v="P025"/>
    <s v="Purchase"/>
    <n v="35"/>
    <n v="35"/>
    <x v="2"/>
    <s v="PaperMate"/>
    <s v="Germany"/>
    <n v="5.5"/>
    <n v="12"/>
    <s v="PO-14923"/>
    <n v="192.5"/>
    <n v="0"/>
    <n v="192.5"/>
  </r>
  <r>
    <s v="INV-00778"/>
    <d v="2026-06-03T00:00:00"/>
    <s v="P023"/>
    <s v="Sale"/>
    <n v="-6"/>
    <n v="-6"/>
    <x v="1"/>
    <s v="DeskWorks"/>
    <s v="China"/>
    <n v="8.8000000000000007"/>
    <n v="17"/>
    <m/>
    <n v="52.800000000000004"/>
    <n v="102"/>
    <n v="0"/>
  </r>
  <r>
    <s v="INV-01155"/>
    <d v="2026-06-04T00:00:00"/>
    <s v="P020"/>
    <s v="Return"/>
    <n v="3"/>
    <n v="3"/>
    <x v="1"/>
    <s v="PrintTech"/>
    <s v="Japan"/>
    <n v="30"/>
    <n v="48"/>
    <m/>
    <n v="90"/>
    <n v="0"/>
    <n v="0"/>
  </r>
  <r>
    <s v="INV-00335"/>
    <d v="2026-06-04T00:00:00"/>
    <s v="P002"/>
    <s v="Sale"/>
    <n v="-9"/>
    <n v="-9"/>
    <x v="0"/>
    <s v="KeyPro"/>
    <s v="China"/>
    <n v="25"/>
    <n v="42"/>
    <m/>
    <n v="225"/>
    <n v="378"/>
    <n v="0"/>
  </r>
  <r>
    <s v="INV-00476"/>
    <d v="2026-06-05T00:00:00"/>
    <s v="P030"/>
    <s v="Sale"/>
    <n v="-3"/>
    <n v="-3"/>
    <x v="1"/>
    <s v="StoreMax"/>
    <s v="Germany"/>
    <n v="11"/>
    <n v="22"/>
    <m/>
    <n v="33"/>
    <n v="66"/>
    <n v="0"/>
  </r>
  <r>
    <s v="INV-00030"/>
    <d v="2026-06-05T00:00:00"/>
    <s v="P002"/>
    <s v="Purchase"/>
    <n v="60"/>
    <n v="60"/>
    <x v="0"/>
    <s v="KeyPro"/>
    <s v="China"/>
    <n v="25"/>
    <n v="42"/>
    <s v="PO-89164"/>
    <n v="1500"/>
    <n v="0"/>
    <n v="1500"/>
  </r>
  <r>
    <s v="INV-01616"/>
    <d v="2026-06-05T00:00:00"/>
    <s v="P022"/>
    <s v="Sale"/>
    <n v="-8"/>
    <n v="-8"/>
    <x v="2"/>
    <s v="HydroLife"/>
    <s v="Germany"/>
    <n v="8.5"/>
    <n v="18"/>
    <m/>
    <n v="68"/>
    <n v="144"/>
    <n v="0"/>
  </r>
  <r>
    <s v="INV-00508"/>
    <d v="2026-06-05T00:00:00"/>
    <s v="P026"/>
    <s v="Sale"/>
    <n v="-10"/>
    <n v="-10"/>
    <x v="1"/>
    <s v="ScanPro"/>
    <s v="China"/>
    <n v="78"/>
    <n v="125"/>
    <m/>
    <n v="780"/>
    <n v="1250"/>
    <n v="0"/>
  </r>
  <r>
    <s v="INV-01261"/>
    <d v="2026-06-05T00:00:00"/>
    <s v="P009"/>
    <s v="Purchase"/>
    <n v="22"/>
    <n v="22"/>
    <x v="1"/>
    <s v="ComfortPro"/>
    <s v="Poland"/>
    <n v="105"/>
    <n v="165"/>
    <s v="PO-68268"/>
    <n v="2310"/>
    <n v="0"/>
    <n v="2310"/>
  </r>
  <r>
    <s v="INV-01531"/>
    <d v="2026-06-05T00:00:00"/>
    <s v="P011"/>
    <s v="Sale"/>
    <n v="-3"/>
    <n v="-3"/>
    <x v="0"/>
    <s v="PaperMate"/>
    <s v="Germany"/>
    <n v="2.6"/>
    <n v="5.5"/>
    <m/>
    <n v="7.8000000000000007"/>
    <n v="16.5"/>
    <n v="0"/>
  </r>
  <r>
    <s v="INV-01704"/>
    <d v="2026-06-06T00:00:00"/>
    <s v="P016"/>
    <s v="Purchase"/>
    <n v="65"/>
    <n v="65"/>
    <x v="2"/>
    <s v="ConnectX"/>
    <s v="China"/>
    <n v="4.2"/>
    <n v="10"/>
    <s v="PO-84387"/>
    <n v="273"/>
    <n v="0"/>
    <n v="273"/>
  </r>
  <r>
    <s v="INV-00501"/>
    <d v="2026-06-06T00:00:00"/>
    <s v="P022"/>
    <s v="Sale"/>
    <n v="-6"/>
    <n v="-6"/>
    <x v="1"/>
    <s v="HydroLife"/>
    <s v="Germany"/>
    <n v="8.5"/>
    <n v="18"/>
    <m/>
    <n v="51"/>
    <n v="108"/>
    <n v="0"/>
  </r>
  <r>
    <s v="INV-00701"/>
    <d v="2026-06-06T00:00:00"/>
    <s v="P017"/>
    <s v="Sale"/>
    <n v="-2"/>
    <n v="-2"/>
    <x v="2"/>
    <s v="SoundMax"/>
    <s v="Vietnam"/>
    <n v="34"/>
    <n v="55"/>
    <m/>
    <n v="68"/>
    <n v="110"/>
    <n v="0"/>
  </r>
  <r>
    <s v="INV-00337"/>
    <d v="2026-06-06T00:00:00"/>
    <s v="P028"/>
    <s v="Purchase"/>
    <n v="104"/>
    <n v="104"/>
    <x v="1"/>
    <s v="PackRight"/>
    <s v="Poland"/>
    <n v="3"/>
    <n v="7"/>
    <s v="PO-40505"/>
    <n v="312"/>
    <n v="0"/>
    <n v="312"/>
  </r>
  <r>
    <s v="INV-00593"/>
    <d v="2026-06-06T00:00:00"/>
    <s v="P006"/>
    <s v="Sale"/>
    <n v="-5"/>
    <n v="-5"/>
    <x v="0"/>
    <s v="ViewPlus"/>
    <s v="South Korea"/>
    <n v="130"/>
    <n v="185"/>
    <m/>
    <n v="650"/>
    <n v="925"/>
    <n v="0"/>
  </r>
  <r>
    <s v="INV-00316"/>
    <d v="2026-06-06T00:00:00"/>
    <s v="P022"/>
    <s v="Purchase"/>
    <n v="78"/>
    <n v="78"/>
    <x v="2"/>
    <s v="HydroLife"/>
    <s v="Germany"/>
    <n v="8.5"/>
    <n v="18"/>
    <s v="PO-38810"/>
    <n v="663"/>
    <n v="0"/>
    <n v="663"/>
  </r>
  <r>
    <s v="INV-00834"/>
    <d v="2026-06-07T00:00:00"/>
    <s v="P006"/>
    <s v="Purchase"/>
    <n v="85"/>
    <n v="85"/>
    <x v="0"/>
    <s v="ViewPlus"/>
    <s v="South Korea"/>
    <n v="130"/>
    <n v="185"/>
    <s v="PO-95548"/>
    <n v="11050"/>
    <n v="0"/>
    <n v="11050"/>
  </r>
  <r>
    <s v="INV-01345"/>
    <d v="2026-06-07T00:00:00"/>
    <s v="P024"/>
    <s v="Purchase"/>
    <n v="115"/>
    <n v="115"/>
    <x v="1"/>
    <s v="CalcPlus"/>
    <s v="China"/>
    <n v="6"/>
    <n v="14"/>
    <s v="PO-72471"/>
    <n v="690"/>
    <n v="0"/>
    <n v="690"/>
  </r>
  <r>
    <s v="INV-00902"/>
    <d v="2026-06-07T00:00:00"/>
    <s v="P001"/>
    <s v="Adjustment"/>
    <n v="20"/>
    <n v="20"/>
    <x v="0"/>
    <s v="TechGear"/>
    <s v="China"/>
    <n v="7.2"/>
    <n v="12.5"/>
    <m/>
    <n v="144"/>
    <n v="0"/>
    <n v="0"/>
  </r>
  <r>
    <s v="INV-01432"/>
    <d v="2026-06-07T00:00:00"/>
    <s v="P017"/>
    <s v="Sale"/>
    <n v="-1"/>
    <n v="-1"/>
    <x v="2"/>
    <s v="SoundMax"/>
    <s v="Vietnam"/>
    <n v="34"/>
    <n v="55"/>
    <m/>
    <n v="34"/>
    <n v="55"/>
    <n v="0"/>
  </r>
  <r>
    <s v="INV-00290"/>
    <d v="2026-06-07T00:00:00"/>
    <s v="P018"/>
    <s v="Sale"/>
    <n v="-11"/>
    <n v="-11"/>
    <x v="0"/>
    <s v="DataStore"/>
    <s v="South Korea"/>
    <n v="5.2"/>
    <n v="11"/>
    <m/>
    <n v="57.2"/>
    <n v="121"/>
    <n v="0"/>
  </r>
  <r>
    <s v="INV-01202"/>
    <d v="2026-06-07T00:00:00"/>
    <s v="P001"/>
    <s v="Sale"/>
    <n v="-5"/>
    <n v="-5"/>
    <x v="0"/>
    <s v="TechGear"/>
    <s v="China"/>
    <n v="7.2"/>
    <n v="12.5"/>
    <m/>
    <n v="36"/>
    <n v="62.5"/>
    <n v="0"/>
  </r>
  <r>
    <s v="INV-00477"/>
    <d v="2026-06-08T00:00:00"/>
    <s v="P002"/>
    <s v="Sale"/>
    <n v="-7"/>
    <n v="-7"/>
    <x v="0"/>
    <s v="KeyPro"/>
    <s v="China"/>
    <n v="25"/>
    <n v="42"/>
    <m/>
    <n v="175"/>
    <n v="294"/>
    <n v="0"/>
  </r>
  <r>
    <s v="INV-00276"/>
    <d v="2026-06-08T00:00:00"/>
    <s v="P016"/>
    <s v="Sale"/>
    <n v="-10"/>
    <n v="-10"/>
    <x v="2"/>
    <s v="ConnectX"/>
    <s v="China"/>
    <n v="4.2"/>
    <n v="10"/>
    <m/>
    <n v="42"/>
    <n v="100"/>
    <n v="0"/>
  </r>
  <r>
    <s v="INV-01442"/>
    <d v="2026-06-08T00:00:00"/>
    <s v="P003"/>
    <s v="Sale"/>
    <n v="-13"/>
    <n v="-13"/>
    <x v="2"/>
    <s v="ConnectX"/>
    <s v="China"/>
    <n v="16.5"/>
    <n v="28"/>
    <m/>
    <n v="214.5"/>
    <n v="364"/>
    <n v="0"/>
  </r>
  <r>
    <s v="INV-01284"/>
    <d v="2026-06-08T00:00:00"/>
    <s v="P001"/>
    <s v="Sale"/>
    <n v="-13"/>
    <n v="-13"/>
    <x v="0"/>
    <s v="TechGear"/>
    <s v="China"/>
    <n v="7.2"/>
    <n v="12.5"/>
    <m/>
    <n v="93.600000000000009"/>
    <n v="162.5"/>
    <n v="0"/>
  </r>
  <r>
    <s v="INV-01229"/>
    <d v="2026-06-08T00:00:00"/>
    <s v="P030"/>
    <s v="Sale"/>
    <n v="-15"/>
    <n v="-15"/>
    <x v="1"/>
    <s v="StoreMax"/>
    <s v="Germany"/>
    <n v="11"/>
    <n v="22"/>
    <m/>
    <n v="165"/>
    <n v="330"/>
    <n v="0"/>
  </r>
  <r>
    <s v="INV-00953"/>
    <d v="2026-06-09T00:00:00"/>
    <s v="P006"/>
    <s v="Purchase"/>
    <n v="84"/>
    <n v="84"/>
    <x v="2"/>
    <s v="ViewPlus"/>
    <s v="South Korea"/>
    <n v="130"/>
    <n v="185"/>
    <s v="PO-77509"/>
    <n v="10920"/>
    <n v="0"/>
    <n v="10920"/>
  </r>
  <r>
    <s v="INV-00409"/>
    <d v="2026-06-09T00:00:00"/>
    <s v="P028"/>
    <s v="Purchase"/>
    <n v="37"/>
    <n v="37"/>
    <x v="1"/>
    <s v="PackRight"/>
    <s v="Poland"/>
    <n v="3"/>
    <n v="7"/>
    <s v="PO-56638"/>
    <n v="111"/>
    <n v="0"/>
    <n v="111"/>
  </r>
  <r>
    <s v="INV-00825"/>
    <d v="2026-06-09T00:00:00"/>
    <s v="P017"/>
    <s v="Sale"/>
    <n v="-3"/>
    <n v="-3"/>
    <x v="2"/>
    <s v="SoundMax"/>
    <s v="Vietnam"/>
    <n v="34"/>
    <n v="55"/>
    <m/>
    <n v="102"/>
    <n v="165"/>
    <n v="0"/>
  </r>
  <r>
    <s v="INV-00345"/>
    <d v="2026-06-10T00:00:00"/>
    <s v="P013"/>
    <s v="Sale"/>
    <n v="-1"/>
    <n v="-1"/>
    <x v="0"/>
    <s v="DeskWorks"/>
    <s v="China"/>
    <n v="8"/>
    <n v="15"/>
    <m/>
    <n v="8"/>
    <n v="15"/>
    <n v="0"/>
  </r>
  <r>
    <s v="INV-00308"/>
    <d v="2026-06-10T00:00:00"/>
    <s v="P011"/>
    <s v="Return"/>
    <n v="2"/>
    <n v="2"/>
    <x v="2"/>
    <s v="PaperMate"/>
    <s v="Germany"/>
    <n v="2.6"/>
    <n v="5.5"/>
    <m/>
    <n v="5.2"/>
    <n v="0"/>
    <n v="0"/>
  </r>
  <r>
    <s v="INV-00143"/>
    <d v="2026-06-11T00:00:00"/>
    <s v="P016"/>
    <s v="Sale"/>
    <n v="-8"/>
    <n v="-8"/>
    <x v="0"/>
    <s v="ConnectX"/>
    <s v="China"/>
    <n v="4.2"/>
    <n v="10"/>
    <m/>
    <n v="33.6"/>
    <n v="80"/>
    <n v="0"/>
  </r>
  <r>
    <s v="INV-01491"/>
    <d v="2026-06-11T00:00:00"/>
    <s v="P008"/>
    <s v="Purchase"/>
    <n v="25"/>
    <n v="25"/>
    <x v="2"/>
    <s v="BrightHome"/>
    <s v="China"/>
    <n v="13.5"/>
    <n v="24"/>
    <s v="PO-91015"/>
    <n v="337.5"/>
    <n v="0"/>
    <n v="337.5"/>
  </r>
  <r>
    <s v="INV-01392"/>
    <d v="2026-06-11T00:00:00"/>
    <s v="P002"/>
    <s v="Return"/>
    <n v="3"/>
    <n v="3"/>
    <x v="0"/>
    <s v="KeyPro"/>
    <s v="China"/>
    <n v="25"/>
    <n v="42"/>
    <m/>
    <n v="75"/>
    <n v="0"/>
    <n v="0"/>
  </r>
  <r>
    <s v="INV-00072"/>
    <d v="2026-06-12T00:00:00"/>
    <s v="P007"/>
    <s v="Purchase"/>
    <n v="101"/>
    <n v="101"/>
    <x v="1"/>
    <s v="DeskWorks"/>
    <s v="China"/>
    <n v="16"/>
    <n v="29"/>
    <s v="PO-38757"/>
    <n v="1616"/>
    <n v="0"/>
    <n v="1616"/>
  </r>
  <r>
    <s v="INV-01791"/>
    <d v="2026-06-12T00:00:00"/>
    <s v="P005"/>
    <s v="Adjustment"/>
    <n v="-15"/>
    <n v="-15"/>
    <x v="0"/>
    <s v="VisionTech"/>
    <s v="China"/>
    <n v="18.5"/>
    <n v="31"/>
    <m/>
    <n v="277.5"/>
    <n v="0"/>
    <n v="0"/>
  </r>
  <r>
    <s v="INV-01227"/>
    <d v="2026-06-12T00:00:00"/>
    <s v="P013"/>
    <s v="Adjustment"/>
    <n v="2"/>
    <n v="2"/>
    <x v="2"/>
    <s v="DeskWorks"/>
    <s v="China"/>
    <n v="8"/>
    <n v="15"/>
    <m/>
    <n v="16"/>
    <n v="0"/>
    <n v="0"/>
  </r>
  <r>
    <s v="INV-01406"/>
    <d v="2026-06-12T00:00:00"/>
    <s v="P016"/>
    <s v="Sale"/>
    <n v="-3"/>
    <n v="-3"/>
    <x v="2"/>
    <s v="ConnectX"/>
    <s v="China"/>
    <n v="4.2"/>
    <n v="10"/>
    <m/>
    <n v="12.600000000000001"/>
    <n v="30"/>
    <n v="0"/>
  </r>
  <r>
    <s v="INV-00565"/>
    <d v="2026-06-12T00:00:00"/>
    <s v="P012"/>
    <s v="Sale"/>
    <n v="-14"/>
    <n v="-14"/>
    <x v="0"/>
    <s v="WriteWell"/>
    <s v="France"/>
    <n v="3.4"/>
    <n v="8"/>
    <m/>
    <n v="47.6"/>
    <n v="112"/>
    <n v="0"/>
  </r>
  <r>
    <s v="INV-00685"/>
    <d v="2026-06-13T00:00:00"/>
    <s v="P029"/>
    <s v="Sale"/>
    <n v="-15"/>
    <n v="-15"/>
    <x v="1"/>
    <s v="PackRight"/>
    <s v="Poland"/>
    <n v="4"/>
    <n v="9"/>
    <m/>
    <n v="60"/>
    <n v="135"/>
    <n v="0"/>
  </r>
  <r>
    <s v="INV-00301"/>
    <d v="2026-06-13T00:00:00"/>
    <s v="P002"/>
    <s v="Return"/>
    <n v="4"/>
    <n v="4"/>
    <x v="0"/>
    <s v="KeyPro"/>
    <s v="China"/>
    <n v="25"/>
    <n v="42"/>
    <m/>
    <n v="100"/>
    <n v="0"/>
    <n v="0"/>
  </r>
  <r>
    <s v="INV-00188"/>
    <d v="2026-06-13T00:00:00"/>
    <s v="P018"/>
    <s v="Sale"/>
    <n v="-9"/>
    <n v="-9"/>
    <x v="0"/>
    <s v="DataStore"/>
    <s v="South Korea"/>
    <n v="5.2"/>
    <n v="11"/>
    <m/>
    <n v="46.800000000000004"/>
    <n v="99"/>
    <n v="0"/>
  </r>
  <r>
    <s v="INV-00668"/>
    <d v="2026-06-13T00:00:00"/>
    <s v="P005"/>
    <s v="Purchase"/>
    <n v="115"/>
    <n v="115"/>
    <x v="0"/>
    <s v="VisionTech"/>
    <s v="China"/>
    <n v="18.5"/>
    <n v="31"/>
    <s v="PO-75883"/>
    <n v="2127.5"/>
    <n v="0"/>
    <n v="2127.5"/>
  </r>
  <r>
    <s v="INV-00784"/>
    <d v="2026-06-13T00:00:00"/>
    <s v="P012"/>
    <s v="Sale"/>
    <n v="-6"/>
    <n v="-6"/>
    <x v="0"/>
    <s v="WriteWell"/>
    <s v="France"/>
    <n v="3.4"/>
    <n v="8"/>
    <m/>
    <n v="20.399999999999999"/>
    <n v="48"/>
    <n v="0"/>
  </r>
  <r>
    <s v="INV-00708"/>
    <d v="2026-06-14T00:00:00"/>
    <s v="P025"/>
    <s v="Sale"/>
    <n v="-4"/>
    <n v="-4"/>
    <x v="0"/>
    <s v="PaperMate"/>
    <s v="Germany"/>
    <n v="5.5"/>
    <n v="12"/>
    <m/>
    <n v="22"/>
    <n v="48"/>
    <n v="0"/>
  </r>
  <r>
    <s v="INV-00632"/>
    <d v="2026-06-14T00:00:00"/>
    <s v="P028"/>
    <s v="Sale"/>
    <n v="-12"/>
    <n v="-12"/>
    <x v="1"/>
    <s v="PackRight"/>
    <s v="Poland"/>
    <n v="3"/>
    <n v="7"/>
    <m/>
    <n v="36"/>
    <n v="84"/>
    <n v="0"/>
  </r>
  <r>
    <s v="INV-00418"/>
    <d v="2026-06-14T00:00:00"/>
    <s v="P011"/>
    <s v="Purchase"/>
    <n v="34"/>
    <n v="34"/>
    <x v="0"/>
    <s v="PaperMate"/>
    <s v="Germany"/>
    <n v="2.6"/>
    <n v="5.5"/>
    <s v="PO-27045"/>
    <n v="88.4"/>
    <n v="0"/>
    <n v="88.4"/>
  </r>
  <r>
    <s v="INV-01424"/>
    <d v="2026-06-14T00:00:00"/>
    <s v="P005"/>
    <s v="Purchase"/>
    <n v="91"/>
    <n v="91"/>
    <x v="0"/>
    <s v="VisionTech"/>
    <s v="China"/>
    <n v="18.5"/>
    <n v="31"/>
    <s v="PO-66974"/>
    <n v="1683.5"/>
    <n v="0"/>
    <n v="1683.5"/>
  </r>
  <r>
    <s v="INV-00392"/>
    <d v="2026-06-14T00:00:00"/>
    <s v="P013"/>
    <s v="Return"/>
    <n v="4"/>
    <n v="4"/>
    <x v="2"/>
    <s v="DeskWorks"/>
    <s v="China"/>
    <n v="8"/>
    <n v="15"/>
    <m/>
    <n v="32"/>
    <n v="0"/>
    <n v="0"/>
  </r>
  <r>
    <s v="INV-00203"/>
    <d v="2026-06-15T00:00:00"/>
    <s v="P005"/>
    <s v="Return"/>
    <n v="4"/>
    <n v="4"/>
    <x v="2"/>
    <s v="VisionTech"/>
    <s v="China"/>
    <n v="18.5"/>
    <n v="31"/>
    <m/>
    <n v="74"/>
    <n v="0"/>
    <n v="0"/>
  </r>
  <r>
    <s v="INV-01427"/>
    <d v="2026-06-15T00:00:00"/>
    <s v="P001"/>
    <s v="Purchase"/>
    <n v="45"/>
    <n v="45"/>
    <x v="0"/>
    <s v="TechGear"/>
    <s v="China"/>
    <n v="7.2"/>
    <n v="12.5"/>
    <s v="PO-48108"/>
    <n v="324"/>
    <n v="0"/>
    <n v="324"/>
  </r>
  <r>
    <s v="INV-01794"/>
    <d v="2026-06-15T00:00:00"/>
    <s v="P022"/>
    <s v="Sale"/>
    <n v="-15"/>
    <n v="-15"/>
    <x v="0"/>
    <s v="HydroLife"/>
    <s v="Germany"/>
    <n v="8.5"/>
    <n v="18"/>
    <m/>
    <n v="127.5"/>
    <n v="270"/>
    <n v="0"/>
  </r>
  <r>
    <s v="INV-01148"/>
    <d v="2026-06-16T00:00:00"/>
    <s v="P021"/>
    <s v="Sale"/>
    <n v="-5"/>
    <n v="-5"/>
    <x v="1"/>
    <s v="TravelPro"/>
    <s v="Vietnam"/>
    <n v="25"/>
    <n v="45"/>
    <m/>
    <n v="125"/>
    <n v="225"/>
    <n v="0"/>
  </r>
  <r>
    <s v="INV-00845"/>
    <d v="2026-06-16T00:00:00"/>
    <s v="P005"/>
    <s v="Purchase"/>
    <n v="97"/>
    <n v="97"/>
    <x v="1"/>
    <s v="VisionTech"/>
    <s v="China"/>
    <n v="18.5"/>
    <n v="31"/>
    <s v="PO-74230"/>
    <n v="1794.5"/>
    <n v="0"/>
    <n v="1794.5"/>
  </r>
  <r>
    <s v="INV-00036"/>
    <d v="2026-06-16T00:00:00"/>
    <s v="P025"/>
    <s v="Sale"/>
    <n v="-13"/>
    <n v="-13"/>
    <x v="0"/>
    <s v="PaperMate"/>
    <s v="Germany"/>
    <n v="5.5"/>
    <n v="12"/>
    <m/>
    <n v="71.5"/>
    <n v="156"/>
    <n v="0"/>
  </r>
  <r>
    <s v="INV-00622"/>
    <d v="2026-06-17T00:00:00"/>
    <s v="P007"/>
    <s v="Purchase"/>
    <n v="36"/>
    <n v="36"/>
    <x v="0"/>
    <s v="DeskWorks"/>
    <s v="China"/>
    <n v="16"/>
    <n v="29"/>
    <s v="PO-34756"/>
    <n v="576"/>
    <n v="0"/>
    <n v="576"/>
  </r>
  <r>
    <s v="INV-01352"/>
    <d v="2026-06-17T00:00:00"/>
    <s v="P018"/>
    <s v="Purchase"/>
    <n v="117"/>
    <n v="117"/>
    <x v="1"/>
    <s v="DataStore"/>
    <s v="South Korea"/>
    <n v="5.2"/>
    <n v="11"/>
    <s v="PO-89834"/>
    <n v="608.4"/>
    <n v="0"/>
    <n v="608.4"/>
  </r>
  <r>
    <s v="INV-00966"/>
    <d v="2026-06-17T00:00:00"/>
    <s v="P012"/>
    <s v="Adjustment"/>
    <n v="16"/>
    <n v="16"/>
    <x v="0"/>
    <s v="WriteWell"/>
    <s v="France"/>
    <n v="3.4"/>
    <n v="8"/>
    <m/>
    <n v="54.4"/>
    <n v="0"/>
    <n v="0"/>
  </r>
  <r>
    <s v="INV-01234"/>
    <d v="2026-06-18T00:00:00"/>
    <s v="P001"/>
    <s v="Purchase"/>
    <n v="76"/>
    <n v="76"/>
    <x v="2"/>
    <s v="TechGear"/>
    <s v="China"/>
    <n v="7.2"/>
    <n v="12.5"/>
    <s v="PO-16487"/>
    <n v="547.20000000000005"/>
    <n v="0"/>
    <n v="547.20000000000005"/>
  </r>
  <r>
    <s v="INV-00813"/>
    <d v="2026-06-18T00:00:00"/>
    <s v="P004"/>
    <s v="Purchase"/>
    <n v="59"/>
    <n v="59"/>
    <x v="0"/>
    <s v="SoundMax"/>
    <s v="Vietnam"/>
    <n v="20"/>
    <n v="35"/>
    <s v="PO-33447"/>
    <n v="1180"/>
    <n v="0"/>
    <n v="1180"/>
  </r>
  <r>
    <s v="INV-01076"/>
    <d v="2026-06-18T00:00:00"/>
    <s v="P014"/>
    <s v="Sale"/>
    <n v="-14"/>
    <n v="-14"/>
    <x v="1"/>
    <s v="DataStore"/>
    <s v="South Korea"/>
    <n v="63"/>
    <n v="95"/>
    <m/>
    <n v="882"/>
    <n v="1330"/>
    <n v="0"/>
  </r>
  <r>
    <s v="INV-00046"/>
    <d v="2026-06-18T00:00:00"/>
    <s v="P022"/>
    <s v="Purchase"/>
    <n v="116"/>
    <n v="116"/>
    <x v="0"/>
    <s v="HydroLife"/>
    <s v="Germany"/>
    <n v="8.5"/>
    <n v="18"/>
    <s v="PO-43038"/>
    <n v="986"/>
    <n v="0"/>
    <n v="986"/>
  </r>
  <r>
    <s v="INV-01088"/>
    <d v="2026-06-18T00:00:00"/>
    <s v="P005"/>
    <s v="Sale"/>
    <n v="-8"/>
    <n v="-8"/>
    <x v="0"/>
    <s v="VisionTech"/>
    <s v="China"/>
    <n v="18.5"/>
    <n v="31"/>
    <m/>
    <n v="148"/>
    <n v="248"/>
    <n v="0"/>
  </r>
  <r>
    <s v="INV-00080"/>
    <d v="2026-06-19T00:00:00"/>
    <s v="P004"/>
    <s v="Sale"/>
    <n v="-14"/>
    <n v="-14"/>
    <x v="2"/>
    <s v="SoundMax"/>
    <s v="Vietnam"/>
    <n v="20"/>
    <n v="35"/>
    <m/>
    <n v="280"/>
    <n v="490"/>
    <n v="0"/>
  </r>
  <r>
    <s v="INV-00295"/>
    <d v="2026-06-19T00:00:00"/>
    <s v="P004"/>
    <s v="Purchase"/>
    <n v="42"/>
    <n v="42"/>
    <x v="0"/>
    <s v="SoundMax"/>
    <s v="Vietnam"/>
    <n v="20"/>
    <n v="35"/>
    <s v="PO-33457"/>
    <n v="840"/>
    <n v="0"/>
    <n v="840"/>
  </r>
  <r>
    <s v="INV-00106"/>
    <d v="2026-06-19T00:00:00"/>
    <s v="P008"/>
    <s v="Purchase"/>
    <n v="28"/>
    <n v="28"/>
    <x v="0"/>
    <s v="BrightHome"/>
    <s v="China"/>
    <n v="13.5"/>
    <n v="24"/>
    <s v="PO-87108"/>
    <n v="378"/>
    <n v="0"/>
    <n v="378"/>
  </r>
  <r>
    <s v="INV-01019"/>
    <d v="2026-06-20T00:00:00"/>
    <s v="P029"/>
    <s v="Purchase"/>
    <n v="62"/>
    <n v="62"/>
    <x v="0"/>
    <s v="PackRight"/>
    <s v="Poland"/>
    <n v="4"/>
    <n v="9"/>
    <s v="PO-19916"/>
    <n v="248"/>
    <n v="0"/>
    <n v="248"/>
  </r>
  <r>
    <s v="INV-01032"/>
    <d v="2026-06-20T00:00:00"/>
    <s v="P019"/>
    <s v="Sale"/>
    <n v="-7"/>
    <n v="-7"/>
    <x v="1"/>
    <s v="PrintTech"/>
    <s v="Japan"/>
    <n v="145"/>
    <n v="210"/>
    <m/>
    <n v="1015"/>
    <n v="1470"/>
    <n v="0"/>
  </r>
  <r>
    <s v="INV-00041"/>
    <d v="2026-06-20T00:00:00"/>
    <s v="P004"/>
    <s v="Sale"/>
    <n v="-4"/>
    <n v="-4"/>
    <x v="0"/>
    <s v="SoundMax"/>
    <s v="Vietnam"/>
    <n v="20"/>
    <n v="35"/>
    <m/>
    <n v="80"/>
    <n v="140"/>
    <n v="0"/>
  </r>
  <r>
    <s v="INV-00788"/>
    <d v="2026-06-20T00:00:00"/>
    <s v="P013"/>
    <s v="Sale"/>
    <n v="-12"/>
    <n v="-12"/>
    <x v="2"/>
    <s v="DeskWorks"/>
    <s v="China"/>
    <n v="8"/>
    <n v="15"/>
    <m/>
    <n v="96"/>
    <n v="180"/>
    <n v="0"/>
  </r>
  <r>
    <s v="INV-01035"/>
    <d v="2026-06-20T00:00:00"/>
    <s v="P002"/>
    <s v="Sale"/>
    <n v="-4"/>
    <n v="-4"/>
    <x v="2"/>
    <s v="KeyPro"/>
    <s v="China"/>
    <n v="25"/>
    <n v="42"/>
    <m/>
    <n v="100"/>
    <n v="168"/>
    <n v="0"/>
  </r>
  <r>
    <s v="INV-00223"/>
    <d v="2026-06-21T00:00:00"/>
    <s v="P003"/>
    <s v="Return"/>
    <n v="2"/>
    <n v="2"/>
    <x v="0"/>
    <s v="ConnectX"/>
    <s v="China"/>
    <n v="16.5"/>
    <n v="28"/>
    <m/>
    <n v="33"/>
    <n v="0"/>
    <n v="0"/>
  </r>
  <r>
    <s v="INV-00160"/>
    <d v="2026-06-21T00:00:00"/>
    <s v="P023"/>
    <s v="Sale"/>
    <n v="-1"/>
    <n v="-1"/>
    <x v="0"/>
    <s v="DeskWorks"/>
    <s v="China"/>
    <n v="8.8000000000000007"/>
    <n v="17"/>
    <m/>
    <n v="8.8000000000000007"/>
    <n v="17"/>
    <n v="0"/>
  </r>
  <r>
    <s v="INV-01172"/>
    <d v="2026-06-21T00:00:00"/>
    <s v="P030"/>
    <s v="Purchase"/>
    <n v="63"/>
    <n v="63"/>
    <x v="2"/>
    <s v="StoreMax"/>
    <s v="Germany"/>
    <n v="11"/>
    <n v="22"/>
    <s v="PO-70204"/>
    <n v="693"/>
    <n v="0"/>
    <n v="693"/>
  </r>
  <r>
    <s v="INV-01360"/>
    <d v="2026-06-21T00:00:00"/>
    <s v="P019"/>
    <s v="Purchase"/>
    <n v="44"/>
    <n v="44"/>
    <x v="1"/>
    <s v="PrintTech"/>
    <s v="Japan"/>
    <n v="145"/>
    <n v="210"/>
    <s v="PO-65828"/>
    <n v="6380"/>
    <n v="0"/>
    <n v="6380"/>
  </r>
  <r>
    <s v="INV-01004"/>
    <d v="2026-06-21T00:00:00"/>
    <s v="P024"/>
    <s v="Adjustment"/>
    <n v="19"/>
    <n v="19"/>
    <x v="1"/>
    <s v="CalcPlus"/>
    <s v="China"/>
    <n v="6"/>
    <n v="14"/>
    <m/>
    <n v="114"/>
    <n v="0"/>
    <n v="0"/>
  </r>
  <r>
    <s v="INV-01058"/>
    <d v="2026-06-22T00:00:00"/>
    <s v="P013"/>
    <s v="Purchase"/>
    <n v="68"/>
    <n v="68"/>
    <x v="0"/>
    <s v="DeskWorks"/>
    <s v="China"/>
    <n v="8"/>
    <n v="15"/>
    <s v="PO-44248"/>
    <n v="544"/>
    <n v="0"/>
    <n v="544"/>
  </r>
  <r>
    <s v="INV-00242"/>
    <d v="2026-06-22T00:00:00"/>
    <s v="P029"/>
    <s v="Sale"/>
    <n v="-9"/>
    <n v="-9"/>
    <x v="0"/>
    <s v="PackRight"/>
    <s v="Poland"/>
    <n v="4"/>
    <n v="9"/>
    <m/>
    <n v="36"/>
    <n v="81"/>
    <n v="0"/>
  </r>
  <r>
    <s v="INV-01228"/>
    <d v="2026-06-22T00:00:00"/>
    <s v="P009"/>
    <s v="Sale"/>
    <n v="-12"/>
    <n v="-12"/>
    <x v="1"/>
    <s v="ComfortPro"/>
    <s v="Poland"/>
    <n v="105"/>
    <n v="165"/>
    <m/>
    <n v="1260"/>
    <n v="1980"/>
    <n v="0"/>
  </r>
  <r>
    <s v="INV-00204"/>
    <d v="2026-06-22T00:00:00"/>
    <s v="P028"/>
    <s v="Purchase"/>
    <n v="91"/>
    <n v="91"/>
    <x v="2"/>
    <s v="PackRight"/>
    <s v="Poland"/>
    <n v="3"/>
    <n v="7"/>
    <s v="PO-93071"/>
    <n v="273"/>
    <n v="0"/>
    <n v="273"/>
  </r>
  <r>
    <s v="INV-01252"/>
    <d v="2026-06-22T00:00:00"/>
    <s v="P016"/>
    <s v="Sale"/>
    <n v="-5"/>
    <n v="-5"/>
    <x v="0"/>
    <s v="ConnectX"/>
    <s v="China"/>
    <n v="4.2"/>
    <n v="10"/>
    <m/>
    <n v="21"/>
    <n v="50"/>
    <n v="0"/>
  </r>
  <r>
    <s v="INV-00076"/>
    <d v="2026-06-22T00:00:00"/>
    <s v="P023"/>
    <s v="Sale"/>
    <n v="-7"/>
    <n v="-7"/>
    <x v="1"/>
    <s v="DeskWorks"/>
    <s v="China"/>
    <n v="8.8000000000000007"/>
    <n v="17"/>
    <m/>
    <n v="61.600000000000009"/>
    <n v="119"/>
    <n v="0"/>
  </r>
  <r>
    <s v="INV-01628"/>
    <d v="2026-06-23T00:00:00"/>
    <s v="P017"/>
    <s v="Sale"/>
    <n v="-9"/>
    <n v="-9"/>
    <x v="0"/>
    <s v="SoundMax"/>
    <s v="Vietnam"/>
    <n v="34"/>
    <n v="55"/>
    <m/>
    <n v="306"/>
    <n v="495"/>
    <n v="0"/>
  </r>
  <r>
    <s v="INV-01349"/>
    <d v="2026-06-23T00:00:00"/>
    <s v="P030"/>
    <s v="Sale"/>
    <n v="-4"/>
    <n v="-4"/>
    <x v="0"/>
    <s v="StoreMax"/>
    <s v="Germany"/>
    <n v="11"/>
    <n v="22"/>
    <m/>
    <n v="44"/>
    <n v="88"/>
    <n v="0"/>
  </r>
  <r>
    <s v="INV-00548"/>
    <d v="2026-06-23T00:00:00"/>
    <s v="P022"/>
    <s v="Sale"/>
    <n v="-15"/>
    <n v="-15"/>
    <x v="2"/>
    <s v="HydroLife"/>
    <s v="Germany"/>
    <n v="8.5"/>
    <n v="18"/>
    <m/>
    <n v="127.5"/>
    <n v="270"/>
    <n v="0"/>
  </r>
  <r>
    <s v="INV-01323"/>
    <d v="2026-06-24T00:00:00"/>
    <s v="P028"/>
    <s v="Purchase"/>
    <n v="62"/>
    <n v="62"/>
    <x v="1"/>
    <s v="PackRight"/>
    <s v="Poland"/>
    <n v="3"/>
    <n v="7"/>
    <s v="PO-27862"/>
    <n v="186"/>
    <n v="0"/>
    <n v="186"/>
  </r>
  <r>
    <s v="INV-01036"/>
    <d v="2026-06-24T00:00:00"/>
    <s v="P022"/>
    <s v="Return"/>
    <n v="1"/>
    <n v="1"/>
    <x v="0"/>
    <s v="HydroLife"/>
    <s v="Germany"/>
    <n v="8.5"/>
    <n v="18"/>
    <m/>
    <n v="8.5"/>
    <n v="0"/>
    <n v="0"/>
  </r>
  <r>
    <s v="INV-00997"/>
    <d v="2026-06-25T00:00:00"/>
    <s v="P029"/>
    <s v="Purchase"/>
    <n v="45"/>
    <n v="45"/>
    <x v="0"/>
    <s v="PackRight"/>
    <s v="Poland"/>
    <n v="4"/>
    <n v="9"/>
    <s v="PO-15914"/>
    <n v="180"/>
    <n v="0"/>
    <n v="180"/>
  </r>
  <r>
    <s v="INV-01494"/>
    <d v="2026-06-25T00:00:00"/>
    <s v="P002"/>
    <s v="Sale"/>
    <n v="-13"/>
    <n v="-13"/>
    <x v="0"/>
    <s v="KeyPro"/>
    <s v="China"/>
    <n v="25"/>
    <n v="42"/>
    <m/>
    <n v="325"/>
    <n v="546"/>
    <n v="0"/>
  </r>
  <r>
    <s v="INV-01307"/>
    <d v="2026-06-25T00:00:00"/>
    <s v="P023"/>
    <s v="Sale"/>
    <n v="-11"/>
    <n v="-11"/>
    <x v="2"/>
    <s v="DeskWorks"/>
    <s v="China"/>
    <n v="8.8000000000000007"/>
    <n v="17"/>
    <m/>
    <n v="96.800000000000011"/>
    <n v="187"/>
    <n v="0"/>
  </r>
  <r>
    <s v="INV-01113"/>
    <d v="2026-06-25T00:00:00"/>
    <s v="P007"/>
    <s v="Sale"/>
    <n v="-12"/>
    <n v="-12"/>
    <x v="2"/>
    <s v="DeskWorks"/>
    <s v="China"/>
    <n v="16"/>
    <n v="29"/>
    <m/>
    <n v="192"/>
    <n v="348"/>
    <n v="0"/>
  </r>
  <r>
    <s v="INV-01409"/>
    <d v="2026-06-25T00:00:00"/>
    <s v="P018"/>
    <s v="Sale"/>
    <n v="-3"/>
    <n v="-3"/>
    <x v="1"/>
    <s v="DataStore"/>
    <s v="South Korea"/>
    <n v="5.2"/>
    <n v="11"/>
    <m/>
    <n v="15.600000000000001"/>
    <n v="33"/>
    <n v="0"/>
  </r>
  <r>
    <s v="INV-01162"/>
    <d v="2026-06-26T00:00:00"/>
    <s v="P004"/>
    <s v="Sale"/>
    <n v="-10"/>
    <n v="-10"/>
    <x v="0"/>
    <s v="SoundMax"/>
    <s v="Vietnam"/>
    <n v="20"/>
    <n v="35"/>
    <m/>
    <n v="200"/>
    <n v="350"/>
    <n v="0"/>
  </r>
  <r>
    <s v="INV-01209"/>
    <d v="2026-06-26T00:00:00"/>
    <s v="P009"/>
    <s v="Sale"/>
    <n v="-12"/>
    <n v="-12"/>
    <x v="2"/>
    <s v="ComfortPro"/>
    <s v="Poland"/>
    <n v="105"/>
    <n v="165"/>
    <m/>
    <n v="1260"/>
    <n v="1980"/>
    <n v="0"/>
  </r>
  <r>
    <s v="INV-00398"/>
    <d v="2026-06-26T00:00:00"/>
    <s v="P014"/>
    <s v="Sale"/>
    <n v="-7"/>
    <n v="-7"/>
    <x v="0"/>
    <s v="DataStore"/>
    <s v="South Korea"/>
    <n v="63"/>
    <n v="95"/>
    <m/>
    <n v="441"/>
    <n v="665"/>
    <n v="0"/>
  </r>
  <r>
    <s v="INV-01462"/>
    <d v="2026-06-27T00:00:00"/>
    <s v="P021"/>
    <s v="Sale"/>
    <n v="-7"/>
    <n v="-7"/>
    <x v="2"/>
    <s v="TravelPro"/>
    <s v="Vietnam"/>
    <n v="25"/>
    <n v="45"/>
    <m/>
    <n v="175"/>
    <n v="315"/>
    <n v="0"/>
  </r>
  <r>
    <s v="INV-00053"/>
    <d v="2026-06-27T00:00:00"/>
    <s v="P029"/>
    <s v="Sale"/>
    <n v="-8"/>
    <n v="-8"/>
    <x v="2"/>
    <s v="PackRight"/>
    <s v="Poland"/>
    <n v="4"/>
    <n v="9"/>
    <m/>
    <n v="32"/>
    <n v="72"/>
    <n v="0"/>
  </r>
  <r>
    <s v="INV-01305"/>
    <d v="2026-06-27T00:00:00"/>
    <s v="P023"/>
    <s v="Purchase"/>
    <n v="20"/>
    <n v="20"/>
    <x v="2"/>
    <s v="DeskWorks"/>
    <s v="China"/>
    <n v="8.8000000000000007"/>
    <n v="17"/>
    <s v="PO-81736"/>
    <n v="176"/>
    <n v="0"/>
    <n v="176"/>
  </r>
  <r>
    <s v="INV-00839"/>
    <d v="2026-06-27T00:00:00"/>
    <s v="P018"/>
    <s v="Adjustment"/>
    <n v="-20"/>
    <n v="-20"/>
    <x v="0"/>
    <s v="DataStore"/>
    <s v="South Korea"/>
    <n v="5.2"/>
    <n v="11"/>
    <m/>
    <n v="104"/>
    <n v="0"/>
    <n v="0"/>
  </r>
  <r>
    <s v="INV-00442"/>
    <d v="2026-06-28T00:00:00"/>
    <s v="P030"/>
    <s v="Purchase"/>
    <n v="118"/>
    <n v="118"/>
    <x v="2"/>
    <s v="StoreMax"/>
    <s v="Germany"/>
    <n v="11"/>
    <n v="22"/>
    <s v="PO-88424"/>
    <n v="1298"/>
    <n v="0"/>
    <n v="1298"/>
  </r>
  <r>
    <s v="INV-00380"/>
    <d v="2026-06-28T00:00:00"/>
    <s v="P010"/>
    <s v="Sale"/>
    <n v="-14"/>
    <n v="-14"/>
    <x v="0"/>
    <s v="ErgoSpace"/>
    <s v="Germany"/>
    <n v="220"/>
    <n v="320"/>
    <m/>
    <n v="3080"/>
    <n v="4480"/>
    <n v="0"/>
  </r>
  <r>
    <s v="INV-00490"/>
    <d v="2026-06-29T00:00:00"/>
    <s v="P028"/>
    <s v="Purchase"/>
    <n v="62"/>
    <n v="62"/>
    <x v="1"/>
    <s v="PackRight"/>
    <s v="Poland"/>
    <n v="3"/>
    <n v="7"/>
    <s v="PO-31143"/>
    <n v="186"/>
    <n v="0"/>
    <n v="186"/>
  </r>
  <r>
    <s v="INV-01753"/>
    <d v="2026-06-29T00:00:00"/>
    <s v="P001"/>
    <s v="Sale"/>
    <n v="-2"/>
    <n v="-2"/>
    <x v="0"/>
    <s v="TechGear"/>
    <s v="China"/>
    <n v="7.2"/>
    <n v="12.5"/>
    <m/>
    <n v="14.4"/>
    <n v="25"/>
    <n v="0"/>
  </r>
  <r>
    <s v="INV-00121"/>
    <d v="2026-06-30T00:00:00"/>
    <s v="P025"/>
    <s v="Sale"/>
    <n v="-9"/>
    <n v="-9"/>
    <x v="0"/>
    <s v="PaperMate"/>
    <s v="Germany"/>
    <n v="5.5"/>
    <n v="12"/>
    <m/>
    <n v="49.5"/>
    <n v="108"/>
    <n v="0"/>
  </r>
  <r>
    <s v="INV-01429"/>
    <d v="2026-06-30T00:00:00"/>
    <s v="P021"/>
    <s v="Purchase"/>
    <n v="104"/>
    <n v="104"/>
    <x v="0"/>
    <s v="TravelPro"/>
    <s v="Vietnam"/>
    <n v="25"/>
    <n v="45"/>
    <s v="PO-85179"/>
    <n v="2600"/>
    <n v="0"/>
    <n v="2600"/>
  </r>
  <r>
    <s v="INV-00585"/>
    <d v="2026-06-30T00:00:00"/>
    <s v="P021"/>
    <s v="Purchase"/>
    <n v="101"/>
    <n v="101"/>
    <x v="0"/>
    <s v="TravelPro"/>
    <s v="Vietnam"/>
    <n v="25"/>
    <n v="45"/>
    <s v="PO-37207"/>
    <n v="2525"/>
    <n v="0"/>
    <n v="2525"/>
  </r>
  <r>
    <s v="INV-00314"/>
    <d v="2026-06-30T00:00:00"/>
    <s v="P029"/>
    <s v="Return"/>
    <n v="5"/>
    <n v="5"/>
    <x v="2"/>
    <s v="PackRight"/>
    <s v="Poland"/>
    <n v="4"/>
    <n v="9"/>
    <m/>
    <n v="20"/>
    <n v="0"/>
    <n v="0"/>
  </r>
  <r>
    <s v="INV-01685"/>
    <d v="2026-06-30T00:00:00"/>
    <s v="P004"/>
    <s v="Sale"/>
    <n v="-1"/>
    <n v="-1"/>
    <x v="0"/>
    <s v="SoundMax"/>
    <s v="Vietnam"/>
    <n v="20"/>
    <n v="35"/>
    <m/>
    <n v="20"/>
    <n v="35"/>
    <n v="0"/>
  </r>
  <r>
    <s v="INV-00417"/>
    <d v="2026-06-30T00:00:00"/>
    <s v="P011"/>
    <s v="Sale"/>
    <n v="-12"/>
    <n v="-12"/>
    <x v="1"/>
    <s v="PaperMate"/>
    <s v="Germany"/>
    <n v="2.6"/>
    <n v="5.5"/>
    <m/>
    <n v="31.200000000000003"/>
    <n v="66"/>
    <n v="0"/>
  </r>
  <r>
    <s v="INV-01530"/>
    <d v="2025-09-17T00:00:00"/>
    <s v="P017"/>
    <s v="Sale"/>
    <n v="-6"/>
    <n v="-6"/>
    <x v="2"/>
    <s v="SoundMax"/>
    <s v="Vietnam"/>
    <n v="34"/>
    <n v="55"/>
    <m/>
    <n v="204"/>
    <n v="330"/>
    <n v="0"/>
  </r>
  <r>
    <s v="INV-01046"/>
    <d v="2026-01-29T00:00:00"/>
    <s v="P020"/>
    <s v="Sale"/>
    <n v="-5"/>
    <n v="-5"/>
    <x v="1"/>
    <s v="PrintTech"/>
    <s v="Japan"/>
    <n v="30"/>
    <n v="48"/>
    <m/>
    <n v="150"/>
    <n v="24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DBE7-0C11-43A3-A1CD-ECF4AF658CE8}" name="PivotTable2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2" firstHeaderRow="1" firstDataRow="1" firstDataCol="1"/>
  <pivotFields count="16">
    <pivotField showAll="0"/>
    <pivotField showAll="0"/>
    <pivotField axis="axisRow"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urrent Stock" fld="15" baseField="0" baseItem="0" numFmtId="165"/>
  </dataFields>
  <formats count="1">
    <format dxfId="3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1F827-D10F-4A1B-9E6E-F33420229FD6}" name="PivotTable7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4:L15" firstHeaderRow="1" firstDataRow="1" firstDataCol="1"/>
  <pivotFields count="16">
    <pivotField showAll="0"/>
    <pivotField axis="axisRow" showAll="0" measureFilter="1" sortType="descending">
      <items count="31">
        <item x="5"/>
        <item x="20"/>
        <item x="25"/>
        <item x="3"/>
        <item x="23"/>
        <item x="7"/>
        <item x="22"/>
        <item x="12"/>
        <item x="13"/>
        <item x="24"/>
        <item x="11"/>
        <item x="15"/>
        <item x="26"/>
        <item x="6"/>
        <item x="1"/>
        <item x="10"/>
        <item x="8"/>
        <item x="27"/>
        <item x="14"/>
        <item x="18"/>
        <item x="28"/>
        <item x="9"/>
        <item x="29"/>
        <item x="19"/>
        <item x="17"/>
        <item x="2"/>
        <item x="21"/>
        <item x="4"/>
        <item x="1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17"/>
    </i>
    <i>
      <x v="14"/>
    </i>
    <i>
      <x v="20"/>
    </i>
    <i>
      <x v="22"/>
    </i>
    <i>
      <x v="9"/>
    </i>
    <i>
      <x v="10"/>
    </i>
    <i>
      <x v="29"/>
    </i>
    <i>
      <x v="3"/>
    </i>
    <i>
      <x v="26"/>
    </i>
    <i>
      <x v="1"/>
    </i>
    <i t="grand">
      <x/>
    </i>
  </rowItems>
  <colItems count="1">
    <i/>
  </colItems>
  <dataFields count="1">
    <dataField name="Sum of Current Stock" fld="15" baseField="0" baseItem="0" numFmtId="165"/>
  </dataFields>
  <formats count="1">
    <format dxfId="31">
      <pivotArea outline="0" collapsedLevelsAreSubtotals="1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1CEBF-3D3A-4A21-9A3E-28E7214BD2B1}" name="PivotTable6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19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</pivotFields>
  <rowFields count="1">
    <field x="13"/>
  </rowFields>
  <rowItems count="2">
    <i>
      <x/>
    </i>
    <i t="grand">
      <x/>
    </i>
  </rowItems>
  <colItems count="1">
    <i/>
  </colItems>
  <dataFields count="1">
    <dataField name="Count of Product ID" fld="0" subtotal="count" baseField="0" baseItem="0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A6DF7-161A-4ED1-BF4A-3A3D59CF6DF8}" name="PivotTable5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7:H22" firstHeaderRow="1" firstDataRow="1" firstDataCol="1"/>
  <pivotFields count="15">
    <pivotField showAll="0"/>
    <pivotField numFmtId="164" showAll="0"/>
    <pivotField showAll="0"/>
    <pivotField showAll="0"/>
    <pivotField showAll="0"/>
    <pivotField dataField="1" showAll="0"/>
    <pivotField axis="axisRow" showAll="0">
      <items count="6">
        <item m="1"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 Movement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3BE43-151B-4675-962B-D091FEE75106}" name="PivotTable4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4:I12" firstHeaderRow="0" firstDataRow="1" firstDataCol="1"/>
  <pivotFields count="16">
    <pivotField showAll="0"/>
    <pivotField showAll="0"/>
    <pivotField axis="axisRow"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urchased" fld="7" baseField="0" baseItem="0"/>
    <dataField name="Sum of Total Sold" fld="8" baseField="0" baseItem="0"/>
  </dataFields>
  <formats count="1">
    <format dxfId="33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1C674-64A7-4601-B3A4-17482607548D}" name="PivotTable3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4:E26" firstHeaderRow="1" firstDataRow="1" firstDataCol="1"/>
  <pivotFields count="16">
    <pivotField showAll="0"/>
    <pivotField showAll="0"/>
    <pivotField showAll="0"/>
    <pivotField axis="axisRow" showAll="0" sortType="ascending">
      <items count="22">
        <item x="7"/>
        <item x="17"/>
        <item x="8"/>
        <item x="2"/>
        <item x="12"/>
        <item x="6"/>
        <item x="9"/>
        <item x="16"/>
        <item x="1"/>
        <item x="19"/>
        <item x="10"/>
        <item x="14"/>
        <item x="18"/>
        <item x="3"/>
        <item x="20"/>
        <item x="0"/>
        <item x="15"/>
        <item x="5"/>
        <item x="4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22">
    <i>
      <x v="20"/>
    </i>
    <i>
      <x v="1"/>
    </i>
    <i>
      <x v="15"/>
    </i>
    <i>
      <x v="10"/>
    </i>
    <i>
      <x v="7"/>
    </i>
    <i>
      <x v="9"/>
    </i>
    <i>
      <x v="18"/>
    </i>
    <i>
      <x/>
    </i>
    <i>
      <x v="14"/>
    </i>
    <i>
      <x v="19"/>
    </i>
    <i>
      <x v="3"/>
    </i>
    <i>
      <x v="5"/>
    </i>
    <i>
      <x v="16"/>
    </i>
    <i>
      <x v="12"/>
    </i>
    <i>
      <x v="4"/>
    </i>
    <i>
      <x v="8"/>
    </i>
    <i>
      <x v="2"/>
    </i>
    <i>
      <x v="6"/>
    </i>
    <i>
      <x v="13"/>
    </i>
    <i>
      <x v="17"/>
    </i>
    <i>
      <x v="11"/>
    </i>
    <i t="grand">
      <x/>
    </i>
  </rowItems>
  <colItems count="1">
    <i/>
  </colItems>
  <dataFields count="1">
    <dataField name="Sum of Inventory Value" fld="11" baseField="0" baseItem="0" numFmtId="166"/>
  </dataFields>
  <formats count="2">
    <format dxfId="35">
      <pivotArea outline="0" collapsedLevelsAreSubtotals="1" fieldPosition="0"/>
    </format>
    <format dxfId="34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0D5FD-F80C-450C-BC1F-5026B6D16915}" name="Table1" displayName="Table1" ref="A1:O1795" totalsRowShown="0" headerRowDxfId="54" headerRowBorderDxfId="53" tableBorderDxfId="52" totalsRowBorderDxfId="51">
  <autoFilter ref="A1:O1795" xr:uid="{00000000-0001-0000-0000-000000000000}"/>
  <tableColumns count="15">
    <tableColumn id="1" xr3:uid="{42DC41C1-1DE4-4CB4-A43E-FF050AE8A4D3}" name="Transaction ID" dataDxfId="50"/>
    <tableColumn id="2" xr3:uid="{CD424C55-52D9-4373-B577-783E8080D2DB}" name="Transaction Date" dataDxfId="49"/>
    <tableColumn id="3" xr3:uid="{A3073CA4-101D-4ADC-9611-712E75396476}" name="Product ID" dataDxfId="48"/>
    <tableColumn id="4" xr3:uid="{EDBC3DD8-AEE4-4432-8D05-D63E6722F672}" name="Transaction Type" dataDxfId="47"/>
    <tableColumn id="5" xr3:uid="{00595675-5F48-4113-AA0B-685C4B187C14}" name="Quantity" dataDxfId="46"/>
    <tableColumn id="6" xr3:uid="{912DFAB2-6641-4A51-8B75-006E3BA4B0ED}" name="Stock Movement" dataDxfId="45">
      <calculatedColumnFormula>E2</calculatedColumnFormula>
    </tableColumn>
    <tableColumn id="7" xr3:uid="{CCACCC01-AA97-4EAB-86BD-AC17E4F1A2B9}" name="Warehouse" dataDxfId="44"/>
    <tableColumn id="8" xr3:uid="{8C67C279-8E48-4CCC-A01B-63DF411F1589}" name="Supplier" dataDxfId="43"/>
    <tableColumn id="9" xr3:uid="{A27C8317-D264-40F0-B79E-A88FE53AA406}" name="Supplier Country" dataDxfId="42"/>
    <tableColumn id="10" xr3:uid="{A8414C1E-77C5-4F92-868C-C58B4334C7F6}" name="Unit Cost" dataDxfId="41"/>
    <tableColumn id="11" xr3:uid="{6696ECDD-6081-4E69-8519-50631827CAED}" name="Unit Price" dataDxfId="40"/>
    <tableColumn id="12" xr3:uid="{60AC9EFC-4AD8-40B2-A6E3-5B4DE35F24F3}" name="Purchase Order" dataDxfId="39"/>
    <tableColumn id="13" xr3:uid="{5F7F9A25-B106-4350-BC54-E482C952ECD9}" name="Inventory Value" dataDxfId="38">
      <calculatedColumnFormula>ABS(E2)*J2</calculatedColumnFormula>
    </tableColumn>
    <tableColumn id="14" xr3:uid="{87DDDDD5-E533-40F5-A931-F85DAC71B4C9}" name="Sale Value" dataDxfId="37">
      <calculatedColumnFormula>IF(Table1[[#This Row],[Transaction Type]]="Sale",ABS(E2)*K2,0)</calculatedColumnFormula>
    </tableColumn>
    <tableColumn id="15" xr3:uid="{F7286EC8-837E-4EB2-9237-36EFE00D5093}" name="Purchase Value" dataDxfId="36">
      <calculatedColumnFormula>IF(Table1[[#This Row],[Transaction Type]]="Purchase",E2*J2,0)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5"/>
  <sheetViews>
    <sheetView topLeftCell="E1" zoomScale="80" zoomScaleNormal="80" workbookViewId="0">
      <selection activeCell="P7" sqref="P7"/>
    </sheetView>
  </sheetViews>
  <sheetFormatPr defaultRowHeight="14.5" x14ac:dyDescent="0.35"/>
  <cols>
    <col min="1" max="1" width="19.08984375" bestFit="1" customWidth="1"/>
    <col min="2" max="2" width="21.26953125" bestFit="1" customWidth="1"/>
    <col min="3" max="3" width="15.81640625" bestFit="1" customWidth="1"/>
    <col min="4" max="4" width="21.453125" bestFit="1" customWidth="1"/>
    <col min="5" max="5" width="14.1796875" bestFit="1" customWidth="1"/>
    <col min="6" max="6" width="21.54296875" bestFit="1" customWidth="1"/>
    <col min="7" max="7" width="17" customWidth="1"/>
    <col min="8" max="8" width="16.1796875" bestFit="1" customWidth="1"/>
    <col min="9" max="9" width="21.26953125" bestFit="1" customWidth="1"/>
    <col min="10" max="10" width="14.54296875" bestFit="1" customWidth="1"/>
    <col min="11" max="11" width="15" bestFit="1" customWidth="1"/>
    <col min="12" max="12" width="20" bestFit="1" customWidth="1"/>
    <col min="13" max="13" width="20.54296875" bestFit="1" customWidth="1"/>
    <col min="14" max="14" width="15.54296875" bestFit="1" customWidth="1"/>
    <col min="15" max="15" width="20" bestFit="1" customWidth="1"/>
  </cols>
  <sheetData>
    <row r="1" spans="1:15" x14ac:dyDescent="0.3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2545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2546</v>
      </c>
      <c r="N1" s="31" t="s">
        <v>2547</v>
      </c>
      <c r="O1" s="32" t="s">
        <v>2548</v>
      </c>
    </row>
    <row r="2" spans="1:15" x14ac:dyDescent="0.35">
      <c r="A2" s="27" t="s">
        <v>11</v>
      </c>
      <c r="B2" s="12">
        <v>45658</v>
      </c>
      <c r="C2" s="11" t="s">
        <v>12</v>
      </c>
      <c r="D2" s="11" t="s">
        <v>13</v>
      </c>
      <c r="E2" s="11">
        <v>-2</v>
      </c>
      <c r="F2" s="11">
        <f>E2</f>
        <v>-2</v>
      </c>
      <c r="G2" s="11" t="s">
        <v>14</v>
      </c>
      <c r="H2" s="11" t="s">
        <v>15</v>
      </c>
      <c r="I2" s="11" t="s">
        <v>16</v>
      </c>
      <c r="J2" s="11">
        <v>13.5</v>
      </c>
      <c r="K2" s="33">
        <v>24</v>
      </c>
      <c r="L2" s="11"/>
      <c r="M2" s="11">
        <f t="shared" ref="M2:M65" si="0">ABS(E2)*J2</f>
        <v>27</v>
      </c>
      <c r="N2" s="11">
        <f>IF(Table1[[#This Row],[Transaction Type]]="Sale",ABS(E2)*K2,0)</f>
        <v>48</v>
      </c>
      <c r="O2" s="29">
        <f>IF(Table1[[#This Row],[Transaction Type]]="Purchase",E2*J2,0)</f>
        <v>0</v>
      </c>
    </row>
    <row r="3" spans="1:15" x14ac:dyDescent="0.35">
      <c r="A3" s="27" t="s">
        <v>17</v>
      </c>
      <c r="B3" s="12">
        <v>45658</v>
      </c>
      <c r="C3" s="11" t="s">
        <v>18</v>
      </c>
      <c r="D3" s="11" t="s">
        <v>13</v>
      </c>
      <c r="E3" s="11">
        <v>-8</v>
      </c>
      <c r="F3" s="11">
        <f t="shared" ref="F3:F66" si="1">E3</f>
        <v>-8</v>
      </c>
      <c r="G3" s="11" t="s">
        <v>19</v>
      </c>
      <c r="H3" s="11" t="s">
        <v>20</v>
      </c>
      <c r="I3" s="11" t="s">
        <v>21</v>
      </c>
      <c r="J3" s="11">
        <v>2.6</v>
      </c>
      <c r="K3" s="11">
        <v>5.5</v>
      </c>
      <c r="L3" s="11"/>
      <c r="M3" s="11">
        <f t="shared" si="0"/>
        <v>20.8</v>
      </c>
      <c r="N3" s="11">
        <f>IF(Table1[[#This Row],[Transaction Type]]="Sale",ABS(E3)*K3,0)</f>
        <v>44</v>
      </c>
      <c r="O3" s="29">
        <f>IF(Table1[[#This Row],[Transaction Type]]="Purchase",E3*J3,0)</f>
        <v>0</v>
      </c>
    </row>
    <row r="4" spans="1:15" x14ac:dyDescent="0.35">
      <c r="A4" s="27" t="s">
        <v>22</v>
      </c>
      <c r="B4" s="12">
        <v>45658</v>
      </c>
      <c r="C4" s="11" t="s">
        <v>23</v>
      </c>
      <c r="D4" s="11" t="s">
        <v>13</v>
      </c>
      <c r="E4" s="11">
        <v>-11</v>
      </c>
      <c r="F4" s="11">
        <f t="shared" si="1"/>
        <v>-11</v>
      </c>
      <c r="G4" s="11" t="s">
        <v>24</v>
      </c>
      <c r="H4" s="11" t="s">
        <v>25</v>
      </c>
      <c r="I4" s="11" t="s">
        <v>26</v>
      </c>
      <c r="J4" s="11">
        <v>3</v>
      </c>
      <c r="K4" s="11">
        <v>7</v>
      </c>
      <c r="L4" s="11"/>
      <c r="M4" s="11">
        <f t="shared" si="0"/>
        <v>33</v>
      </c>
      <c r="N4" s="11">
        <f>IF(Table1[[#This Row],[Transaction Type]]="Sale",ABS(E4)*K4,0)</f>
        <v>77</v>
      </c>
      <c r="O4" s="29">
        <f>IF(Table1[[#This Row],[Transaction Type]]="Purchase",E4*J4,0)</f>
        <v>0</v>
      </c>
    </row>
    <row r="5" spans="1:15" x14ac:dyDescent="0.35">
      <c r="A5" s="27" t="s">
        <v>27</v>
      </c>
      <c r="B5" s="12">
        <v>45659</v>
      </c>
      <c r="C5" s="11" t="s">
        <v>23</v>
      </c>
      <c r="D5" s="11" t="s">
        <v>13</v>
      </c>
      <c r="E5" s="11">
        <v>-12</v>
      </c>
      <c r="F5" s="11">
        <f t="shared" si="1"/>
        <v>-12</v>
      </c>
      <c r="G5" s="11" t="s">
        <v>14</v>
      </c>
      <c r="H5" s="11" t="s">
        <v>25</v>
      </c>
      <c r="I5" s="11" t="s">
        <v>26</v>
      </c>
      <c r="J5" s="11">
        <v>3</v>
      </c>
      <c r="K5" s="11">
        <v>7</v>
      </c>
      <c r="L5" s="11"/>
      <c r="M5" s="11">
        <f t="shared" si="0"/>
        <v>36</v>
      </c>
      <c r="N5" s="11">
        <f>IF(Table1[[#This Row],[Transaction Type]]="Sale",ABS(E5)*K5,0)</f>
        <v>84</v>
      </c>
      <c r="O5" s="29">
        <f>IF(Table1[[#This Row],[Transaction Type]]="Purchase",E5*J5,0)</f>
        <v>0</v>
      </c>
    </row>
    <row r="6" spans="1:15" x14ac:dyDescent="0.35">
      <c r="A6" s="27" t="s">
        <v>28</v>
      </c>
      <c r="B6" s="12">
        <v>45659</v>
      </c>
      <c r="C6" s="11" t="s">
        <v>29</v>
      </c>
      <c r="D6" s="11" t="s">
        <v>13</v>
      </c>
      <c r="E6" s="11">
        <v>-11</v>
      </c>
      <c r="F6" s="11">
        <f t="shared" si="1"/>
        <v>-11</v>
      </c>
      <c r="G6" s="11" t="s">
        <v>24</v>
      </c>
      <c r="H6" s="11" t="s">
        <v>30</v>
      </c>
      <c r="I6" s="11" t="s">
        <v>16</v>
      </c>
      <c r="J6" s="11">
        <v>8.8000000000000007</v>
      </c>
      <c r="K6" s="11">
        <v>17</v>
      </c>
      <c r="L6" s="11"/>
      <c r="M6" s="11">
        <f t="shared" si="0"/>
        <v>96.800000000000011</v>
      </c>
      <c r="N6" s="11">
        <f>IF(Table1[[#This Row],[Transaction Type]]="Sale",ABS(E6)*K6,0)</f>
        <v>187</v>
      </c>
      <c r="O6" s="29">
        <f>IF(Table1[[#This Row],[Transaction Type]]="Purchase",E6*J6,0)</f>
        <v>0</v>
      </c>
    </row>
    <row r="7" spans="1:15" x14ac:dyDescent="0.35">
      <c r="A7" s="27" t="s">
        <v>31</v>
      </c>
      <c r="B7" s="12">
        <v>45659</v>
      </c>
      <c r="C7" s="11" t="s">
        <v>32</v>
      </c>
      <c r="D7" s="11" t="s">
        <v>13</v>
      </c>
      <c r="E7" s="11">
        <v>-14</v>
      </c>
      <c r="F7" s="11">
        <f t="shared" si="1"/>
        <v>-14</v>
      </c>
      <c r="G7" s="11" t="s">
        <v>19</v>
      </c>
      <c r="H7" s="11" t="s">
        <v>33</v>
      </c>
      <c r="I7" s="11" t="s">
        <v>34</v>
      </c>
      <c r="J7" s="11">
        <v>20</v>
      </c>
      <c r="K7" s="11">
        <v>35</v>
      </c>
      <c r="L7" s="11"/>
      <c r="M7" s="11">
        <f t="shared" si="0"/>
        <v>280</v>
      </c>
      <c r="N7" s="11">
        <f>IF(Table1[[#This Row],[Transaction Type]]="Sale",ABS(E7)*K7,0)</f>
        <v>490</v>
      </c>
      <c r="O7" s="29">
        <f>IF(Table1[[#This Row],[Transaction Type]]="Purchase",E7*J7,0)</f>
        <v>0</v>
      </c>
    </row>
    <row r="8" spans="1:15" x14ac:dyDescent="0.35">
      <c r="A8" s="27" t="s">
        <v>35</v>
      </c>
      <c r="B8" s="12">
        <v>45659</v>
      </c>
      <c r="C8" s="11" t="s">
        <v>36</v>
      </c>
      <c r="D8" s="11" t="s">
        <v>13</v>
      </c>
      <c r="E8" s="11">
        <v>-14</v>
      </c>
      <c r="F8" s="11">
        <f t="shared" si="1"/>
        <v>-14</v>
      </c>
      <c r="G8" s="11" t="s">
        <v>24</v>
      </c>
      <c r="H8" s="11" t="s">
        <v>37</v>
      </c>
      <c r="I8" s="11" t="s">
        <v>16</v>
      </c>
      <c r="J8" s="11">
        <v>7.2</v>
      </c>
      <c r="K8" s="11">
        <v>12.5</v>
      </c>
      <c r="L8" s="11"/>
      <c r="M8" s="11">
        <f t="shared" si="0"/>
        <v>100.8</v>
      </c>
      <c r="N8" s="11">
        <f>IF(Table1[[#This Row],[Transaction Type]]="Sale",ABS(E8)*K8,0)</f>
        <v>175</v>
      </c>
      <c r="O8" s="29">
        <f>IF(Table1[[#This Row],[Transaction Type]]="Purchase",E8*J8,0)</f>
        <v>0</v>
      </c>
    </row>
    <row r="9" spans="1:15" x14ac:dyDescent="0.35">
      <c r="A9" s="27" t="s">
        <v>38</v>
      </c>
      <c r="B9" s="12">
        <v>45659</v>
      </c>
      <c r="C9" s="11" t="s">
        <v>23</v>
      </c>
      <c r="D9" s="11" t="s">
        <v>13</v>
      </c>
      <c r="E9" s="11">
        <v>-1</v>
      </c>
      <c r="F9" s="11">
        <f t="shared" si="1"/>
        <v>-1</v>
      </c>
      <c r="G9" s="11" t="s">
        <v>24</v>
      </c>
      <c r="H9" s="11" t="s">
        <v>25</v>
      </c>
      <c r="I9" s="11" t="s">
        <v>26</v>
      </c>
      <c r="J9" s="11">
        <v>3</v>
      </c>
      <c r="K9" s="11">
        <v>7</v>
      </c>
      <c r="L9" s="11"/>
      <c r="M9" s="11">
        <f t="shared" si="0"/>
        <v>3</v>
      </c>
      <c r="N9" s="11">
        <f>IF(Table1[[#This Row],[Transaction Type]]="Sale",ABS(E9)*K9,0)</f>
        <v>7</v>
      </c>
      <c r="O9" s="29">
        <f>IF(Table1[[#This Row],[Transaction Type]]="Purchase",E9*J9,0)</f>
        <v>0</v>
      </c>
    </row>
    <row r="10" spans="1:15" x14ac:dyDescent="0.35">
      <c r="A10" s="27" t="s">
        <v>39</v>
      </c>
      <c r="B10" s="12">
        <v>45660</v>
      </c>
      <c r="C10" s="11" t="s">
        <v>23</v>
      </c>
      <c r="D10" s="11" t="s">
        <v>40</v>
      </c>
      <c r="E10" s="11">
        <v>63</v>
      </c>
      <c r="F10" s="11">
        <f t="shared" si="1"/>
        <v>63</v>
      </c>
      <c r="G10" s="11" t="s">
        <v>14</v>
      </c>
      <c r="H10" s="11" t="s">
        <v>25</v>
      </c>
      <c r="I10" s="11" t="s">
        <v>26</v>
      </c>
      <c r="J10" s="11">
        <v>3</v>
      </c>
      <c r="K10" s="11">
        <v>7</v>
      </c>
      <c r="L10" s="11" t="s">
        <v>41</v>
      </c>
      <c r="M10" s="11">
        <f t="shared" si="0"/>
        <v>189</v>
      </c>
      <c r="N10" s="11">
        <f>IF(Table1[[#This Row],[Transaction Type]]="Sale",ABS(E10)*K10,0)</f>
        <v>0</v>
      </c>
      <c r="O10" s="29">
        <f>IF(Table1[[#This Row],[Transaction Type]]="Purchase",E10*J10,0)</f>
        <v>189</v>
      </c>
    </row>
    <row r="11" spans="1:15" x14ac:dyDescent="0.35">
      <c r="A11" s="27" t="s">
        <v>42</v>
      </c>
      <c r="B11" s="12">
        <v>45661</v>
      </c>
      <c r="C11" s="11" t="s">
        <v>43</v>
      </c>
      <c r="D11" s="11" t="s">
        <v>13</v>
      </c>
      <c r="E11" s="11">
        <v>-15</v>
      </c>
      <c r="F11" s="11">
        <f t="shared" si="1"/>
        <v>-15</v>
      </c>
      <c r="G11" s="11" t="s">
        <v>14</v>
      </c>
      <c r="H11" s="11" t="s">
        <v>44</v>
      </c>
      <c r="I11" s="11" t="s">
        <v>45</v>
      </c>
      <c r="J11" s="11">
        <v>5.2</v>
      </c>
      <c r="K11" s="11">
        <v>11</v>
      </c>
      <c r="L11" s="11"/>
      <c r="M11" s="11">
        <f t="shared" si="0"/>
        <v>78</v>
      </c>
      <c r="N11" s="11">
        <f>IF(Table1[[#This Row],[Transaction Type]]="Sale",ABS(E11)*K11,0)</f>
        <v>165</v>
      </c>
      <c r="O11" s="29">
        <f>IF(Table1[[#This Row],[Transaction Type]]="Purchase",E11*J11,0)</f>
        <v>0</v>
      </c>
    </row>
    <row r="12" spans="1:15" x14ac:dyDescent="0.35">
      <c r="A12" s="27" t="s">
        <v>46</v>
      </c>
      <c r="B12" s="12">
        <v>45661</v>
      </c>
      <c r="C12" s="11" t="s">
        <v>18</v>
      </c>
      <c r="D12" s="11" t="s">
        <v>13</v>
      </c>
      <c r="E12" s="11">
        <v>-2</v>
      </c>
      <c r="F12" s="11">
        <f t="shared" si="1"/>
        <v>-2</v>
      </c>
      <c r="G12" s="11" t="s">
        <v>14</v>
      </c>
      <c r="H12" s="11" t="s">
        <v>20</v>
      </c>
      <c r="I12" s="11" t="s">
        <v>21</v>
      </c>
      <c r="J12" s="11">
        <v>2.6</v>
      </c>
      <c r="K12" s="11">
        <v>5.5</v>
      </c>
      <c r="L12" s="11"/>
      <c r="M12" s="11">
        <f t="shared" si="0"/>
        <v>5.2</v>
      </c>
      <c r="N12" s="11">
        <f>IF(Table1[[#This Row],[Transaction Type]]="Sale",ABS(E12)*K12,0)</f>
        <v>11</v>
      </c>
      <c r="O12" s="29">
        <f>IF(Table1[[#This Row],[Transaction Type]]="Purchase",E12*J12,0)</f>
        <v>0</v>
      </c>
    </row>
    <row r="13" spans="1:15" x14ac:dyDescent="0.35">
      <c r="A13" s="27" t="s">
        <v>47</v>
      </c>
      <c r="B13" s="12">
        <v>45661</v>
      </c>
      <c r="C13" s="11" t="s">
        <v>48</v>
      </c>
      <c r="D13" s="11" t="s">
        <v>40</v>
      </c>
      <c r="E13" s="11">
        <v>35</v>
      </c>
      <c r="F13" s="11">
        <f t="shared" si="1"/>
        <v>35</v>
      </c>
      <c r="G13" s="11" t="s">
        <v>24</v>
      </c>
      <c r="H13" s="11" t="s">
        <v>49</v>
      </c>
      <c r="I13" s="11" t="s">
        <v>21</v>
      </c>
      <c r="J13" s="11">
        <v>8.5</v>
      </c>
      <c r="K13" s="11">
        <v>18</v>
      </c>
      <c r="L13" s="11" t="s">
        <v>50</v>
      </c>
      <c r="M13" s="11">
        <f t="shared" si="0"/>
        <v>297.5</v>
      </c>
      <c r="N13" s="11">
        <f>IF(Table1[[#This Row],[Transaction Type]]="Sale",ABS(E13)*K13,0)</f>
        <v>0</v>
      </c>
      <c r="O13" s="29">
        <f>IF(Table1[[#This Row],[Transaction Type]]="Purchase",E13*J13,0)</f>
        <v>297.5</v>
      </c>
    </row>
    <row r="14" spans="1:15" x14ac:dyDescent="0.35">
      <c r="A14" s="27" t="s">
        <v>51</v>
      </c>
      <c r="B14" s="12">
        <v>45662</v>
      </c>
      <c r="C14" s="11" t="s">
        <v>52</v>
      </c>
      <c r="D14" s="11" t="s">
        <v>13</v>
      </c>
      <c r="E14" s="11">
        <v>-11</v>
      </c>
      <c r="F14" s="11">
        <f t="shared" si="1"/>
        <v>-11</v>
      </c>
      <c r="G14" s="11" t="s">
        <v>14</v>
      </c>
      <c r="H14" s="11" t="s">
        <v>20</v>
      </c>
      <c r="I14" s="11" t="s">
        <v>21</v>
      </c>
      <c r="J14" s="11">
        <v>5.5</v>
      </c>
      <c r="K14" s="11">
        <v>12</v>
      </c>
      <c r="L14" s="11"/>
      <c r="M14" s="11">
        <f t="shared" si="0"/>
        <v>60.5</v>
      </c>
      <c r="N14" s="11">
        <f>IF(Table1[[#This Row],[Transaction Type]]="Sale",ABS(E14)*K14,0)</f>
        <v>132</v>
      </c>
      <c r="O14" s="29">
        <f>IF(Table1[[#This Row],[Transaction Type]]="Purchase",E14*J14,0)</f>
        <v>0</v>
      </c>
    </row>
    <row r="15" spans="1:15" x14ac:dyDescent="0.35">
      <c r="A15" s="27" t="s">
        <v>53</v>
      </c>
      <c r="B15" s="12">
        <v>45663</v>
      </c>
      <c r="C15" s="11" t="s">
        <v>18</v>
      </c>
      <c r="D15" s="11" t="s">
        <v>13</v>
      </c>
      <c r="E15" s="11">
        <v>-3</v>
      </c>
      <c r="F15" s="11">
        <f t="shared" si="1"/>
        <v>-3</v>
      </c>
      <c r="G15" s="11" t="s">
        <v>19</v>
      </c>
      <c r="H15" s="11" t="s">
        <v>20</v>
      </c>
      <c r="I15" s="11" t="s">
        <v>21</v>
      </c>
      <c r="J15" s="11">
        <v>2.6</v>
      </c>
      <c r="K15" s="11">
        <v>5.5</v>
      </c>
      <c r="L15" s="11"/>
      <c r="M15" s="11">
        <f t="shared" si="0"/>
        <v>7.8000000000000007</v>
      </c>
      <c r="N15" s="11">
        <f>IF(Table1[[#This Row],[Transaction Type]]="Sale",ABS(E15)*K15,0)</f>
        <v>16.5</v>
      </c>
      <c r="O15" s="29">
        <f>IF(Table1[[#This Row],[Transaction Type]]="Purchase",E15*J15,0)</f>
        <v>0</v>
      </c>
    </row>
    <row r="16" spans="1:15" x14ac:dyDescent="0.35">
      <c r="A16" s="27" t="s">
        <v>54</v>
      </c>
      <c r="B16" s="12">
        <v>45663</v>
      </c>
      <c r="C16" s="11" t="s">
        <v>55</v>
      </c>
      <c r="D16" s="11" t="s">
        <v>13</v>
      </c>
      <c r="E16" s="11">
        <v>-7</v>
      </c>
      <c r="F16" s="11">
        <f t="shared" si="1"/>
        <v>-7</v>
      </c>
      <c r="G16" s="11" t="s">
        <v>14</v>
      </c>
      <c r="H16" s="11" t="s">
        <v>56</v>
      </c>
      <c r="I16" s="11" t="s">
        <v>16</v>
      </c>
      <c r="J16" s="11">
        <v>4.2</v>
      </c>
      <c r="K16" s="11">
        <v>10</v>
      </c>
      <c r="L16" s="11"/>
      <c r="M16" s="11">
        <f t="shared" si="0"/>
        <v>29.400000000000002</v>
      </c>
      <c r="N16" s="11">
        <f>IF(Table1[[#This Row],[Transaction Type]]="Sale",ABS(E16)*K16,0)</f>
        <v>70</v>
      </c>
      <c r="O16" s="29">
        <f>IF(Table1[[#This Row],[Transaction Type]]="Purchase",E16*J16,0)</f>
        <v>0</v>
      </c>
    </row>
    <row r="17" spans="1:15" x14ac:dyDescent="0.35">
      <c r="A17" s="27" t="s">
        <v>57</v>
      </c>
      <c r="B17" s="12">
        <v>45664</v>
      </c>
      <c r="C17" s="11" t="s">
        <v>29</v>
      </c>
      <c r="D17" s="11" t="s">
        <v>58</v>
      </c>
      <c r="E17" s="11">
        <v>-11</v>
      </c>
      <c r="F17" s="11">
        <f t="shared" si="1"/>
        <v>-11</v>
      </c>
      <c r="G17" s="11" t="s">
        <v>14</v>
      </c>
      <c r="H17" s="11" t="s">
        <v>30</v>
      </c>
      <c r="I17" s="11" t="s">
        <v>16</v>
      </c>
      <c r="J17" s="11">
        <v>8.8000000000000007</v>
      </c>
      <c r="K17" s="11">
        <v>17</v>
      </c>
      <c r="L17" s="11"/>
      <c r="M17" s="11">
        <f t="shared" si="0"/>
        <v>96.800000000000011</v>
      </c>
      <c r="N17" s="11">
        <f>IF(Table1[[#This Row],[Transaction Type]]="Sale",ABS(E17)*K17,0)</f>
        <v>0</v>
      </c>
      <c r="O17" s="29">
        <f>IF(Table1[[#This Row],[Transaction Type]]="Purchase",E17*J17,0)</f>
        <v>0</v>
      </c>
    </row>
    <row r="18" spans="1:15" x14ac:dyDescent="0.35">
      <c r="A18" s="27" t="s">
        <v>59</v>
      </c>
      <c r="B18" s="12">
        <v>45664</v>
      </c>
      <c r="C18" s="11" t="s">
        <v>60</v>
      </c>
      <c r="D18" s="11" t="s">
        <v>40</v>
      </c>
      <c r="E18" s="11">
        <v>56</v>
      </c>
      <c r="F18" s="11">
        <f t="shared" si="1"/>
        <v>56</v>
      </c>
      <c r="G18" s="11" t="s">
        <v>14</v>
      </c>
      <c r="H18" s="11" t="s">
        <v>61</v>
      </c>
      <c r="I18" s="11" t="s">
        <v>62</v>
      </c>
      <c r="J18" s="11">
        <v>3.4</v>
      </c>
      <c r="K18" s="11">
        <v>8</v>
      </c>
      <c r="L18" s="11" t="s">
        <v>63</v>
      </c>
      <c r="M18" s="11">
        <f t="shared" si="0"/>
        <v>190.4</v>
      </c>
      <c r="N18" s="11">
        <f>IF(Table1[[#This Row],[Transaction Type]]="Sale",ABS(E18)*K18,0)</f>
        <v>0</v>
      </c>
      <c r="O18" s="29">
        <f>IF(Table1[[#This Row],[Transaction Type]]="Purchase",E18*J18,0)</f>
        <v>190.4</v>
      </c>
    </row>
    <row r="19" spans="1:15" x14ac:dyDescent="0.35">
      <c r="A19" s="27" t="s">
        <v>64</v>
      </c>
      <c r="B19" s="12">
        <v>45664</v>
      </c>
      <c r="C19" s="11" t="s">
        <v>65</v>
      </c>
      <c r="D19" s="11" t="s">
        <v>66</v>
      </c>
      <c r="E19" s="11">
        <v>1</v>
      </c>
      <c r="F19" s="11">
        <f t="shared" si="1"/>
        <v>1</v>
      </c>
      <c r="G19" s="11" t="s">
        <v>14</v>
      </c>
      <c r="H19" s="11" t="s">
        <v>67</v>
      </c>
      <c r="I19" s="11" t="s">
        <v>21</v>
      </c>
      <c r="J19" s="11">
        <v>11</v>
      </c>
      <c r="K19" s="11">
        <v>22</v>
      </c>
      <c r="L19" s="11"/>
      <c r="M19" s="11">
        <f t="shared" si="0"/>
        <v>11</v>
      </c>
      <c r="N19" s="11">
        <f>IF(Table1[[#This Row],[Transaction Type]]="Sale",ABS(E19)*K19,0)</f>
        <v>0</v>
      </c>
      <c r="O19" s="29">
        <f>IF(Table1[[#This Row],[Transaction Type]]="Purchase",E19*J19,0)</f>
        <v>0</v>
      </c>
    </row>
    <row r="20" spans="1:15" x14ac:dyDescent="0.35">
      <c r="A20" s="27" t="s">
        <v>68</v>
      </c>
      <c r="B20" s="12">
        <v>45664</v>
      </c>
      <c r="C20" s="11" t="s">
        <v>69</v>
      </c>
      <c r="D20" s="11" t="s">
        <v>13</v>
      </c>
      <c r="E20" s="11">
        <v>-2</v>
      </c>
      <c r="F20" s="11">
        <f t="shared" si="1"/>
        <v>-2</v>
      </c>
      <c r="G20" s="11" t="s">
        <v>24</v>
      </c>
      <c r="H20" s="11" t="s">
        <v>70</v>
      </c>
      <c r="I20" s="11" t="s">
        <v>16</v>
      </c>
      <c r="J20" s="11">
        <v>23</v>
      </c>
      <c r="K20" s="11">
        <v>38</v>
      </c>
      <c r="L20" s="11"/>
      <c r="M20" s="11">
        <f t="shared" si="0"/>
        <v>46</v>
      </c>
      <c r="N20" s="11">
        <f>IF(Table1[[#This Row],[Transaction Type]]="Sale",ABS(E20)*K20,0)</f>
        <v>76</v>
      </c>
      <c r="O20" s="29">
        <f>IF(Table1[[#This Row],[Transaction Type]]="Purchase",E20*J20,0)</f>
        <v>0</v>
      </c>
    </row>
    <row r="21" spans="1:15" x14ac:dyDescent="0.35">
      <c r="A21" s="27" t="s">
        <v>71</v>
      </c>
      <c r="B21" s="12">
        <v>45664</v>
      </c>
      <c r="C21" s="11" t="s">
        <v>60</v>
      </c>
      <c r="D21" s="11" t="s">
        <v>13</v>
      </c>
      <c r="E21" s="11">
        <v>-11</v>
      </c>
      <c r="F21" s="11">
        <f t="shared" si="1"/>
        <v>-11</v>
      </c>
      <c r="G21" s="11" t="s">
        <v>19</v>
      </c>
      <c r="H21" s="11" t="s">
        <v>61</v>
      </c>
      <c r="I21" s="11" t="s">
        <v>62</v>
      </c>
      <c r="J21" s="11">
        <v>3.4</v>
      </c>
      <c r="K21" s="11">
        <v>8</v>
      </c>
      <c r="L21" s="11"/>
      <c r="M21" s="11">
        <f t="shared" si="0"/>
        <v>37.4</v>
      </c>
      <c r="N21" s="11">
        <f>IF(Table1[[#This Row],[Transaction Type]]="Sale",ABS(E21)*K21,0)</f>
        <v>88</v>
      </c>
      <c r="O21" s="29">
        <f>IF(Table1[[#This Row],[Transaction Type]]="Purchase",E21*J21,0)</f>
        <v>0</v>
      </c>
    </row>
    <row r="22" spans="1:15" x14ac:dyDescent="0.35">
      <c r="A22" s="27" t="s">
        <v>72</v>
      </c>
      <c r="B22" s="12">
        <v>45664</v>
      </c>
      <c r="C22" s="11" t="s">
        <v>73</v>
      </c>
      <c r="D22" s="11" t="s">
        <v>13</v>
      </c>
      <c r="E22" s="11">
        <v>-15</v>
      </c>
      <c r="F22" s="11">
        <f t="shared" si="1"/>
        <v>-15</v>
      </c>
      <c r="G22" s="11" t="s">
        <v>24</v>
      </c>
      <c r="H22" s="11" t="s">
        <v>74</v>
      </c>
      <c r="I22" s="11" t="s">
        <v>75</v>
      </c>
      <c r="J22" s="11">
        <v>30</v>
      </c>
      <c r="K22" s="11">
        <v>48</v>
      </c>
      <c r="L22" s="11"/>
      <c r="M22" s="11">
        <f t="shared" si="0"/>
        <v>450</v>
      </c>
      <c r="N22" s="11">
        <f>IF(Table1[[#This Row],[Transaction Type]]="Sale",ABS(E22)*K22,0)</f>
        <v>720</v>
      </c>
      <c r="O22" s="29">
        <f>IF(Table1[[#This Row],[Transaction Type]]="Purchase",E22*J22,0)</f>
        <v>0</v>
      </c>
    </row>
    <row r="23" spans="1:15" x14ac:dyDescent="0.35">
      <c r="A23" s="27" t="s">
        <v>76</v>
      </c>
      <c r="B23" s="12">
        <v>45665</v>
      </c>
      <c r="C23" s="11" t="s">
        <v>77</v>
      </c>
      <c r="D23" s="11" t="s">
        <v>58</v>
      </c>
      <c r="E23" s="11">
        <v>-8</v>
      </c>
      <c r="F23" s="11">
        <f t="shared" si="1"/>
        <v>-8</v>
      </c>
      <c r="G23" s="11" t="s">
        <v>14</v>
      </c>
      <c r="H23" s="11" t="s">
        <v>78</v>
      </c>
      <c r="I23" s="11" t="s">
        <v>16</v>
      </c>
      <c r="J23" s="11">
        <v>25</v>
      </c>
      <c r="K23" s="11">
        <v>42</v>
      </c>
      <c r="L23" s="11"/>
      <c r="M23" s="11">
        <f t="shared" si="0"/>
        <v>200</v>
      </c>
      <c r="N23" s="11">
        <f>IF(Table1[[#This Row],[Transaction Type]]="Sale",ABS(E23)*K23,0)</f>
        <v>0</v>
      </c>
      <c r="O23" s="29">
        <f>IF(Table1[[#This Row],[Transaction Type]]="Purchase",E23*J23,0)</f>
        <v>0</v>
      </c>
    </row>
    <row r="24" spans="1:15" x14ac:dyDescent="0.35">
      <c r="A24" s="27" t="s">
        <v>79</v>
      </c>
      <c r="B24" s="12">
        <v>45665</v>
      </c>
      <c r="C24" s="11" t="s">
        <v>55</v>
      </c>
      <c r="D24" s="11" t="s">
        <v>13</v>
      </c>
      <c r="E24" s="11">
        <v>-15</v>
      </c>
      <c r="F24" s="11">
        <f t="shared" si="1"/>
        <v>-15</v>
      </c>
      <c r="G24" s="11" t="s">
        <v>24</v>
      </c>
      <c r="H24" s="11" t="s">
        <v>56</v>
      </c>
      <c r="I24" s="11" t="s">
        <v>16</v>
      </c>
      <c r="J24" s="11">
        <v>4.2</v>
      </c>
      <c r="K24" s="11">
        <v>10</v>
      </c>
      <c r="L24" s="11"/>
      <c r="M24" s="11">
        <f t="shared" si="0"/>
        <v>63</v>
      </c>
      <c r="N24" s="11">
        <f>IF(Table1[[#This Row],[Transaction Type]]="Sale",ABS(E24)*K24,0)</f>
        <v>150</v>
      </c>
      <c r="O24" s="29">
        <f>IF(Table1[[#This Row],[Transaction Type]]="Purchase",E24*J24,0)</f>
        <v>0</v>
      </c>
    </row>
    <row r="25" spans="1:15" x14ac:dyDescent="0.35">
      <c r="A25" s="27" t="s">
        <v>80</v>
      </c>
      <c r="B25" s="12">
        <v>45666</v>
      </c>
      <c r="C25" s="11" t="s">
        <v>81</v>
      </c>
      <c r="D25" s="11" t="s">
        <v>58</v>
      </c>
      <c r="E25" s="11">
        <v>3</v>
      </c>
      <c r="F25" s="11">
        <f t="shared" si="1"/>
        <v>3</v>
      </c>
      <c r="G25" s="11" t="s">
        <v>14</v>
      </c>
      <c r="H25" s="11" t="s">
        <v>30</v>
      </c>
      <c r="I25" s="11" t="s">
        <v>16</v>
      </c>
      <c r="J25" s="11">
        <v>8</v>
      </c>
      <c r="K25" s="11">
        <v>15</v>
      </c>
      <c r="L25" s="11"/>
      <c r="M25" s="11">
        <f t="shared" si="0"/>
        <v>24</v>
      </c>
      <c r="N25" s="11">
        <f>IF(Table1[[#This Row],[Transaction Type]]="Sale",ABS(E25)*K25,0)</f>
        <v>0</v>
      </c>
      <c r="O25" s="29">
        <f>IF(Table1[[#This Row],[Transaction Type]]="Purchase",E25*J25,0)</f>
        <v>0</v>
      </c>
    </row>
    <row r="26" spans="1:15" x14ac:dyDescent="0.35">
      <c r="A26" s="27" t="s">
        <v>82</v>
      </c>
      <c r="B26" s="12">
        <v>45666</v>
      </c>
      <c r="C26" s="11" t="s">
        <v>83</v>
      </c>
      <c r="D26" s="11" t="s">
        <v>40</v>
      </c>
      <c r="E26" s="11">
        <v>29</v>
      </c>
      <c r="F26" s="11">
        <f t="shared" si="1"/>
        <v>29</v>
      </c>
      <c r="G26" s="11" t="s">
        <v>14</v>
      </c>
      <c r="H26" s="11" t="s">
        <v>84</v>
      </c>
      <c r="I26" s="11" t="s">
        <v>45</v>
      </c>
      <c r="J26" s="11">
        <v>130</v>
      </c>
      <c r="K26" s="11">
        <v>185</v>
      </c>
      <c r="L26" s="11" t="s">
        <v>85</v>
      </c>
      <c r="M26" s="11">
        <f t="shared" si="0"/>
        <v>3770</v>
      </c>
      <c r="N26" s="11">
        <f>IF(Table1[[#This Row],[Transaction Type]]="Sale",ABS(E26)*K26,0)</f>
        <v>0</v>
      </c>
      <c r="O26" s="29">
        <f>IF(Table1[[#This Row],[Transaction Type]]="Purchase",E26*J26,0)</f>
        <v>3770</v>
      </c>
    </row>
    <row r="27" spans="1:15" x14ac:dyDescent="0.35">
      <c r="A27" s="27" t="s">
        <v>86</v>
      </c>
      <c r="B27" s="12">
        <v>45666</v>
      </c>
      <c r="C27" s="11" t="s">
        <v>87</v>
      </c>
      <c r="D27" s="11" t="s">
        <v>13</v>
      </c>
      <c r="E27" s="11">
        <v>-8</v>
      </c>
      <c r="F27" s="11">
        <f t="shared" si="1"/>
        <v>-8</v>
      </c>
      <c r="G27" s="11" t="s">
        <v>14</v>
      </c>
      <c r="H27" s="11" t="s">
        <v>88</v>
      </c>
      <c r="I27" s="11" t="s">
        <v>16</v>
      </c>
      <c r="J27" s="11">
        <v>6</v>
      </c>
      <c r="K27" s="11">
        <v>14</v>
      </c>
      <c r="L27" s="11"/>
      <c r="M27" s="11">
        <f t="shared" si="0"/>
        <v>48</v>
      </c>
      <c r="N27" s="11">
        <f>IF(Table1[[#This Row],[Transaction Type]]="Sale",ABS(E27)*K27,0)</f>
        <v>112</v>
      </c>
      <c r="O27" s="29">
        <f>IF(Table1[[#This Row],[Transaction Type]]="Purchase",E27*J27,0)</f>
        <v>0</v>
      </c>
    </row>
    <row r="28" spans="1:15" x14ac:dyDescent="0.35">
      <c r="A28" s="27" t="s">
        <v>89</v>
      </c>
      <c r="B28" s="12">
        <v>45667</v>
      </c>
      <c r="C28" s="11" t="s">
        <v>32</v>
      </c>
      <c r="D28" s="11" t="s">
        <v>13</v>
      </c>
      <c r="E28" s="11">
        <v>-5</v>
      </c>
      <c r="F28" s="11">
        <f t="shared" si="1"/>
        <v>-5</v>
      </c>
      <c r="G28" s="11" t="s">
        <v>14</v>
      </c>
      <c r="H28" s="11" t="s">
        <v>33</v>
      </c>
      <c r="I28" s="11" t="s">
        <v>34</v>
      </c>
      <c r="J28" s="11">
        <v>20</v>
      </c>
      <c r="K28" s="11">
        <v>35</v>
      </c>
      <c r="L28" s="11"/>
      <c r="M28" s="11">
        <f t="shared" si="0"/>
        <v>100</v>
      </c>
      <c r="N28" s="11">
        <f>IF(Table1[[#This Row],[Transaction Type]]="Sale",ABS(E28)*K28,0)</f>
        <v>175</v>
      </c>
      <c r="O28" s="29">
        <f>IF(Table1[[#This Row],[Transaction Type]]="Purchase",E28*J28,0)</f>
        <v>0</v>
      </c>
    </row>
    <row r="29" spans="1:15" x14ac:dyDescent="0.35">
      <c r="A29" s="27" t="s">
        <v>90</v>
      </c>
      <c r="B29" s="12">
        <v>45667</v>
      </c>
      <c r="C29" s="11" t="s">
        <v>32</v>
      </c>
      <c r="D29" s="11" t="s">
        <v>13</v>
      </c>
      <c r="E29" s="11">
        <v>-11</v>
      </c>
      <c r="F29" s="11">
        <f t="shared" si="1"/>
        <v>-11</v>
      </c>
      <c r="G29" s="11" t="s">
        <v>19</v>
      </c>
      <c r="H29" s="11" t="s">
        <v>33</v>
      </c>
      <c r="I29" s="11" t="s">
        <v>34</v>
      </c>
      <c r="J29" s="11">
        <v>20</v>
      </c>
      <c r="K29" s="11">
        <v>35</v>
      </c>
      <c r="L29" s="11"/>
      <c r="M29" s="11">
        <f t="shared" si="0"/>
        <v>220</v>
      </c>
      <c r="N29" s="11">
        <f>IF(Table1[[#This Row],[Transaction Type]]="Sale",ABS(E29)*K29,0)</f>
        <v>385</v>
      </c>
      <c r="O29" s="29">
        <f>IF(Table1[[#This Row],[Transaction Type]]="Purchase",E29*J29,0)</f>
        <v>0</v>
      </c>
    </row>
    <row r="30" spans="1:15" x14ac:dyDescent="0.35">
      <c r="A30" s="27" t="s">
        <v>91</v>
      </c>
      <c r="B30" s="12">
        <v>45667</v>
      </c>
      <c r="C30" s="11" t="s">
        <v>55</v>
      </c>
      <c r="D30" s="11" t="s">
        <v>58</v>
      </c>
      <c r="E30" s="11">
        <v>-8</v>
      </c>
      <c r="F30" s="11">
        <f t="shared" si="1"/>
        <v>-8</v>
      </c>
      <c r="G30" s="11" t="s">
        <v>19</v>
      </c>
      <c r="H30" s="11" t="s">
        <v>56</v>
      </c>
      <c r="I30" s="11" t="s">
        <v>16</v>
      </c>
      <c r="J30" s="11">
        <v>4.2</v>
      </c>
      <c r="K30" s="11">
        <v>10</v>
      </c>
      <c r="L30" s="11"/>
      <c r="M30" s="11">
        <f t="shared" si="0"/>
        <v>33.6</v>
      </c>
      <c r="N30" s="11">
        <f>IF(Table1[[#This Row],[Transaction Type]]="Sale",ABS(E30)*K30,0)</f>
        <v>0</v>
      </c>
      <c r="O30" s="29">
        <f>IF(Table1[[#This Row],[Transaction Type]]="Purchase",E30*J30,0)</f>
        <v>0</v>
      </c>
    </row>
    <row r="31" spans="1:15" x14ac:dyDescent="0.35">
      <c r="A31" s="27" t="s">
        <v>92</v>
      </c>
      <c r="B31" s="12">
        <v>45668</v>
      </c>
      <c r="C31" s="11" t="s">
        <v>55</v>
      </c>
      <c r="D31" s="11" t="s">
        <v>13</v>
      </c>
      <c r="E31" s="11">
        <v>-13</v>
      </c>
      <c r="F31" s="11">
        <f t="shared" si="1"/>
        <v>-13</v>
      </c>
      <c r="G31" s="11" t="s">
        <v>14</v>
      </c>
      <c r="H31" s="11" t="s">
        <v>56</v>
      </c>
      <c r="I31" s="11" t="s">
        <v>16</v>
      </c>
      <c r="J31" s="11">
        <v>4.2</v>
      </c>
      <c r="K31" s="11">
        <v>10</v>
      </c>
      <c r="L31" s="11"/>
      <c r="M31" s="11">
        <f t="shared" si="0"/>
        <v>54.6</v>
      </c>
      <c r="N31" s="11">
        <f>IF(Table1[[#This Row],[Transaction Type]]="Sale",ABS(E31)*K31,0)</f>
        <v>130</v>
      </c>
      <c r="O31" s="29">
        <f>IF(Table1[[#This Row],[Transaction Type]]="Purchase",E31*J31,0)</f>
        <v>0</v>
      </c>
    </row>
    <row r="32" spans="1:15" x14ac:dyDescent="0.35">
      <c r="A32" s="27" t="s">
        <v>93</v>
      </c>
      <c r="B32" s="12">
        <v>45668</v>
      </c>
      <c r="C32" s="11" t="s">
        <v>94</v>
      </c>
      <c r="D32" s="11" t="s">
        <v>40</v>
      </c>
      <c r="E32" s="11">
        <v>22</v>
      </c>
      <c r="F32" s="11">
        <f t="shared" si="1"/>
        <v>22</v>
      </c>
      <c r="G32" s="11" t="s">
        <v>19</v>
      </c>
      <c r="H32" s="11" t="s">
        <v>95</v>
      </c>
      <c r="I32" s="11" t="s">
        <v>16</v>
      </c>
      <c r="J32" s="11">
        <v>18.5</v>
      </c>
      <c r="K32" s="11">
        <v>31</v>
      </c>
      <c r="L32" s="11" t="s">
        <v>96</v>
      </c>
      <c r="M32" s="11">
        <f t="shared" si="0"/>
        <v>407</v>
      </c>
      <c r="N32" s="11">
        <f>IF(Table1[[#This Row],[Transaction Type]]="Sale",ABS(E32)*K32,0)</f>
        <v>0</v>
      </c>
      <c r="O32" s="29">
        <f>IF(Table1[[#This Row],[Transaction Type]]="Purchase",E32*J32,0)</f>
        <v>407</v>
      </c>
    </row>
    <row r="33" spans="1:15" x14ac:dyDescent="0.35">
      <c r="A33" s="27" t="s">
        <v>97</v>
      </c>
      <c r="B33" s="12">
        <v>45669</v>
      </c>
      <c r="C33" s="11" t="s">
        <v>98</v>
      </c>
      <c r="D33" s="11" t="s">
        <v>13</v>
      </c>
      <c r="E33" s="11">
        <v>-14</v>
      </c>
      <c r="F33" s="11">
        <f t="shared" si="1"/>
        <v>-14</v>
      </c>
      <c r="G33" s="11" t="s">
        <v>24</v>
      </c>
      <c r="H33" s="11" t="s">
        <v>30</v>
      </c>
      <c r="I33" s="11" t="s">
        <v>16</v>
      </c>
      <c r="J33" s="11">
        <v>16</v>
      </c>
      <c r="K33" s="11">
        <v>29</v>
      </c>
      <c r="L33" s="11"/>
      <c r="M33" s="11">
        <f t="shared" si="0"/>
        <v>224</v>
      </c>
      <c r="N33" s="11">
        <f>IF(Table1[[#This Row],[Transaction Type]]="Sale",ABS(E33)*K33,0)</f>
        <v>406</v>
      </c>
      <c r="O33" s="29">
        <f>IF(Table1[[#This Row],[Transaction Type]]="Purchase",E33*J33,0)</f>
        <v>0</v>
      </c>
    </row>
    <row r="34" spans="1:15" x14ac:dyDescent="0.35">
      <c r="A34" s="27" t="s">
        <v>99</v>
      </c>
      <c r="B34" s="12">
        <v>45669</v>
      </c>
      <c r="C34" s="11" t="s">
        <v>43</v>
      </c>
      <c r="D34" s="11" t="s">
        <v>13</v>
      </c>
      <c r="E34" s="11">
        <v>-1</v>
      </c>
      <c r="F34" s="11">
        <f t="shared" si="1"/>
        <v>-1</v>
      </c>
      <c r="G34" s="11" t="s">
        <v>19</v>
      </c>
      <c r="H34" s="11" t="s">
        <v>44</v>
      </c>
      <c r="I34" s="11" t="s">
        <v>45</v>
      </c>
      <c r="J34" s="11">
        <v>5.2</v>
      </c>
      <c r="K34" s="11">
        <v>11</v>
      </c>
      <c r="L34" s="11"/>
      <c r="M34" s="11">
        <f t="shared" si="0"/>
        <v>5.2</v>
      </c>
      <c r="N34" s="11">
        <f>IF(Table1[[#This Row],[Transaction Type]]="Sale",ABS(E34)*K34,0)</f>
        <v>11</v>
      </c>
      <c r="O34" s="29">
        <f>IF(Table1[[#This Row],[Transaction Type]]="Purchase",E34*J34,0)</f>
        <v>0</v>
      </c>
    </row>
    <row r="35" spans="1:15" x14ac:dyDescent="0.35">
      <c r="A35" s="27" t="s">
        <v>100</v>
      </c>
      <c r="B35" s="12">
        <v>45669</v>
      </c>
      <c r="C35" s="11" t="s">
        <v>43</v>
      </c>
      <c r="D35" s="11" t="s">
        <v>13</v>
      </c>
      <c r="E35" s="11">
        <v>-9</v>
      </c>
      <c r="F35" s="11">
        <f t="shared" si="1"/>
        <v>-9</v>
      </c>
      <c r="G35" s="11" t="s">
        <v>19</v>
      </c>
      <c r="H35" s="11" t="s">
        <v>44</v>
      </c>
      <c r="I35" s="11" t="s">
        <v>45</v>
      </c>
      <c r="J35" s="11">
        <v>5.2</v>
      </c>
      <c r="K35" s="11">
        <v>11</v>
      </c>
      <c r="L35" s="11"/>
      <c r="M35" s="11">
        <f t="shared" si="0"/>
        <v>46.800000000000004</v>
      </c>
      <c r="N35" s="11">
        <f>IF(Table1[[#This Row],[Transaction Type]]="Sale",ABS(E35)*K35,0)</f>
        <v>99</v>
      </c>
      <c r="O35" s="29">
        <f>IF(Table1[[#This Row],[Transaction Type]]="Purchase",E35*J35,0)</f>
        <v>0</v>
      </c>
    </row>
    <row r="36" spans="1:15" x14ac:dyDescent="0.35">
      <c r="A36" s="27" t="s">
        <v>101</v>
      </c>
      <c r="B36" s="12">
        <v>45669</v>
      </c>
      <c r="C36" s="11" t="s">
        <v>87</v>
      </c>
      <c r="D36" s="11" t="s">
        <v>13</v>
      </c>
      <c r="E36" s="11">
        <v>-10</v>
      </c>
      <c r="F36" s="11">
        <f t="shared" si="1"/>
        <v>-10</v>
      </c>
      <c r="G36" s="11" t="s">
        <v>19</v>
      </c>
      <c r="H36" s="11" t="s">
        <v>88</v>
      </c>
      <c r="I36" s="11" t="s">
        <v>16</v>
      </c>
      <c r="J36" s="11">
        <v>6</v>
      </c>
      <c r="K36" s="11">
        <v>14</v>
      </c>
      <c r="L36" s="11"/>
      <c r="M36" s="11">
        <f t="shared" si="0"/>
        <v>60</v>
      </c>
      <c r="N36" s="11">
        <f>IF(Table1[[#This Row],[Transaction Type]]="Sale",ABS(E36)*K36,0)</f>
        <v>140</v>
      </c>
      <c r="O36" s="29">
        <f>IF(Table1[[#This Row],[Transaction Type]]="Purchase",E36*J36,0)</f>
        <v>0</v>
      </c>
    </row>
    <row r="37" spans="1:15" x14ac:dyDescent="0.35">
      <c r="A37" s="27" t="s">
        <v>102</v>
      </c>
      <c r="B37" s="12">
        <v>45670</v>
      </c>
      <c r="C37" s="11" t="s">
        <v>94</v>
      </c>
      <c r="D37" s="11" t="s">
        <v>13</v>
      </c>
      <c r="E37" s="11">
        <v>-14</v>
      </c>
      <c r="F37" s="11">
        <f t="shared" si="1"/>
        <v>-14</v>
      </c>
      <c r="G37" s="11" t="s">
        <v>24</v>
      </c>
      <c r="H37" s="11" t="s">
        <v>95</v>
      </c>
      <c r="I37" s="11" t="s">
        <v>16</v>
      </c>
      <c r="J37" s="11">
        <v>18.5</v>
      </c>
      <c r="K37" s="11">
        <v>31</v>
      </c>
      <c r="L37" s="11"/>
      <c r="M37" s="11">
        <f t="shared" si="0"/>
        <v>259</v>
      </c>
      <c r="N37" s="11">
        <f>IF(Table1[[#This Row],[Transaction Type]]="Sale",ABS(E37)*K37,0)</f>
        <v>434</v>
      </c>
      <c r="O37" s="29">
        <f>IF(Table1[[#This Row],[Transaction Type]]="Purchase",E37*J37,0)</f>
        <v>0</v>
      </c>
    </row>
    <row r="38" spans="1:15" x14ac:dyDescent="0.35">
      <c r="A38" s="27" t="s">
        <v>103</v>
      </c>
      <c r="B38" s="12">
        <v>45670</v>
      </c>
      <c r="C38" s="11" t="s">
        <v>32</v>
      </c>
      <c r="D38" s="11" t="s">
        <v>13</v>
      </c>
      <c r="E38" s="11">
        <v>-7</v>
      </c>
      <c r="F38" s="11">
        <f t="shared" si="1"/>
        <v>-7</v>
      </c>
      <c r="G38" s="11" t="s">
        <v>24</v>
      </c>
      <c r="H38" s="11" t="s">
        <v>33</v>
      </c>
      <c r="I38" s="11" t="s">
        <v>34</v>
      </c>
      <c r="J38" s="11">
        <v>20</v>
      </c>
      <c r="K38" s="11">
        <v>35</v>
      </c>
      <c r="L38" s="11"/>
      <c r="M38" s="11">
        <f t="shared" si="0"/>
        <v>140</v>
      </c>
      <c r="N38" s="11">
        <f>IF(Table1[[#This Row],[Transaction Type]]="Sale",ABS(E38)*K38,0)</f>
        <v>245</v>
      </c>
      <c r="O38" s="29">
        <f>IF(Table1[[#This Row],[Transaction Type]]="Purchase",E38*J38,0)</f>
        <v>0</v>
      </c>
    </row>
    <row r="39" spans="1:15" x14ac:dyDescent="0.35">
      <c r="A39" s="27" t="s">
        <v>104</v>
      </c>
      <c r="B39" s="12">
        <v>45670</v>
      </c>
      <c r="C39" s="11" t="s">
        <v>77</v>
      </c>
      <c r="D39" s="11" t="s">
        <v>40</v>
      </c>
      <c r="E39" s="11">
        <v>54</v>
      </c>
      <c r="F39" s="11">
        <f t="shared" si="1"/>
        <v>54</v>
      </c>
      <c r="G39" s="11" t="s">
        <v>14</v>
      </c>
      <c r="H39" s="11" t="s">
        <v>78</v>
      </c>
      <c r="I39" s="11" t="s">
        <v>16</v>
      </c>
      <c r="J39" s="11">
        <v>25</v>
      </c>
      <c r="K39" s="11">
        <v>42</v>
      </c>
      <c r="L39" s="11" t="s">
        <v>105</v>
      </c>
      <c r="M39" s="11">
        <f t="shared" si="0"/>
        <v>1350</v>
      </c>
      <c r="N39" s="11">
        <f>IF(Table1[[#This Row],[Transaction Type]]="Sale",ABS(E39)*K39,0)</f>
        <v>0</v>
      </c>
      <c r="O39" s="29">
        <f>IF(Table1[[#This Row],[Transaction Type]]="Purchase",E39*J39,0)</f>
        <v>1350</v>
      </c>
    </row>
    <row r="40" spans="1:15" x14ac:dyDescent="0.35">
      <c r="A40" s="27" t="s">
        <v>106</v>
      </c>
      <c r="B40" s="12">
        <v>45670</v>
      </c>
      <c r="C40" s="11" t="s">
        <v>32</v>
      </c>
      <c r="D40" s="11" t="s">
        <v>13</v>
      </c>
      <c r="E40" s="11">
        <v>-8</v>
      </c>
      <c r="F40" s="11">
        <f t="shared" si="1"/>
        <v>-8</v>
      </c>
      <c r="G40" s="11" t="s">
        <v>14</v>
      </c>
      <c r="H40" s="11" t="s">
        <v>33</v>
      </c>
      <c r="I40" s="11" t="s">
        <v>34</v>
      </c>
      <c r="J40" s="11">
        <v>20</v>
      </c>
      <c r="K40" s="11">
        <v>35</v>
      </c>
      <c r="L40" s="11"/>
      <c r="M40" s="11">
        <f t="shared" si="0"/>
        <v>160</v>
      </c>
      <c r="N40" s="11">
        <f>IF(Table1[[#This Row],[Transaction Type]]="Sale",ABS(E40)*K40,0)</f>
        <v>280</v>
      </c>
      <c r="O40" s="29">
        <f>IF(Table1[[#This Row],[Transaction Type]]="Purchase",E40*J40,0)</f>
        <v>0</v>
      </c>
    </row>
    <row r="41" spans="1:15" x14ac:dyDescent="0.35">
      <c r="A41" s="27" t="s">
        <v>107</v>
      </c>
      <c r="B41" s="12">
        <v>45670</v>
      </c>
      <c r="C41" s="11" t="s">
        <v>36</v>
      </c>
      <c r="D41" s="11" t="s">
        <v>66</v>
      </c>
      <c r="E41" s="11">
        <v>4</v>
      </c>
      <c r="F41" s="11">
        <f t="shared" si="1"/>
        <v>4</v>
      </c>
      <c r="G41" s="11" t="s">
        <v>19</v>
      </c>
      <c r="H41" s="11" t="s">
        <v>37</v>
      </c>
      <c r="I41" s="11" t="s">
        <v>16</v>
      </c>
      <c r="J41" s="11">
        <v>7.2</v>
      </c>
      <c r="K41" s="11">
        <v>12.5</v>
      </c>
      <c r="L41" s="11"/>
      <c r="M41" s="11">
        <f t="shared" si="0"/>
        <v>28.8</v>
      </c>
      <c r="N41" s="11">
        <f>IF(Table1[[#This Row],[Transaction Type]]="Sale",ABS(E41)*K41,0)</f>
        <v>0</v>
      </c>
      <c r="O41" s="29">
        <f>IF(Table1[[#This Row],[Transaction Type]]="Purchase",E41*J41,0)</f>
        <v>0</v>
      </c>
    </row>
    <row r="42" spans="1:15" x14ac:dyDescent="0.35">
      <c r="A42" s="27" t="s">
        <v>108</v>
      </c>
      <c r="B42" s="12">
        <v>45671</v>
      </c>
      <c r="C42" s="11" t="s">
        <v>109</v>
      </c>
      <c r="D42" s="11" t="s">
        <v>58</v>
      </c>
      <c r="E42" s="11">
        <v>-5</v>
      </c>
      <c r="F42" s="11">
        <f t="shared" si="1"/>
        <v>-5</v>
      </c>
      <c r="G42" s="11" t="s">
        <v>19</v>
      </c>
      <c r="H42" s="11" t="s">
        <v>110</v>
      </c>
      <c r="I42" s="11" t="s">
        <v>26</v>
      </c>
      <c r="J42" s="11">
        <v>105</v>
      </c>
      <c r="K42" s="11">
        <v>165</v>
      </c>
      <c r="L42" s="11"/>
      <c r="M42" s="11">
        <f t="shared" si="0"/>
        <v>525</v>
      </c>
      <c r="N42" s="11">
        <f>IF(Table1[[#This Row],[Transaction Type]]="Sale",ABS(E42)*K42,0)</f>
        <v>0</v>
      </c>
      <c r="O42" s="29">
        <f>IF(Table1[[#This Row],[Transaction Type]]="Purchase",E42*J42,0)</f>
        <v>0</v>
      </c>
    </row>
    <row r="43" spans="1:15" x14ac:dyDescent="0.35">
      <c r="A43" s="27" t="s">
        <v>111</v>
      </c>
      <c r="B43" s="12">
        <v>45671</v>
      </c>
      <c r="C43" s="11" t="s">
        <v>12</v>
      </c>
      <c r="D43" s="11" t="s">
        <v>58</v>
      </c>
      <c r="E43" s="11">
        <v>-13</v>
      </c>
      <c r="F43" s="11">
        <f t="shared" si="1"/>
        <v>-13</v>
      </c>
      <c r="G43" s="11" t="s">
        <v>24</v>
      </c>
      <c r="H43" s="11" t="s">
        <v>15</v>
      </c>
      <c r="I43" s="11" t="s">
        <v>16</v>
      </c>
      <c r="J43" s="11">
        <v>13.5</v>
      </c>
      <c r="K43" s="11">
        <v>24</v>
      </c>
      <c r="L43" s="11"/>
      <c r="M43" s="11">
        <f t="shared" si="0"/>
        <v>175.5</v>
      </c>
      <c r="N43" s="11">
        <f>IF(Table1[[#This Row],[Transaction Type]]="Sale",ABS(E43)*K43,0)</f>
        <v>0</v>
      </c>
      <c r="O43" s="29">
        <f>IF(Table1[[#This Row],[Transaction Type]]="Purchase",E43*J43,0)</f>
        <v>0</v>
      </c>
    </row>
    <row r="44" spans="1:15" x14ac:dyDescent="0.35">
      <c r="A44" s="27" t="s">
        <v>112</v>
      </c>
      <c r="B44" s="12">
        <v>45671</v>
      </c>
      <c r="C44" s="11" t="s">
        <v>12</v>
      </c>
      <c r="D44" s="11" t="s">
        <v>13</v>
      </c>
      <c r="E44" s="11">
        <v>-7</v>
      </c>
      <c r="F44" s="11">
        <f t="shared" si="1"/>
        <v>-7</v>
      </c>
      <c r="G44" s="11" t="s">
        <v>19</v>
      </c>
      <c r="H44" s="11" t="s">
        <v>15</v>
      </c>
      <c r="I44" s="11" t="s">
        <v>16</v>
      </c>
      <c r="J44" s="11">
        <v>13.5</v>
      </c>
      <c r="K44" s="11">
        <v>24</v>
      </c>
      <c r="L44" s="11"/>
      <c r="M44" s="11">
        <f t="shared" si="0"/>
        <v>94.5</v>
      </c>
      <c r="N44" s="11">
        <f>IF(Table1[[#This Row],[Transaction Type]]="Sale",ABS(E44)*K44,0)</f>
        <v>168</v>
      </c>
      <c r="O44" s="29">
        <f>IF(Table1[[#This Row],[Transaction Type]]="Purchase",E44*J44,0)</f>
        <v>0</v>
      </c>
    </row>
    <row r="45" spans="1:15" x14ac:dyDescent="0.35">
      <c r="A45" s="27" t="s">
        <v>113</v>
      </c>
      <c r="B45" s="12">
        <v>45671</v>
      </c>
      <c r="C45" s="11" t="s">
        <v>52</v>
      </c>
      <c r="D45" s="11" t="s">
        <v>40</v>
      </c>
      <c r="E45" s="11">
        <v>112</v>
      </c>
      <c r="F45" s="11">
        <f t="shared" si="1"/>
        <v>112</v>
      </c>
      <c r="G45" s="11" t="s">
        <v>14</v>
      </c>
      <c r="H45" s="11" t="s">
        <v>20</v>
      </c>
      <c r="I45" s="11" t="s">
        <v>21</v>
      </c>
      <c r="J45" s="11">
        <v>5.5</v>
      </c>
      <c r="K45" s="11">
        <v>12</v>
      </c>
      <c r="L45" s="11" t="s">
        <v>114</v>
      </c>
      <c r="M45" s="11">
        <f t="shared" si="0"/>
        <v>616</v>
      </c>
      <c r="N45" s="11">
        <f>IF(Table1[[#This Row],[Transaction Type]]="Sale",ABS(E45)*K45,0)</f>
        <v>0</v>
      </c>
      <c r="O45" s="29">
        <f>IF(Table1[[#This Row],[Transaction Type]]="Purchase",E45*J45,0)</f>
        <v>616</v>
      </c>
    </row>
    <row r="46" spans="1:15" x14ac:dyDescent="0.35">
      <c r="A46" s="27" t="s">
        <v>115</v>
      </c>
      <c r="B46" s="12">
        <v>45672</v>
      </c>
      <c r="C46" s="11" t="s">
        <v>77</v>
      </c>
      <c r="D46" s="11" t="s">
        <v>13</v>
      </c>
      <c r="E46" s="11">
        <v>-12</v>
      </c>
      <c r="F46" s="11">
        <f t="shared" si="1"/>
        <v>-12</v>
      </c>
      <c r="G46" s="11" t="s">
        <v>19</v>
      </c>
      <c r="H46" s="11" t="s">
        <v>78</v>
      </c>
      <c r="I46" s="11" t="s">
        <v>16</v>
      </c>
      <c r="J46" s="11">
        <v>25</v>
      </c>
      <c r="K46" s="11">
        <v>42</v>
      </c>
      <c r="L46" s="11"/>
      <c r="M46" s="11">
        <f t="shared" si="0"/>
        <v>300</v>
      </c>
      <c r="N46" s="11">
        <f>IF(Table1[[#This Row],[Transaction Type]]="Sale",ABS(E46)*K46,0)</f>
        <v>504</v>
      </c>
      <c r="O46" s="29">
        <f>IF(Table1[[#This Row],[Transaction Type]]="Purchase",E46*J46,0)</f>
        <v>0</v>
      </c>
    </row>
    <row r="47" spans="1:15" x14ac:dyDescent="0.35">
      <c r="A47" s="27" t="s">
        <v>116</v>
      </c>
      <c r="B47" s="12">
        <v>45673</v>
      </c>
      <c r="C47" s="11" t="s">
        <v>29</v>
      </c>
      <c r="D47" s="11" t="s">
        <v>40</v>
      </c>
      <c r="E47" s="11">
        <v>40</v>
      </c>
      <c r="F47" s="11">
        <f t="shared" si="1"/>
        <v>40</v>
      </c>
      <c r="G47" s="11" t="s">
        <v>24</v>
      </c>
      <c r="H47" s="11" t="s">
        <v>30</v>
      </c>
      <c r="I47" s="11" t="s">
        <v>16</v>
      </c>
      <c r="J47" s="11">
        <v>8.8000000000000007</v>
      </c>
      <c r="K47" s="11">
        <v>17</v>
      </c>
      <c r="L47" s="11" t="s">
        <v>117</v>
      </c>
      <c r="M47" s="11">
        <f t="shared" si="0"/>
        <v>352</v>
      </c>
      <c r="N47" s="11">
        <f>IF(Table1[[#This Row],[Transaction Type]]="Sale",ABS(E47)*K47,0)</f>
        <v>0</v>
      </c>
      <c r="O47" s="29">
        <f>IF(Table1[[#This Row],[Transaction Type]]="Purchase",E47*J47,0)</f>
        <v>352</v>
      </c>
    </row>
    <row r="48" spans="1:15" x14ac:dyDescent="0.35">
      <c r="A48" s="27" t="s">
        <v>118</v>
      </c>
      <c r="B48" s="12">
        <v>45673</v>
      </c>
      <c r="C48" s="11" t="s">
        <v>29</v>
      </c>
      <c r="D48" s="11" t="s">
        <v>40</v>
      </c>
      <c r="E48" s="11">
        <v>45</v>
      </c>
      <c r="F48" s="11">
        <f t="shared" si="1"/>
        <v>45</v>
      </c>
      <c r="G48" s="11" t="s">
        <v>14</v>
      </c>
      <c r="H48" s="11" t="s">
        <v>30</v>
      </c>
      <c r="I48" s="11" t="s">
        <v>16</v>
      </c>
      <c r="J48" s="11">
        <v>8.8000000000000007</v>
      </c>
      <c r="K48" s="11">
        <v>17</v>
      </c>
      <c r="L48" s="11" t="s">
        <v>119</v>
      </c>
      <c r="M48" s="11">
        <f t="shared" si="0"/>
        <v>396.00000000000006</v>
      </c>
      <c r="N48" s="11">
        <f>IF(Table1[[#This Row],[Transaction Type]]="Sale",ABS(E48)*K48,0)</f>
        <v>0</v>
      </c>
      <c r="O48" s="29">
        <f>IF(Table1[[#This Row],[Transaction Type]]="Purchase",E48*J48,0)</f>
        <v>396.00000000000006</v>
      </c>
    </row>
    <row r="49" spans="1:15" x14ac:dyDescent="0.35">
      <c r="A49" s="27" t="s">
        <v>120</v>
      </c>
      <c r="B49" s="12">
        <v>45673</v>
      </c>
      <c r="C49" s="11" t="s">
        <v>48</v>
      </c>
      <c r="D49" s="11" t="s">
        <v>13</v>
      </c>
      <c r="E49" s="11">
        <v>-7</v>
      </c>
      <c r="F49" s="11">
        <f t="shared" si="1"/>
        <v>-7</v>
      </c>
      <c r="G49" s="11" t="s">
        <v>14</v>
      </c>
      <c r="H49" s="11" t="s">
        <v>49</v>
      </c>
      <c r="I49" s="11" t="s">
        <v>21</v>
      </c>
      <c r="J49" s="11">
        <v>8.5</v>
      </c>
      <c r="K49" s="11">
        <v>18</v>
      </c>
      <c r="L49" s="11"/>
      <c r="M49" s="11">
        <f t="shared" si="0"/>
        <v>59.5</v>
      </c>
      <c r="N49" s="11">
        <f>IF(Table1[[#This Row],[Transaction Type]]="Sale",ABS(E49)*K49,0)</f>
        <v>126</v>
      </c>
      <c r="O49" s="29">
        <f>IF(Table1[[#This Row],[Transaction Type]]="Purchase",E49*J49,0)</f>
        <v>0</v>
      </c>
    </row>
    <row r="50" spans="1:15" x14ac:dyDescent="0.35">
      <c r="A50" s="27" t="s">
        <v>121</v>
      </c>
      <c r="B50" s="12">
        <v>45673</v>
      </c>
      <c r="C50" s="11" t="s">
        <v>77</v>
      </c>
      <c r="D50" s="11" t="s">
        <v>66</v>
      </c>
      <c r="E50" s="11">
        <v>5</v>
      </c>
      <c r="F50" s="11">
        <f t="shared" si="1"/>
        <v>5</v>
      </c>
      <c r="G50" s="11" t="s">
        <v>14</v>
      </c>
      <c r="H50" s="11" t="s">
        <v>78</v>
      </c>
      <c r="I50" s="11" t="s">
        <v>16</v>
      </c>
      <c r="J50" s="11">
        <v>25</v>
      </c>
      <c r="K50" s="11">
        <v>42</v>
      </c>
      <c r="L50" s="11"/>
      <c r="M50" s="11">
        <f t="shared" si="0"/>
        <v>125</v>
      </c>
      <c r="N50" s="11">
        <f>IF(Table1[[#This Row],[Transaction Type]]="Sale",ABS(E50)*K50,0)</f>
        <v>0</v>
      </c>
      <c r="O50" s="29">
        <f>IF(Table1[[#This Row],[Transaction Type]]="Purchase",E50*J50,0)</f>
        <v>0</v>
      </c>
    </row>
    <row r="51" spans="1:15" x14ac:dyDescent="0.35">
      <c r="A51" s="27" t="s">
        <v>122</v>
      </c>
      <c r="B51" s="12">
        <v>45673</v>
      </c>
      <c r="C51" s="11" t="s">
        <v>60</v>
      </c>
      <c r="D51" s="11" t="s">
        <v>13</v>
      </c>
      <c r="E51" s="11">
        <v>-3</v>
      </c>
      <c r="F51" s="11">
        <f t="shared" si="1"/>
        <v>-3</v>
      </c>
      <c r="G51" s="11" t="s">
        <v>19</v>
      </c>
      <c r="H51" s="11" t="s">
        <v>61</v>
      </c>
      <c r="I51" s="11" t="s">
        <v>62</v>
      </c>
      <c r="J51" s="11">
        <v>3.4</v>
      </c>
      <c r="K51" s="11">
        <v>8</v>
      </c>
      <c r="L51" s="11"/>
      <c r="M51" s="11">
        <f t="shared" si="0"/>
        <v>10.199999999999999</v>
      </c>
      <c r="N51" s="11">
        <f>IF(Table1[[#This Row],[Transaction Type]]="Sale",ABS(E51)*K51,0)</f>
        <v>24</v>
      </c>
      <c r="O51" s="29">
        <f>IF(Table1[[#This Row],[Transaction Type]]="Purchase",E51*J51,0)</f>
        <v>0</v>
      </c>
    </row>
    <row r="52" spans="1:15" x14ac:dyDescent="0.35">
      <c r="A52" s="27" t="s">
        <v>123</v>
      </c>
      <c r="B52" s="12">
        <v>45673</v>
      </c>
      <c r="C52" s="11" t="s">
        <v>65</v>
      </c>
      <c r="D52" s="11" t="s">
        <v>40</v>
      </c>
      <c r="E52" s="11">
        <v>63</v>
      </c>
      <c r="F52" s="11">
        <f t="shared" si="1"/>
        <v>63</v>
      </c>
      <c r="G52" s="11" t="s">
        <v>14</v>
      </c>
      <c r="H52" s="11" t="s">
        <v>67</v>
      </c>
      <c r="I52" s="11" t="s">
        <v>21</v>
      </c>
      <c r="J52" s="11">
        <v>11</v>
      </c>
      <c r="K52" s="11">
        <v>22</v>
      </c>
      <c r="L52" s="11" t="s">
        <v>124</v>
      </c>
      <c r="M52" s="11">
        <f t="shared" si="0"/>
        <v>693</v>
      </c>
      <c r="N52" s="11">
        <f>IF(Table1[[#This Row],[Transaction Type]]="Sale",ABS(E52)*K52,0)</f>
        <v>0</v>
      </c>
      <c r="O52" s="29">
        <f>IF(Table1[[#This Row],[Transaction Type]]="Purchase",E52*J52,0)</f>
        <v>693</v>
      </c>
    </row>
    <row r="53" spans="1:15" x14ac:dyDescent="0.35">
      <c r="A53" s="27" t="s">
        <v>125</v>
      </c>
      <c r="B53" s="12">
        <v>45674</v>
      </c>
      <c r="C53" s="11" t="s">
        <v>12</v>
      </c>
      <c r="D53" s="11" t="s">
        <v>13</v>
      </c>
      <c r="E53" s="11">
        <v>-15</v>
      </c>
      <c r="F53" s="11">
        <f t="shared" si="1"/>
        <v>-15</v>
      </c>
      <c r="G53" s="11" t="s">
        <v>14</v>
      </c>
      <c r="H53" s="11" t="s">
        <v>15</v>
      </c>
      <c r="I53" s="11" t="s">
        <v>16</v>
      </c>
      <c r="J53" s="11">
        <v>13.5</v>
      </c>
      <c r="K53" s="11">
        <v>24</v>
      </c>
      <c r="L53" s="11"/>
      <c r="M53" s="11">
        <f t="shared" si="0"/>
        <v>202.5</v>
      </c>
      <c r="N53" s="11">
        <f>IF(Table1[[#This Row],[Transaction Type]]="Sale",ABS(E53)*K53,0)</f>
        <v>360</v>
      </c>
      <c r="O53" s="29">
        <f>IF(Table1[[#This Row],[Transaction Type]]="Purchase",E53*J53,0)</f>
        <v>0</v>
      </c>
    </row>
    <row r="54" spans="1:15" x14ac:dyDescent="0.35">
      <c r="A54" s="27" t="s">
        <v>126</v>
      </c>
      <c r="B54" s="12">
        <v>45674</v>
      </c>
      <c r="C54" s="11" t="s">
        <v>18</v>
      </c>
      <c r="D54" s="11" t="s">
        <v>58</v>
      </c>
      <c r="E54" s="11">
        <v>1</v>
      </c>
      <c r="F54" s="11">
        <f t="shared" si="1"/>
        <v>1</v>
      </c>
      <c r="G54" s="11" t="s">
        <v>24</v>
      </c>
      <c r="H54" s="11" t="s">
        <v>20</v>
      </c>
      <c r="I54" s="11" t="s">
        <v>21</v>
      </c>
      <c r="J54" s="11">
        <v>2.6</v>
      </c>
      <c r="K54" s="11">
        <v>5.5</v>
      </c>
      <c r="L54" s="11"/>
      <c r="M54" s="11">
        <f t="shared" si="0"/>
        <v>2.6</v>
      </c>
      <c r="N54" s="11">
        <f>IF(Table1[[#This Row],[Transaction Type]]="Sale",ABS(E54)*K54,0)</f>
        <v>0</v>
      </c>
      <c r="O54" s="29">
        <f>IF(Table1[[#This Row],[Transaction Type]]="Purchase",E54*J54,0)</f>
        <v>0</v>
      </c>
    </row>
    <row r="55" spans="1:15" x14ac:dyDescent="0.35">
      <c r="A55" s="27" t="s">
        <v>127</v>
      </c>
      <c r="B55" s="12">
        <v>45674</v>
      </c>
      <c r="C55" s="11" t="s">
        <v>65</v>
      </c>
      <c r="D55" s="11" t="s">
        <v>66</v>
      </c>
      <c r="E55" s="11">
        <v>5</v>
      </c>
      <c r="F55" s="11">
        <f t="shared" si="1"/>
        <v>5</v>
      </c>
      <c r="G55" s="11" t="s">
        <v>19</v>
      </c>
      <c r="H55" s="11" t="s">
        <v>67</v>
      </c>
      <c r="I55" s="11" t="s">
        <v>21</v>
      </c>
      <c r="J55" s="11">
        <v>11</v>
      </c>
      <c r="K55" s="11">
        <v>22</v>
      </c>
      <c r="L55" s="11"/>
      <c r="M55" s="11">
        <f t="shared" si="0"/>
        <v>55</v>
      </c>
      <c r="N55" s="11">
        <f>IF(Table1[[#This Row],[Transaction Type]]="Sale",ABS(E55)*K55,0)</f>
        <v>0</v>
      </c>
      <c r="O55" s="29">
        <f>IF(Table1[[#This Row],[Transaction Type]]="Purchase",E55*J55,0)</f>
        <v>0</v>
      </c>
    </row>
    <row r="56" spans="1:15" x14ac:dyDescent="0.35">
      <c r="A56" s="27" t="s">
        <v>128</v>
      </c>
      <c r="B56" s="12">
        <v>45674</v>
      </c>
      <c r="C56" s="11" t="s">
        <v>65</v>
      </c>
      <c r="D56" s="11" t="s">
        <v>13</v>
      </c>
      <c r="E56" s="11">
        <v>-15</v>
      </c>
      <c r="F56" s="11">
        <f t="shared" si="1"/>
        <v>-15</v>
      </c>
      <c r="G56" s="11" t="s">
        <v>2522</v>
      </c>
      <c r="H56" s="11" t="s">
        <v>67</v>
      </c>
      <c r="I56" s="11" t="s">
        <v>21</v>
      </c>
      <c r="J56" s="11">
        <v>11</v>
      </c>
      <c r="K56" s="11">
        <v>22</v>
      </c>
      <c r="L56" s="11"/>
      <c r="M56" s="11">
        <f t="shared" si="0"/>
        <v>165</v>
      </c>
      <c r="N56" s="11">
        <f>IF(Table1[[#This Row],[Transaction Type]]="Sale",ABS(E56)*K56,0)</f>
        <v>330</v>
      </c>
      <c r="O56" s="29">
        <f>IF(Table1[[#This Row],[Transaction Type]]="Purchase",E56*J56,0)</f>
        <v>0</v>
      </c>
    </row>
    <row r="57" spans="1:15" x14ac:dyDescent="0.35">
      <c r="A57" s="27" t="s">
        <v>129</v>
      </c>
      <c r="B57" s="12">
        <v>45675</v>
      </c>
      <c r="C57" s="11" t="s">
        <v>23</v>
      </c>
      <c r="D57" s="11" t="s">
        <v>13</v>
      </c>
      <c r="E57" s="11">
        <v>-11</v>
      </c>
      <c r="F57" s="11">
        <f t="shared" si="1"/>
        <v>-11</v>
      </c>
      <c r="G57" s="11" t="s">
        <v>24</v>
      </c>
      <c r="H57" s="11" t="s">
        <v>25</v>
      </c>
      <c r="I57" s="11" t="s">
        <v>26</v>
      </c>
      <c r="J57" s="11">
        <v>3</v>
      </c>
      <c r="K57" s="11">
        <v>7</v>
      </c>
      <c r="L57" s="11"/>
      <c r="M57" s="11">
        <f t="shared" si="0"/>
        <v>33</v>
      </c>
      <c r="N57" s="11">
        <f>IF(Table1[[#This Row],[Transaction Type]]="Sale",ABS(E57)*K57,0)</f>
        <v>77</v>
      </c>
      <c r="O57" s="29">
        <f>IF(Table1[[#This Row],[Transaction Type]]="Purchase",E57*J57,0)</f>
        <v>0</v>
      </c>
    </row>
    <row r="58" spans="1:15" x14ac:dyDescent="0.35">
      <c r="A58" s="27" t="s">
        <v>130</v>
      </c>
      <c r="B58" s="12">
        <v>45675</v>
      </c>
      <c r="C58" s="11" t="s">
        <v>23</v>
      </c>
      <c r="D58" s="11" t="s">
        <v>40</v>
      </c>
      <c r="E58" s="11">
        <v>47</v>
      </c>
      <c r="F58" s="11">
        <f t="shared" si="1"/>
        <v>47</v>
      </c>
      <c r="G58" s="11" t="s">
        <v>14</v>
      </c>
      <c r="H58" s="11" t="s">
        <v>25</v>
      </c>
      <c r="I58" s="11" t="s">
        <v>26</v>
      </c>
      <c r="J58" s="11">
        <v>3</v>
      </c>
      <c r="K58" s="11">
        <v>7</v>
      </c>
      <c r="L58" s="11" t="s">
        <v>131</v>
      </c>
      <c r="M58" s="11">
        <f t="shared" si="0"/>
        <v>141</v>
      </c>
      <c r="N58" s="11">
        <f>IF(Table1[[#This Row],[Transaction Type]]="Sale",ABS(E58)*K58,0)</f>
        <v>0</v>
      </c>
      <c r="O58" s="29">
        <f>IF(Table1[[#This Row],[Transaction Type]]="Purchase",E58*J58,0)</f>
        <v>141</v>
      </c>
    </row>
    <row r="59" spans="1:15" x14ac:dyDescent="0.35">
      <c r="A59" s="27" t="s">
        <v>132</v>
      </c>
      <c r="B59" s="12">
        <v>45675</v>
      </c>
      <c r="C59" s="11" t="s">
        <v>55</v>
      </c>
      <c r="D59" s="11" t="s">
        <v>13</v>
      </c>
      <c r="E59" s="11">
        <v>-15</v>
      </c>
      <c r="F59" s="11">
        <f t="shared" si="1"/>
        <v>-15</v>
      </c>
      <c r="G59" s="11" t="s">
        <v>14</v>
      </c>
      <c r="H59" s="11" t="s">
        <v>56</v>
      </c>
      <c r="I59" s="11" t="s">
        <v>16</v>
      </c>
      <c r="J59" s="11">
        <v>4.2</v>
      </c>
      <c r="K59" s="11">
        <v>10</v>
      </c>
      <c r="L59" s="11"/>
      <c r="M59" s="11">
        <f t="shared" si="0"/>
        <v>63</v>
      </c>
      <c r="N59" s="11">
        <f>IF(Table1[[#This Row],[Transaction Type]]="Sale",ABS(E59)*K59,0)</f>
        <v>150</v>
      </c>
      <c r="O59" s="29">
        <f>IF(Table1[[#This Row],[Transaction Type]]="Purchase",E59*J59,0)</f>
        <v>0</v>
      </c>
    </row>
    <row r="60" spans="1:15" x14ac:dyDescent="0.35">
      <c r="A60" s="27" t="s">
        <v>133</v>
      </c>
      <c r="B60" s="12">
        <v>45675</v>
      </c>
      <c r="C60" s="11" t="s">
        <v>48</v>
      </c>
      <c r="D60" s="11" t="s">
        <v>13</v>
      </c>
      <c r="E60" s="11">
        <v>-1</v>
      </c>
      <c r="F60" s="11">
        <f t="shared" si="1"/>
        <v>-1</v>
      </c>
      <c r="G60" s="11" t="s">
        <v>24</v>
      </c>
      <c r="H60" s="11" t="s">
        <v>49</v>
      </c>
      <c r="I60" s="11" t="s">
        <v>21</v>
      </c>
      <c r="J60" s="11">
        <v>8.5</v>
      </c>
      <c r="K60" s="11">
        <v>18</v>
      </c>
      <c r="L60" s="11"/>
      <c r="M60" s="11">
        <f t="shared" si="0"/>
        <v>8.5</v>
      </c>
      <c r="N60" s="11">
        <f>IF(Table1[[#This Row],[Transaction Type]]="Sale",ABS(E60)*K60,0)</f>
        <v>18</v>
      </c>
      <c r="O60" s="29">
        <f>IF(Table1[[#This Row],[Transaction Type]]="Purchase",E60*J60,0)</f>
        <v>0</v>
      </c>
    </row>
    <row r="61" spans="1:15" x14ac:dyDescent="0.35">
      <c r="A61" s="27" t="s">
        <v>134</v>
      </c>
      <c r="B61" s="12">
        <v>45676</v>
      </c>
      <c r="C61" s="11" t="s">
        <v>12</v>
      </c>
      <c r="D61" s="11" t="s">
        <v>13</v>
      </c>
      <c r="E61" s="11">
        <v>-6</v>
      </c>
      <c r="F61" s="11">
        <f t="shared" si="1"/>
        <v>-6</v>
      </c>
      <c r="G61" s="11" t="s">
        <v>24</v>
      </c>
      <c r="H61" s="11" t="s">
        <v>15</v>
      </c>
      <c r="I61" s="11" t="s">
        <v>16</v>
      </c>
      <c r="J61" s="11">
        <v>13.5</v>
      </c>
      <c r="K61" s="11">
        <v>24</v>
      </c>
      <c r="L61" s="11"/>
      <c r="M61" s="11">
        <f t="shared" si="0"/>
        <v>81</v>
      </c>
      <c r="N61" s="11">
        <f>IF(Table1[[#This Row],[Transaction Type]]="Sale",ABS(E61)*K61,0)</f>
        <v>144</v>
      </c>
      <c r="O61" s="29">
        <f>IF(Table1[[#This Row],[Transaction Type]]="Purchase",E61*J61,0)</f>
        <v>0</v>
      </c>
    </row>
    <row r="62" spans="1:15" x14ac:dyDescent="0.35">
      <c r="A62" s="27" t="s">
        <v>135</v>
      </c>
      <c r="B62" s="12">
        <v>45676</v>
      </c>
      <c r="C62" s="11" t="s">
        <v>136</v>
      </c>
      <c r="D62" s="11" t="s">
        <v>40</v>
      </c>
      <c r="E62" s="11">
        <v>95</v>
      </c>
      <c r="F62" s="11">
        <f t="shared" si="1"/>
        <v>95</v>
      </c>
      <c r="G62" s="11" t="s">
        <v>24</v>
      </c>
      <c r="H62" s="11" t="s">
        <v>33</v>
      </c>
      <c r="I62" s="11" t="s">
        <v>34</v>
      </c>
      <c r="J62" s="11">
        <v>34</v>
      </c>
      <c r="K62" s="11">
        <v>55</v>
      </c>
      <c r="L62" s="11" t="s">
        <v>137</v>
      </c>
      <c r="M62" s="11">
        <f t="shared" si="0"/>
        <v>3230</v>
      </c>
      <c r="N62" s="11">
        <f>IF(Table1[[#This Row],[Transaction Type]]="Sale",ABS(E62)*K62,0)</f>
        <v>0</v>
      </c>
      <c r="O62" s="29">
        <f>IF(Table1[[#This Row],[Transaction Type]]="Purchase",E62*J62,0)</f>
        <v>3230</v>
      </c>
    </row>
    <row r="63" spans="1:15" x14ac:dyDescent="0.35">
      <c r="A63" s="27" t="s">
        <v>138</v>
      </c>
      <c r="B63" s="12">
        <v>45676</v>
      </c>
      <c r="C63" s="11" t="s">
        <v>139</v>
      </c>
      <c r="D63" s="11" t="s">
        <v>66</v>
      </c>
      <c r="E63" s="11">
        <v>2</v>
      </c>
      <c r="F63" s="11">
        <f t="shared" si="1"/>
        <v>2</v>
      </c>
      <c r="G63" s="11" t="s">
        <v>24</v>
      </c>
      <c r="H63" s="11" t="s">
        <v>56</v>
      </c>
      <c r="I63" s="11" t="s">
        <v>16</v>
      </c>
      <c r="J63" s="11">
        <v>16.5</v>
      </c>
      <c r="K63" s="11">
        <v>28</v>
      </c>
      <c r="L63" s="11"/>
      <c r="M63" s="11">
        <f t="shared" si="0"/>
        <v>33</v>
      </c>
      <c r="N63" s="11">
        <f>IF(Table1[[#This Row],[Transaction Type]]="Sale",ABS(E63)*K63,0)</f>
        <v>0</v>
      </c>
      <c r="O63" s="29">
        <f>IF(Table1[[#This Row],[Transaction Type]]="Purchase",E63*J63,0)</f>
        <v>0</v>
      </c>
    </row>
    <row r="64" spans="1:15" x14ac:dyDescent="0.35">
      <c r="A64" s="27" t="s">
        <v>140</v>
      </c>
      <c r="B64" s="12">
        <v>45676</v>
      </c>
      <c r="C64" s="11" t="s">
        <v>141</v>
      </c>
      <c r="D64" s="11" t="s">
        <v>58</v>
      </c>
      <c r="E64" s="11">
        <v>-7</v>
      </c>
      <c r="F64" s="11">
        <f t="shared" si="1"/>
        <v>-7</v>
      </c>
      <c r="G64" s="11" t="s">
        <v>14</v>
      </c>
      <c r="H64" s="11" t="s">
        <v>25</v>
      </c>
      <c r="I64" s="11" t="s">
        <v>26</v>
      </c>
      <c r="J64" s="11">
        <v>4</v>
      </c>
      <c r="K64" s="11">
        <v>9</v>
      </c>
      <c r="L64" s="11"/>
      <c r="M64" s="11">
        <f t="shared" si="0"/>
        <v>28</v>
      </c>
      <c r="N64" s="11">
        <f>IF(Table1[[#This Row],[Transaction Type]]="Sale",ABS(E64)*K64,0)</f>
        <v>0</v>
      </c>
      <c r="O64" s="29">
        <f>IF(Table1[[#This Row],[Transaction Type]]="Purchase",E64*J64,0)</f>
        <v>0</v>
      </c>
    </row>
    <row r="65" spans="1:15" x14ac:dyDescent="0.35">
      <c r="A65" s="27" t="s">
        <v>142</v>
      </c>
      <c r="B65" s="12">
        <v>45676</v>
      </c>
      <c r="C65" s="11" t="s">
        <v>141</v>
      </c>
      <c r="D65" s="11" t="s">
        <v>13</v>
      </c>
      <c r="E65" s="11">
        <v>-7</v>
      </c>
      <c r="F65" s="11">
        <f t="shared" si="1"/>
        <v>-7</v>
      </c>
      <c r="G65" s="11" t="s">
        <v>19</v>
      </c>
      <c r="H65" s="11" t="s">
        <v>25</v>
      </c>
      <c r="I65" s="11" t="s">
        <v>26</v>
      </c>
      <c r="J65" s="11">
        <v>4</v>
      </c>
      <c r="K65" s="11">
        <v>9</v>
      </c>
      <c r="L65" s="11"/>
      <c r="M65" s="11">
        <f t="shared" si="0"/>
        <v>28</v>
      </c>
      <c r="N65" s="11">
        <f>IF(Table1[[#This Row],[Transaction Type]]="Sale",ABS(E65)*K65,0)</f>
        <v>63</v>
      </c>
      <c r="O65" s="29">
        <f>IF(Table1[[#This Row],[Transaction Type]]="Purchase",E65*J65,0)</f>
        <v>0</v>
      </c>
    </row>
    <row r="66" spans="1:15" x14ac:dyDescent="0.35">
      <c r="A66" s="27" t="s">
        <v>143</v>
      </c>
      <c r="B66" s="12">
        <v>45677</v>
      </c>
      <c r="C66" s="11" t="s">
        <v>136</v>
      </c>
      <c r="D66" s="11" t="s">
        <v>40</v>
      </c>
      <c r="E66" s="11">
        <v>27</v>
      </c>
      <c r="F66" s="11">
        <f t="shared" si="1"/>
        <v>27</v>
      </c>
      <c r="G66" s="11" t="s">
        <v>19</v>
      </c>
      <c r="H66" s="11" t="s">
        <v>33</v>
      </c>
      <c r="I66" s="11" t="s">
        <v>34</v>
      </c>
      <c r="J66" s="11">
        <v>34</v>
      </c>
      <c r="K66" s="11">
        <v>55</v>
      </c>
      <c r="L66" s="11" t="s">
        <v>144</v>
      </c>
      <c r="M66" s="11">
        <f t="shared" ref="M66:M129" si="2">ABS(E66)*J66</f>
        <v>918</v>
      </c>
      <c r="N66" s="11">
        <f>IF(Table1[[#This Row],[Transaction Type]]="Sale",ABS(E66)*K66,0)</f>
        <v>0</v>
      </c>
      <c r="O66" s="29">
        <f>IF(Table1[[#This Row],[Transaction Type]]="Purchase",E66*J66,0)</f>
        <v>918</v>
      </c>
    </row>
    <row r="67" spans="1:15" x14ac:dyDescent="0.35">
      <c r="A67" s="27" t="s">
        <v>145</v>
      </c>
      <c r="B67" s="12">
        <v>45677</v>
      </c>
      <c r="C67" s="11" t="s">
        <v>23</v>
      </c>
      <c r="D67" s="11" t="s">
        <v>13</v>
      </c>
      <c r="E67" s="11">
        <v>-6</v>
      </c>
      <c r="F67" s="11">
        <f t="shared" ref="F67:F130" si="3">E67</f>
        <v>-6</v>
      </c>
      <c r="G67" s="11" t="s">
        <v>19</v>
      </c>
      <c r="H67" s="11" t="s">
        <v>25</v>
      </c>
      <c r="I67" s="11" t="s">
        <v>26</v>
      </c>
      <c r="J67" s="11">
        <v>3</v>
      </c>
      <c r="K67" s="11">
        <v>7</v>
      </c>
      <c r="L67" s="11"/>
      <c r="M67" s="11">
        <f t="shared" si="2"/>
        <v>18</v>
      </c>
      <c r="N67" s="11">
        <f>IF(Table1[[#This Row],[Transaction Type]]="Sale",ABS(E67)*K67,0)</f>
        <v>42</v>
      </c>
      <c r="O67" s="29">
        <f>IF(Table1[[#This Row],[Transaction Type]]="Purchase",E67*J67,0)</f>
        <v>0</v>
      </c>
    </row>
    <row r="68" spans="1:15" x14ac:dyDescent="0.35">
      <c r="A68" s="27" t="s">
        <v>146</v>
      </c>
      <c r="B68" s="12">
        <v>45677</v>
      </c>
      <c r="C68" s="11" t="s">
        <v>73</v>
      </c>
      <c r="D68" s="11" t="s">
        <v>13</v>
      </c>
      <c r="E68" s="11">
        <v>-15</v>
      </c>
      <c r="F68" s="11">
        <f t="shared" si="3"/>
        <v>-15</v>
      </c>
      <c r="G68" s="11" t="s">
        <v>24</v>
      </c>
      <c r="H68" s="11" t="s">
        <v>74</v>
      </c>
      <c r="I68" s="11" t="s">
        <v>75</v>
      </c>
      <c r="J68" s="11">
        <v>30</v>
      </c>
      <c r="K68" s="11">
        <v>48</v>
      </c>
      <c r="L68" s="11"/>
      <c r="M68" s="11">
        <f t="shared" si="2"/>
        <v>450</v>
      </c>
      <c r="N68" s="11">
        <f>IF(Table1[[#This Row],[Transaction Type]]="Sale",ABS(E68)*K68,0)</f>
        <v>720</v>
      </c>
      <c r="O68" s="29">
        <f>IF(Table1[[#This Row],[Transaction Type]]="Purchase",E68*J68,0)</f>
        <v>0</v>
      </c>
    </row>
    <row r="69" spans="1:15" x14ac:dyDescent="0.35">
      <c r="A69" s="27" t="s">
        <v>147</v>
      </c>
      <c r="B69" s="12">
        <v>45678</v>
      </c>
      <c r="C69" s="11" t="s">
        <v>52</v>
      </c>
      <c r="D69" s="11" t="s">
        <v>40</v>
      </c>
      <c r="E69" s="11">
        <v>116</v>
      </c>
      <c r="F69" s="11">
        <f t="shared" si="3"/>
        <v>116</v>
      </c>
      <c r="G69" s="11" t="s">
        <v>14</v>
      </c>
      <c r="H69" s="11" t="s">
        <v>20</v>
      </c>
      <c r="I69" s="11" t="s">
        <v>21</v>
      </c>
      <c r="J69" s="11">
        <v>5.5</v>
      </c>
      <c r="K69" s="11">
        <v>12</v>
      </c>
      <c r="L69" s="11" t="s">
        <v>148</v>
      </c>
      <c r="M69" s="11">
        <f t="shared" si="2"/>
        <v>638</v>
      </c>
      <c r="N69" s="11">
        <f>IF(Table1[[#This Row],[Transaction Type]]="Sale",ABS(E69)*K69,0)</f>
        <v>0</v>
      </c>
      <c r="O69" s="29">
        <f>IF(Table1[[#This Row],[Transaction Type]]="Purchase",E69*J69,0)</f>
        <v>638</v>
      </c>
    </row>
    <row r="70" spans="1:15" x14ac:dyDescent="0.35">
      <c r="A70" s="27" t="s">
        <v>149</v>
      </c>
      <c r="B70" s="12">
        <v>45678</v>
      </c>
      <c r="C70" s="11" t="s">
        <v>12</v>
      </c>
      <c r="D70" s="11" t="s">
        <v>13</v>
      </c>
      <c r="E70" s="11">
        <v>-3</v>
      </c>
      <c r="F70" s="11">
        <f t="shared" si="3"/>
        <v>-3</v>
      </c>
      <c r="G70" s="11" t="s">
        <v>19</v>
      </c>
      <c r="H70" s="11" t="s">
        <v>15</v>
      </c>
      <c r="I70" s="11" t="s">
        <v>16</v>
      </c>
      <c r="J70" s="11">
        <v>13.5</v>
      </c>
      <c r="K70" s="11">
        <v>24</v>
      </c>
      <c r="L70" s="11"/>
      <c r="M70" s="11">
        <f t="shared" si="2"/>
        <v>40.5</v>
      </c>
      <c r="N70" s="11">
        <f>IF(Table1[[#This Row],[Transaction Type]]="Sale",ABS(E70)*K70,0)</f>
        <v>72</v>
      </c>
      <c r="O70" s="29">
        <f>IF(Table1[[#This Row],[Transaction Type]]="Purchase",E70*J70,0)</f>
        <v>0</v>
      </c>
    </row>
    <row r="71" spans="1:15" x14ac:dyDescent="0.35">
      <c r="A71" s="27" t="s">
        <v>150</v>
      </c>
      <c r="B71" s="12">
        <v>45678</v>
      </c>
      <c r="C71" s="11" t="s">
        <v>48</v>
      </c>
      <c r="D71" s="11" t="s">
        <v>13</v>
      </c>
      <c r="E71" s="11">
        <v>-11</v>
      </c>
      <c r="F71" s="11">
        <f t="shared" si="3"/>
        <v>-11</v>
      </c>
      <c r="G71" s="11" t="s">
        <v>14</v>
      </c>
      <c r="H71" s="11" t="s">
        <v>49</v>
      </c>
      <c r="I71" s="11" t="s">
        <v>21</v>
      </c>
      <c r="J71" s="11">
        <v>8.5</v>
      </c>
      <c r="K71" s="11">
        <v>18</v>
      </c>
      <c r="L71" s="11"/>
      <c r="M71" s="11">
        <f t="shared" si="2"/>
        <v>93.5</v>
      </c>
      <c r="N71" s="11">
        <f>IF(Table1[[#This Row],[Transaction Type]]="Sale",ABS(E71)*K71,0)</f>
        <v>198</v>
      </c>
      <c r="O71" s="29">
        <f>IF(Table1[[#This Row],[Transaction Type]]="Purchase",E71*J71,0)</f>
        <v>0</v>
      </c>
    </row>
    <row r="72" spans="1:15" x14ac:dyDescent="0.35">
      <c r="A72" s="27" t="s">
        <v>151</v>
      </c>
      <c r="B72" s="12">
        <v>45678</v>
      </c>
      <c r="C72" s="11" t="s">
        <v>12</v>
      </c>
      <c r="D72" s="11" t="s">
        <v>13</v>
      </c>
      <c r="E72" s="11">
        <v>-13</v>
      </c>
      <c r="F72" s="11">
        <f t="shared" si="3"/>
        <v>-13</v>
      </c>
      <c r="G72" s="11" t="s">
        <v>24</v>
      </c>
      <c r="H72" s="11" t="s">
        <v>15</v>
      </c>
      <c r="I72" s="11" t="s">
        <v>16</v>
      </c>
      <c r="J72" s="11">
        <v>13.5</v>
      </c>
      <c r="K72" s="11">
        <v>24</v>
      </c>
      <c r="L72" s="11"/>
      <c r="M72" s="11">
        <f t="shared" si="2"/>
        <v>175.5</v>
      </c>
      <c r="N72" s="11">
        <f>IF(Table1[[#This Row],[Transaction Type]]="Sale",ABS(E72)*K72,0)</f>
        <v>312</v>
      </c>
      <c r="O72" s="29">
        <f>IF(Table1[[#This Row],[Transaction Type]]="Purchase",E72*J72,0)</f>
        <v>0</v>
      </c>
    </row>
    <row r="73" spans="1:15" x14ac:dyDescent="0.35">
      <c r="A73" s="27" t="s">
        <v>152</v>
      </c>
      <c r="B73" s="12">
        <v>45679</v>
      </c>
      <c r="C73" s="11" t="s">
        <v>81</v>
      </c>
      <c r="D73" s="11" t="s">
        <v>40</v>
      </c>
      <c r="E73" s="11">
        <v>44</v>
      </c>
      <c r="F73" s="11">
        <f t="shared" si="3"/>
        <v>44</v>
      </c>
      <c r="G73" s="11" t="s">
        <v>24</v>
      </c>
      <c r="H73" s="11" t="s">
        <v>30</v>
      </c>
      <c r="I73" s="11" t="s">
        <v>16</v>
      </c>
      <c r="J73" s="11">
        <v>8</v>
      </c>
      <c r="K73" s="11">
        <v>15</v>
      </c>
      <c r="L73" s="11" t="s">
        <v>153</v>
      </c>
      <c r="M73" s="11">
        <f t="shared" si="2"/>
        <v>352</v>
      </c>
      <c r="N73" s="11">
        <f>IF(Table1[[#This Row],[Transaction Type]]="Sale",ABS(E73)*K73,0)</f>
        <v>0</v>
      </c>
      <c r="O73" s="29">
        <f>IF(Table1[[#This Row],[Transaction Type]]="Purchase",E73*J73,0)</f>
        <v>352</v>
      </c>
    </row>
    <row r="74" spans="1:15" x14ac:dyDescent="0.35">
      <c r="A74" s="27" t="s">
        <v>154</v>
      </c>
      <c r="B74" s="12">
        <v>45679</v>
      </c>
      <c r="C74" s="11" t="s">
        <v>48</v>
      </c>
      <c r="D74" s="11" t="s">
        <v>40</v>
      </c>
      <c r="E74" s="11">
        <v>39</v>
      </c>
      <c r="F74" s="11">
        <f t="shared" si="3"/>
        <v>39</v>
      </c>
      <c r="G74" s="11" t="s">
        <v>24</v>
      </c>
      <c r="H74" s="11" t="s">
        <v>49</v>
      </c>
      <c r="I74" s="11" t="s">
        <v>21</v>
      </c>
      <c r="J74" s="11">
        <v>8.5</v>
      </c>
      <c r="K74" s="11">
        <v>18</v>
      </c>
      <c r="L74" s="11" t="s">
        <v>155</v>
      </c>
      <c r="M74" s="11">
        <f t="shared" si="2"/>
        <v>331.5</v>
      </c>
      <c r="N74" s="11">
        <f>IF(Table1[[#This Row],[Transaction Type]]="Sale",ABS(E74)*K74,0)</f>
        <v>0</v>
      </c>
      <c r="O74" s="29">
        <f>IF(Table1[[#This Row],[Transaction Type]]="Purchase",E74*J74,0)</f>
        <v>331.5</v>
      </c>
    </row>
    <row r="75" spans="1:15" x14ac:dyDescent="0.35">
      <c r="A75" s="27" t="s">
        <v>156</v>
      </c>
      <c r="B75" s="12">
        <v>45680</v>
      </c>
      <c r="C75" s="11" t="s">
        <v>141</v>
      </c>
      <c r="D75" s="11" t="s">
        <v>40</v>
      </c>
      <c r="E75" s="11">
        <v>78</v>
      </c>
      <c r="F75" s="11">
        <f t="shared" si="3"/>
        <v>78</v>
      </c>
      <c r="G75" s="11" t="s">
        <v>19</v>
      </c>
      <c r="H75" s="11" t="s">
        <v>25</v>
      </c>
      <c r="I75" s="11" t="s">
        <v>26</v>
      </c>
      <c r="J75" s="11">
        <v>4</v>
      </c>
      <c r="K75" s="11">
        <v>9</v>
      </c>
      <c r="L75" s="11" t="s">
        <v>157</v>
      </c>
      <c r="M75" s="11">
        <f t="shared" si="2"/>
        <v>312</v>
      </c>
      <c r="N75" s="11">
        <f>IF(Table1[[#This Row],[Transaction Type]]="Sale",ABS(E75)*K75,0)</f>
        <v>0</v>
      </c>
      <c r="O75" s="29">
        <f>IF(Table1[[#This Row],[Transaction Type]]="Purchase",E75*J75,0)</f>
        <v>312</v>
      </c>
    </row>
    <row r="76" spans="1:15" x14ac:dyDescent="0.35">
      <c r="A76" s="27" t="s">
        <v>158</v>
      </c>
      <c r="B76" s="12">
        <v>45681</v>
      </c>
      <c r="C76" s="11" t="s">
        <v>23</v>
      </c>
      <c r="D76" s="11" t="s">
        <v>13</v>
      </c>
      <c r="E76" s="11">
        <v>-9</v>
      </c>
      <c r="F76" s="11">
        <f t="shared" si="3"/>
        <v>-9</v>
      </c>
      <c r="G76" s="11" t="s">
        <v>24</v>
      </c>
      <c r="H76" s="11" t="s">
        <v>25</v>
      </c>
      <c r="I76" s="11" t="s">
        <v>26</v>
      </c>
      <c r="J76" s="11">
        <v>3</v>
      </c>
      <c r="K76" s="11">
        <v>7</v>
      </c>
      <c r="L76" s="11"/>
      <c r="M76" s="11">
        <f t="shared" si="2"/>
        <v>27</v>
      </c>
      <c r="N76" s="11">
        <f>IF(Table1[[#This Row],[Transaction Type]]="Sale",ABS(E76)*K76,0)</f>
        <v>63</v>
      </c>
      <c r="O76" s="29">
        <f>IF(Table1[[#This Row],[Transaction Type]]="Purchase",E76*J76,0)</f>
        <v>0</v>
      </c>
    </row>
    <row r="77" spans="1:15" x14ac:dyDescent="0.35">
      <c r="A77" s="27" t="s">
        <v>159</v>
      </c>
      <c r="B77" s="12">
        <v>45681</v>
      </c>
      <c r="C77" s="11" t="s">
        <v>77</v>
      </c>
      <c r="D77" s="11" t="s">
        <v>40</v>
      </c>
      <c r="E77" s="11">
        <v>79</v>
      </c>
      <c r="F77" s="11">
        <f t="shared" si="3"/>
        <v>79</v>
      </c>
      <c r="G77" s="11" t="s">
        <v>14</v>
      </c>
      <c r="H77" s="11" t="s">
        <v>78</v>
      </c>
      <c r="I77" s="11" t="s">
        <v>16</v>
      </c>
      <c r="J77" s="11">
        <v>25</v>
      </c>
      <c r="K77" s="11">
        <v>42</v>
      </c>
      <c r="L77" s="11" t="s">
        <v>160</v>
      </c>
      <c r="M77" s="11">
        <f t="shared" si="2"/>
        <v>1975</v>
      </c>
      <c r="N77" s="11">
        <f>IF(Table1[[#This Row],[Transaction Type]]="Sale",ABS(E77)*K77,0)</f>
        <v>0</v>
      </c>
      <c r="O77" s="29">
        <f>IF(Table1[[#This Row],[Transaction Type]]="Purchase",E77*J77,0)</f>
        <v>1975</v>
      </c>
    </row>
    <row r="78" spans="1:15" x14ac:dyDescent="0.35">
      <c r="A78" s="27" t="s">
        <v>161</v>
      </c>
      <c r="B78" s="12">
        <v>45681</v>
      </c>
      <c r="C78" s="11" t="s">
        <v>52</v>
      </c>
      <c r="D78" s="11" t="s">
        <v>13</v>
      </c>
      <c r="E78" s="11">
        <v>-4</v>
      </c>
      <c r="F78" s="11">
        <f t="shared" si="3"/>
        <v>-4</v>
      </c>
      <c r="G78" s="11" t="s">
        <v>19</v>
      </c>
      <c r="H78" s="11" t="s">
        <v>20</v>
      </c>
      <c r="I78" s="11" t="s">
        <v>21</v>
      </c>
      <c r="J78" s="11">
        <v>5.5</v>
      </c>
      <c r="K78" s="11">
        <v>12</v>
      </c>
      <c r="L78" s="11"/>
      <c r="M78" s="11">
        <f t="shared" si="2"/>
        <v>22</v>
      </c>
      <c r="N78" s="11">
        <f>IF(Table1[[#This Row],[Transaction Type]]="Sale",ABS(E78)*K78,0)</f>
        <v>48</v>
      </c>
      <c r="O78" s="29">
        <f>IF(Table1[[#This Row],[Transaction Type]]="Purchase",E78*J78,0)</f>
        <v>0</v>
      </c>
    </row>
    <row r="79" spans="1:15" x14ac:dyDescent="0.35">
      <c r="A79" s="27" t="s">
        <v>162</v>
      </c>
      <c r="B79" s="12">
        <v>45682</v>
      </c>
      <c r="C79" s="11" t="s">
        <v>36</v>
      </c>
      <c r="D79" s="11" t="s">
        <v>40</v>
      </c>
      <c r="E79" s="11">
        <v>88</v>
      </c>
      <c r="F79" s="11">
        <f t="shared" si="3"/>
        <v>88</v>
      </c>
      <c r="G79" s="11" t="s">
        <v>24</v>
      </c>
      <c r="H79" s="11" t="s">
        <v>37</v>
      </c>
      <c r="I79" s="11" t="s">
        <v>16</v>
      </c>
      <c r="J79" s="11">
        <v>7.2</v>
      </c>
      <c r="K79" s="11">
        <v>12.5</v>
      </c>
      <c r="L79" s="11" t="s">
        <v>163</v>
      </c>
      <c r="M79" s="11">
        <f t="shared" si="2"/>
        <v>633.6</v>
      </c>
      <c r="N79" s="11">
        <f>IF(Table1[[#This Row],[Transaction Type]]="Sale",ABS(E79)*K79,0)</f>
        <v>0</v>
      </c>
      <c r="O79" s="29">
        <f>IF(Table1[[#This Row],[Transaction Type]]="Purchase",E79*J79,0)</f>
        <v>633.6</v>
      </c>
    </row>
    <row r="80" spans="1:15" x14ac:dyDescent="0.35">
      <c r="A80" s="27" t="s">
        <v>164</v>
      </c>
      <c r="B80" s="12">
        <v>45682</v>
      </c>
      <c r="C80" s="11" t="s">
        <v>87</v>
      </c>
      <c r="D80" s="11" t="s">
        <v>40</v>
      </c>
      <c r="E80" s="11">
        <v>50</v>
      </c>
      <c r="F80" s="11">
        <f t="shared" si="3"/>
        <v>50</v>
      </c>
      <c r="G80" s="11" t="s">
        <v>24</v>
      </c>
      <c r="H80" s="11" t="s">
        <v>88</v>
      </c>
      <c r="I80" s="11" t="s">
        <v>16</v>
      </c>
      <c r="J80" s="11">
        <v>6</v>
      </c>
      <c r="K80" s="11">
        <v>14</v>
      </c>
      <c r="L80" s="11" t="s">
        <v>165</v>
      </c>
      <c r="M80" s="11">
        <f t="shared" si="2"/>
        <v>300</v>
      </c>
      <c r="N80" s="11">
        <f>IF(Table1[[#This Row],[Transaction Type]]="Sale",ABS(E80)*K80,0)</f>
        <v>0</v>
      </c>
      <c r="O80" s="29">
        <f>IF(Table1[[#This Row],[Transaction Type]]="Purchase",E80*J80,0)</f>
        <v>300</v>
      </c>
    </row>
    <row r="81" spans="1:15" x14ac:dyDescent="0.35">
      <c r="A81" s="27" t="s">
        <v>166</v>
      </c>
      <c r="B81" s="12">
        <v>45682</v>
      </c>
      <c r="C81" s="11" t="s">
        <v>32</v>
      </c>
      <c r="D81" s="11" t="s">
        <v>40</v>
      </c>
      <c r="E81" s="11">
        <v>91</v>
      </c>
      <c r="F81" s="11">
        <f t="shared" si="3"/>
        <v>91</v>
      </c>
      <c r="G81" s="11" t="s">
        <v>14</v>
      </c>
      <c r="H81" s="11" t="s">
        <v>33</v>
      </c>
      <c r="I81" s="11" t="s">
        <v>34</v>
      </c>
      <c r="J81" s="11">
        <v>20</v>
      </c>
      <c r="K81" s="11">
        <v>35</v>
      </c>
      <c r="L81" s="11" t="s">
        <v>167</v>
      </c>
      <c r="M81" s="11">
        <f t="shared" si="2"/>
        <v>1820</v>
      </c>
      <c r="N81" s="11">
        <f>IF(Table1[[#This Row],[Transaction Type]]="Sale",ABS(E81)*K81,0)</f>
        <v>0</v>
      </c>
      <c r="O81" s="29">
        <f>IF(Table1[[#This Row],[Transaction Type]]="Purchase",E81*J81,0)</f>
        <v>1820</v>
      </c>
    </row>
    <row r="82" spans="1:15" x14ac:dyDescent="0.35">
      <c r="A82" s="27" t="s">
        <v>168</v>
      </c>
      <c r="B82" s="12">
        <v>45683</v>
      </c>
      <c r="C82" s="11" t="s">
        <v>73</v>
      </c>
      <c r="D82" s="11" t="s">
        <v>13</v>
      </c>
      <c r="E82" s="11">
        <v>-13</v>
      </c>
      <c r="F82" s="11">
        <f t="shared" si="3"/>
        <v>-13</v>
      </c>
      <c r="G82" s="11" t="s">
        <v>19</v>
      </c>
      <c r="H82" s="11" t="s">
        <v>74</v>
      </c>
      <c r="I82" s="11" t="s">
        <v>75</v>
      </c>
      <c r="J82" s="11">
        <v>30</v>
      </c>
      <c r="K82" s="11">
        <v>48</v>
      </c>
      <c r="L82" s="11"/>
      <c r="M82" s="11">
        <f t="shared" si="2"/>
        <v>390</v>
      </c>
      <c r="N82" s="11">
        <f>IF(Table1[[#This Row],[Transaction Type]]="Sale",ABS(E82)*K82,0)</f>
        <v>624</v>
      </c>
      <c r="O82" s="29">
        <f>IF(Table1[[#This Row],[Transaction Type]]="Purchase",E82*J82,0)</f>
        <v>0</v>
      </c>
    </row>
    <row r="83" spans="1:15" x14ac:dyDescent="0.35">
      <c r="A83" s="27" t="s">
        <v>169</v>
      </c>
      <c r="B83" s="12">
        <v>45683</v>
      </c>
      <c r="C83" s="11" t="s">
        <v>170</v>
      </c>
      <c r="D83" s="11" t="s">
        <v>40</v>
      </c>
      <c r="E83" s="11">
        <v>87</v>
      </c>
      <c r="F83" s="11">
        <f t="shared" si="3"/>
        <v>87</v>
      </c>
      <c r="G83" s="11" t="s">
        <v>14</v>
      </c>
      <c r="H83" s="11" t="s">
        <v>171</v>
      </c>
      <c r="I83" s="11" t="s">
        <v>34</v>
      </c>
      <c r="J83" s="11">
        <v>25</v>
      </c>
      <c r="K83" s="11">
        <v>45</v>
      </c>
      <c r="L83" s="11" t="s">
        <v>172</v>
      </c>
      <c r="M83" s="11">
        <f t="shared" si="2"/>
        <v>2175</v>
      </c>
      <c r="N83" s="11">
        <f>IF(Table1[[#This Row],[Transaction Type]]="Sale",ABS(E83)*K83,0)</f>
        <v>0</v>
      </c>
      <c r="O83" s="29">
        <f>IF(Table1[[#This Row],[Transaction Type]]="Purchase",E83*J83,0)</f>
        <v>2175</v>
      </c>
    </row>
    <row r="84" spans="1:15" x14ac:dyDescent="0.35">
      <c r="A84" s="27" t="s">
        <v>173</v>
      </c>
      <c r="B84" s="12">
        <v>45683</v>
      </c>
      <c r="C84" s="11" t="s">
        <v>98</v>
      </c>
      <c r="D84" s="11" t="s">
        <v>40</v>
      </c>
      <c r="E84" s="11">
        <v>101</v>
      </c>
      <c r="F84" s="11">
        <f t="shared" si="3"/>
        <v>101</v>
      </c>
      <c r="G84" s="11" t="s">
        <v>19</v>
      </c>
      <c r="H84" s="11" t="s">
        <v>30</v>
      </c>
      <c r="I84" s="11" t="s">
        <v>16</v>
      </c>
      <c r="J84" s="11">
        <v>16</v>
      </c>
      <c r="K84" s="11">
        <v>29</v>
      </c>
      <c r="L84" s="11" t="s">
        <v>174</v>
      </c>
      <c r="M84" s="11">
        <f t="shared" si="2"/>
        <v>1616</v>
      </c>
      <c r="N84" s="11">
        <f>IF(Table1[[#This Row],[Transaction Type]]="Sale",ABS(E84)*K84,0)</f>
        <v>0</v>
      </c>
      <c r="O84" s="29">
        <f>IF(Table1[[#This Row],[Transaction Type]]="Purchase",E84*J84,0)</f>
        <v>1616</v>
      </c>
    </row>
    <row r="85" spans="1:15" x14ac:dyDescent="0.35">
      <c r="A85" s="27" t="s">
        <v>175</v>
      </c>
      <c r="B85" s="12">
        <v>45683</v>
      </c>
      <c r="C85" s="11" t="s">
        <v>48</v>
      </c>
      <c r="D85" s="11" t="s">
        <v>40</v>
      </c>
      <c r="E85" s="11">
        <v>66</v>
      </c>
      <c r="F85" s="11">
        <f t="shared" si="3"/>
        <v>66</v>
      </c>
      <c r="G85" s="11" t="s">
        <v>24</v>
      </c>
      <c r="H85" s="11" t="s">
        <v>49</v>
      </c>
      <c r="I85" s="11" t="s">
        <v>21</v>
      </c>
      <c r="J85" s="11">
        <v>8.5</v>
      </c>
      <c r="K85" s="11">
        <v>18</v>
      </c>
      <c r="L85" s="11" t="s">
        <v>176</v>
      </c>
      <c r="M85" s="11">
        <f t="shared" si="2"/>
        <v>561</v>
      </c>
      <c r="N85" s="11">
        <f>IF(Table1[[#This Row],[Transaction Type]]="Sale",ABS(E85)*K85,0)</f>
        <v>0</v>
      </c>
      <c r="O85" s="29">
        <f>IF(Table1[[#This Row],[Transaction Type]]="Purchase",E85*J85,0)</f>
        <v>561</v>
      </c>
    </row>
    <row r="86" spans="1:15" x14ac:dyDescent="0.35">
      <c r="A86" s="27" t="s">
        <v>177</v>
      </c>
      <c r="B86" s="12">
        <v>45683</v>
      </c>
      <c r="C86" s="11" t="s">
        <v>98</v>
      </c>
      <c r="D86" s="11" t="s">
        <v>13</v>
      </c>
      <c r="E86" s="11">
        <v>-13</v>
      </c>
      <c r="F86" s="11">
        <f t="shared" si="3"/>
        <v>-13</v>
      </c>
      <c r="G86" s="11" t="s">
        <v>14</v>
      </c>
      <c r="H86" s="11" t="s">
        <v>30</v>
      </c>
      <c r="I86" s="11" t="s">
        <v>16</v>
      </c>
      <c r="J86" s="11">
        <v>16</v>
      </c>
      <c r="K86" s="11">
        <v>29</v>
      </c>
      <c r="L86" s="11"/>
      <c r="M86" s="11">
        <f t="shared" si="2"/>
        <v>208</v>
      </c>
      <c r="N86" s="11">
        <f>IF(Table1[[#This Row],[Transaction Type]]="Sale",ABS(E86)*K86,0)</f>
        <v>377</v>
      </c>
      <c r="O86" s="29">
        <f>IF(Table1[[#This Row],[Transaction Type]]="Purchase",E86*J86,0)</f>
        <v>0</v>
      </c>
    </row>
    <row r="87" spans="1:15" x14ac:dyDescent="0.35">
      <c r="A87" s="27" t="s">
        <v>178</v>
      </c>
      <c r="B87" s="12">
        <v>45683</v>
      </c>
      <c r="C87" s="11" t="s">
        <v>36</v>
      </c>
      <c r="D87" s="11" t="s">
        <v>13</v>
      </c>
      <c r="E87" s="11">
        <v>-10</v>
      </c>
      <c r="F87" s="11">
        <f t="shared" si="3"/>
        <v>-10</v>
      </c>
      <c r="G87" s="11" t="s">
        <v>14</v>
      </c>
      <c r="H87" s="11" t="s">
        <v>37</v>
      </c>
      <c r="I87" s="11" t="s">
        <v>16</v>
      </c>
      <c r="J87" s="11">
        <v>7.2</v>
      </c>
      <c r="K87" s="11">
        <v>12.5</v>
      </c>
      <c r="L87" s="11"/>
      <c r="M87" s="11">
        <f t="shared" si="2"/>
        <v>72</v>
      </c>
      <c r="N87" s="11">
        <f>IF(Table1[[#This Row],[Transaction Type]]="Sale",ABS(E87)*K87,0)</f>
        <v>125</v>
      </c>
      <c r="O87" s="29">
        <f>IF(Table1[[#This Row],[Transaction Type]]="Purchase",E87*J87,0)</f>
        <v>0</v>
      </c>
    </row>
    <row r="88" spans="1:15" x14ac:dyDescent="0.35">
      <c r="A88" s="27" t="s">
        <v>179</v>
      </c>
      <c r="B88" s="12">
        <v>45684</v>
      </c>
      <c r="C88" s="11" t="s">
        <v>18</v>
      </c>
      <c r="D88" s="11" t="s">
        <v>13</v>
      </c>
      <c r="E88" s="11">
        <v>-10</v>
      </c>
      <c r="F88" s="11">
        <f t="shared" si="3"/>
        <v>-10</v>
      </c>
      <c r="G88" s="11" t="s">
        <v>24</v>
      </c>
      <c r="H88" s="11" t="s">
        <v>20</v>
      </c>
      <c r="I88" s="11" t="s">
        <v>21</v>
      </c>
      <c r="J88" s="11">
        <v>2.6</v>
      </c>
      <c r="K88" s="11">
        <v>5.5</v>
      </c>
      <c r="L88" s="11"/>
      <c r="M88" s="11">
        <f t="shared" si="2"/>
        <v>26</v>
      </c>
      <c r="N88" s="11">
        <f>IF(Table1[[#This Row],[Transaction Type]]="Sale",ABS(E88)*K88,0)</f>
        <v>55</v>
      </c>
      <c r="O88" s="29">
        <f>IF(Table1[[#This Row],[Transaction Type]]="Purchase",E88*J88,0)</f>
        <v>0</v>
      </c>
    </row>
    <row r="89" spans="1:15" x14ac:dyDescent="0.35">
      <c r="A89" s="27" t="s">
        <v>180</v>
      </c>
      <c r="B89" s="12">
        <v>45684</v>
      </c>
      <c r="C89" s="11" t="s">
        <v>18</v>
      </c>
      <c r="D89" s="11" t="s">
        <v>40</v>
      </c>
      <c r="E89" s="11">
        <v>94</v>
      </c>
      <c r="F89" s="11">
        <f t="shared" si="3"/>
        <v>94</v>
      </c>
      <c r="G89" s="11" t="s">
        <v>19</v>
      </c>
      <c r="H89" s="11" t="s">
        <v>20</v>
      </c>
      <c r="I89" s="11" t="s">
        <v>21</v>
      </c>
      <c r="J89" s="11">
        <v>2.6</v>
      </c>
      <c r="K89" s="11">
        <v>5.5</v>
      </c>
      <c r="L89" s="11" t="s">
        <v>181</v>
      </c>
      <c r="M89" s="11">
        <f t="shared" si="2"/>
        <v>244.4</v>
      </c>
      <c r="N89" s="11">
        <f>IF(Table1[[#This Row],[Transaction Type]]="Sale",ABS(E89)*K89,0)</f>
        <v>0</v>
      </c>
      <c r="O89" s="29">
        <f>IF(Table1[[#This Row],[Transaction Type]]="Purchase",E89*J89,0)</f>
        <v>244.4</v>
      </c>
    </row>
    <row r="90" spans="1:15" x14ac:dyDescent="0.35">
      <c r="A90" s="27" t="s">
        <v>182</v>
      </c>
      <c r="B90" s="12">
        <v>45684</v>
      </c>
      <c r="C90" s="11" t="s">
        <v>109</v>
      </c>
      <c r="D90" s="11" t="s">
        <v>13</v>
      </c>
      <c r="E90" s="11">
        <v>-11</v>
      </c>
      <c r="F90" s="11">
        <f t="shared" si="3"/>
        <v>-11</v>
      </c>
      <c r="G90" s="11" t="s">
        <v>24</v>
      </c>
      <c r="H90" s="11" t="s">
        <v>110</v>
      </c>
      <c r="I90" s="11" t="s">
        <v>26</v>
      </c>
      <c r="J90" s="11">
        <v>105</v>
      </c>
      <c r="K90" s="11">
        <v>165</v>
      </c>
      <c r="L90" s="11"/>
      <c r="M90" s="11">
        <f t="shared" si="2"/>
        <v>1155</v>
      </c>
      <c r="N90" s="11">
        <f>IF(Table1[[#This Row],[Transaction Type]]="Sale",ABS(E90)*K90,0)</f>
        <v>1815</v>
      </c>
      <c r="O90" s="29">
        <f>IF(Table1[[#This Row],[Transaction Type]]="Purchase",E90*J90,0)</f>
        <v>0</v>
      </c>
    </row>
    <row r="91" spans="1:15" x14ac:dyDescent="0.35">
      <c r="A91" s="27" t="s">
        <v>183</v>
      </c>
      <c r="B91" s="12">
        <v>45685</v>
      </c>
      <c r="C91" s="11" t="s">
        <v>65</v>
      </c>
      <c r="D91" s="11" t="s">
        <v>13</v>
      </c>
      <c r="E91" s="11">
        <v>-4</v>
      </c>
      <c r="F91" s="11">
        <f t="shared" si="3"/>
        <v>-4</v>
      </c>
      <c r="G91" s="11" t="s">
        <v>24</v>
      </c>
      <c r="H91" s="11" t="s">
        <v>67</v>
      </c>
      <c r="I91" s="11" t="s">
        <v>21</v>
      </c>
      <c r="J91" s="11">
        <v>11</v>
      </c>
      <c r="K91" s="11">
        <v>22</v>
      </c>
      <c r="L91" s="11"/>
      <c r="M91" s="11">
        <f t="shared" si="2"/>
        <v>44</v>
      </c>
      <c r="N91" s="11">
        <f>IF(Table1[[#This Row],[Transaction Type]]="Sale",ABS(E91)*K91,0)</f>
        <v>88</v>
      </c>
      <c r="O91" s="29">
        <f>IF(Table1[[#This Row],[Transaction Type]]="Purchase",E91*J91,0)</f>
        <v>0</v>
      </c>
    </row>
    <row r="92" spans="1:15" x14ac:dyDescent="0.35">
      <c r="A92" s="27" t="s">
        <v>184</v>
      </c>
      <c r="B92" s="12">
        <v>45685</v>
      </c>
      <c r="C92" s="11" t="s">
        <v>185</v>
      </c>
      <c r="D92" s="11" t="s">
        <v>13</v>
      </c>
      <c r="E92" s="11">
        <v>-13</v>
      </c>
      <c r="F92" s="11">
        <f t="shared" si="3"/>
        <v>-13</v>
      </c>
      <c r="G92" s="11" t="s">
        <v>14</v>
      </c>
      <c r="H92" s="11" t="s">
        <v>44</v>
      </c>
      <c r="I92" s="11" t="s">
        <v>45</v>
      </c>
      <c r="J92" s="11">
        <v>63</v>
      </c>
      <c r="K92" s="11">
        <v>95</v>
      </c>
      <c r="L92" s="11"/>
      <c r="M92" s="11">
        <f t="shared" si="2"/>
        <v>819</v>
      </c>
      <c r="N92" s="11">
        <f>IF(Table1[[#This Row],[Transaction Type]]="Sale",ABS(E92)*K92,0)</f>
        <v>1235</v>
      </c>
      <c r="O92" s="29">
        <f>IF(Table1[[#This Row],[Transaction Type]]="Purchase",E92*J92,0)</f>
        <v>0</v>
      </c>
    </row>
    <row r="93" spans="1:15" x14ac:dyDescent="0.35">
      <c r="A93" s="27" t="s">
        <v>186</v>
      </c>
      <c r="B93" s="12">
        <v>45686</v>
      </c>
      <c r="C93" s="11" t="s">
        <v>94</v>
      </c>
      <c r="D93" s="11" t="s">
        <v>13</v>
      </c>
      <c r="E93" s="11">
        <v>-13</v>
      </c>
      <c r="F93" s="11">
        <f t="shared" si="3"/>
        <v>-13</v>
      </c>
      <c r="G93" s="11" t="s">
        <v>19</v>
      </c>
      <c r="H93" s="11" t="s">
        <v>95</v>
      </c>
      <c r="I93" s="11" t="s">
        <v>16</v>
      </c>
      <c r="J93" s="11">
        <v>18.5</v>
      </c>
      <c r="K93" s="11">
        <v>31</v>
      </c>
      <c r="L93" s="11"/>
      <c r="M93" s="11">
        <f t="shared" si="2"/>
        <v>240.5</v>
      </c>
      <c r="N93" s="11">
        <f>IF(Table1[[#This Row],[Transaction Type]]="Sale",ABS(E93)*K93,0)</f>
        <v>403</v>
      </c>
      <c r="O93" s="29">
        <f>IF(Table1[[#This Row],[Transaction Type]]="Purchase",E93*J93,0)</f>
        <v>0</v>
      </c>
    </row>
    <row r="94" spans="1:15" x14ac:dyDescent="0.35">
      <c r="A94" s="27" t="s">
        <v>187</v>
      </c>
      <c r="B94" s="12">
        <v>45686</v>
      </c>
      <c r="C94" s="11" t="s">
        <v>94</v>
      </c>
      <c r="D94" s="11" t="s">
        <v>58</v>
      </c>
      <c r="E94" s="11">
        <v>7</v>
      </c>
      <c r="F94" s="11">
        <f t="shared" si="3"/>
        <v>7</v>
      </c>
      <c r="G94" s="11" t="s">
        <v>14</v>
      </c>
      <c r="H94" s="11" t="s">
        <v>95</v>
      </c>
      <c r="I94" s="11" t="s">
        <v>16</v>
      </c>
      <c r="J94" s="11">
        <v>18.5</v>
      </c>
      <c r="K94" s="11">
        <v>31</v>
      </c>
      <c r="L94" s="11"/>
      <c r="M94" s="11">
        <f t="shared" si="2"/>
        <v>129.5</v>
      </c>
      <c r="N94" s="11">
        <f>IF(Table1[[#This Row],[Transaction Type]]="Sale",ABS(E94)*K94,0)</f>
        <v>0</v>
      </c>
      <c r="O94" s="29">
        <f>IF(Table1[[#This Row],[Transaction Type]]="Purchase",E94*J94,0)</f>
        <v>0</v>
      </c>
    </row>
    <row r="95" spans="1:15" x14ac:dyDescent="0.35">
      <c r="A95" s="27" t="s">
        <v>188</v>
      </c>
      <c r="B95" s="12">
        <v>45686</v>
      </c>
      <c r="C95" s="11" t="s">
        <v>60</v>
      </c>
      <c r="D95" s="11" t="s">
        <v>13</v>
      </c>
      <c r="E95" s="11">
        <v>-8</v>
      </c>
      <c r="F95" s="11">
        <f t="shared" si="3"/>
        <v>-8</v>
      </c>
      <c r="G95" s="11" t="s">
        <v>19</v>
      </c>
      <c r="H95" s="11" t="s">
        <v>189</v>
      </c>
      <c r="I95" s="11" t="s">
        <v>62</v>
      </c>
      <c r="J95" s="11">
        <v>3.4</v>
      </c>
      <c r="K95" s="11">
        <v>8</v>
      </c>
      <c r="L95" s="11"/>
      <c r="M95" s="11">
        <f t="shared" si="2"/>
        <v>27.2</v>
      </c>
      <c r="N95" s="11">
        <f>IF(Table1[[#This Row],[Transaction Type]]="Sale",ABS(E95)*K95,0)</f>
        <v>64</v>
      </c>
      <c r="O95" s="29">
        <f>IF(Table1[[#This Row],[Transaction Type]]="Purchase",E95*J95,0)</f>
        <v>0</v>
      </c>
    </row>
    <row r="96" spans="1:15" x14ac:dyDescent="0.35">
      <c r="A96" s="27" t="s">
        <v>190</v>
      </c>
      <c r="B96" s="12">
        <v>45686</v>
      </c>
      <c r="C96" s="11" t="s">
        <v>43</v>
      </c>
      <c r="D96" s="11" t="s">
        <v>40</v>
      </c>
      <c r="E96" s="11">
        <v>86</v>
      </c>
      <c r="F96" s="11">
        <f t="shared" si="3"/>
        <v>86</v>
      </c>
      <c r="G96" s="11" t="s">
        <v>14</v>
      </c>
      <c r="H96" s="11" t="s">
        <v>44</v>
      </c>
      <c r="I96" s="11" t="s">
        <v>45</v>
      </c>
      <c r="J96" s="11">
        <v>5.2</v>
      </c>
      <c r="K96" s="11">
        <v>11</v>
      </c>
      <c r="L96" s="11" t="s">
        <v>191</v>
      </c>
      <c r="M96" s="11">
        <f t="shared" si="2"/>
        <v>447.2</v>
      </c>
      <c r="N96" s="11">
        <f>IF(Table1[[#This Row],[Transaction Type]]="Sale",ABS(E96)*K96,0)</f>
        <v>0</v>
      </c>
      <c r="O96" s="29">
        <f>IF(Table1[[#This Row],[Transaction Type]]="Purchase",E96*J96,0)</f>
        <v>447.2</v>
      </c>
    </row>
    <row r="97" spans="1:15" x14ac:dyDescent="0.35">
      <c r="A97" s="27" t="s">
        <v>192</v>
      </c>
      <c r="B97" s="12">
        <v>45686</v>
      </c>
      <c r="C97" s="11" t="s">
        <v>139</v>
      </c>
      <c r="D97" s="11" t="s">
        <v>13</v>
      </c>
      <c r="E97" s="11">
        <v>-5</v>
      </c>
      <c r="F97" s="11">
        <f t="shared" si="3"/>
        <v>-5</v>
      </c>
      <c r="G97" s="11" t="s">
        <v>24</v>
      </c>
      <c r="H97" s="11" t="s">
        <v>56</v>
      </c>
      <c r="I97" s="11" t="s">
        <v>16</v>
      </c>
      <c r="J97" s="11">
        <v>16.5</v>
      </c>
      <c r="K97" s="11">
        <v>28</v>
      </c>
      <c r="L97" s="11"/>
      <c r="M97" s="11">
        <f t="shared" si="2"/>
        <v>82.5</v>
      </c>
      <c r="N97" s="11">
        <f>IF(Table1[[#This Row],[Transaction Type]]="Sale",ABS(E97)*K97,0)</f>
        <v>140</v>
      </c>
      <c r="O97" s="29">
        <f>IF(Table1[[#This Row],[Transaction Type]]="Purchase",E97*J97,0)</f>
        <v>0</v>
      </c>
    </row>
    <row r="98" spans="1:15" x14ac:dyDescent="0.35">
      <c r="A98" s="27" t="s">
        <v>193</v>
      </c>
      <c r="B98" s="12">
        <v>45687</v>
      </c>
      <c r="C98" s="11" t="s">
        <v>194</v>
      </c>
      <c r="D98" s="11" t="s">
        <v>40</v>
      </c>
      <c r="E98" s="11">
        <v>79</v>
      </c>
      <c r="F98" s="11">
        <f t="shared" si="3"/>
        <v>79</v>
      </c>
      <c r="G98" s="11" t="s">
        <v>24</v>
      </c>
      <c r="H98" s="11" t="s">
        <v>195</v>
      </c>
      <c r="I98" s="11" t="s">
        <v>21</v>
      </c>
      <c r="J98" s="11">
        <v>220</v>
      </c>
      <c r="K98" s="11">
        <v>320</v>
      </c>
      <c r="L98" s="11" t="s">
        <v>196</v>
      </c>
      <c r="M98" s="11">
        <f t="shared" si="2"/>
        <v>17380</v>
      </c>
      <c r="N98" s="11">
        <f>IF(Table1[[#This Row],[Transaction Type]]="Sale",ABS(E98)*K98,0)</f>
        <v>0</v>
      </c>
      <c r="O98" s="29">
        <f>IF(Table1[[#This Row],[Transaction Type]]="Purchase",E98*J98,0)</f>
        <v>17380</v>
      </c>
    </row>
    <row r="99" spans="1:15" x14ac:dyDescent="0.35">
      <c r="A99" s="27" t="s">
        <v>197</v>
      </c>
      <c r="B99" s="12">
        <v>45688</v>
      </c>
      <c r="C99" s="11" t="s">
        <v>98</v>
      </c>
      <c r="D99" s="11" t="s">
        <v>13</v>
      </c>
      <c r="E99" s="11">
        <v>-12</v>
      </c>
      <c r="F99" s="11">
        <f t="shared" si="3"/>
        <v>-12</v>
      </c>
      <c r="G99" s="11" t="s">
        <v>14</v>
      </c>
      <c r="H99" s="11" t="s">
        <v>30</v>
      </c>
      <c r="I99" s="11" t="s">
        <v>16</v>
      </c>
      <c r="J99" s="11">
        <v>16</v>
      </c>
      <c r="K99" s="11">
        <v>29</v>
      </c>
      <c r="L99" s="11"/>
      <c r="M99" s="11">
        <f t="shared" si="2"/>
        <v>192</v>
      </c>
      <c r="N99" s="11">
        <f>IF(Table1[[#This Row],[Transaction Type]]="Sale",ABS(E99)*K99,0)</f>
        <v>348</v>
      </c>
      <c r="O99" s="29">
        <f>IF(Table1[[#This Row],[Transaction Type]]="Purchase",E99*J99,0)</f>
        <v>0</v>
      </c>
    </row>
    <row r="100" spans="1:15" x14ac:dyDescent="0.35">
      <c r="A100" s="27" t="s">
        <v>198</v>
      </c>
      <c r="B100" s="12">
        <v>45688</v>
      </c>
      <c r="C100" s="11" t="s">
        <v>136</v>
      </c>
      <c r="D100" s="11" t="s">
        <v>58</v>
      </c>
      <c r="E100" s="11">
        <v>-5</v>
      </c>
      <c r="F100" s="11">
        <f t="shared" si="3"/>
        <v>-5</v>
      </c>
      <c r="G100" s="11" t="s">
        <v>14</v>
      </c>
      <c r="H100" s="11" t="s">
        <v>33</v>
      </c>
      <c r="I100" s="11" t="s">
        <v>34</v>
      </c>
      <c r="J100" s="11">
        <v>34</v>
      </c>
      <c r="K100" s="11">
        <v>55</v>
      </c>
      <c r="L100" s="11"/>
      <c r="M100" s="11">
        <f t="shared" si="2"/>
        <v>170</v>
      </c>
      <c r="N100" s="11">
        <f>IF(Table1[[#This Row],[Transaction Type]]="Sale",ABS(E100)*K100,0)</f>
        <v>0</v>
      </c>
      <c r="O100" s="29">
        <f>IF(Table1[[#This Row],[Transaction Type]]="Purchase",E100*J100,0)</f>
        <v>0</v>
      </c>
    </row>
    <row r="101" spans="1:15" x14ac:dyDescent="0.35">
      <c r="A101" s="27" t="s">
        <v>199</v>
      </c>
      <c r="B101" s="12">
        <v>45688</v>
      </c>
      <c r="C101" s="11" t="s">
        <v>29</v>
      </c>
      <c r="D101" s="11" t="s">
        <v>13</v>
      </c>
      <c r="E101" s="11">
        <v>-9</v>
      </c>
      <c r="F101" s="11">
        <f t="shared" si="3"/>
        <v>-9</v>
      </c>
      <c r="G101" s="11" t="s">
        <v>24</v>
      </c>
      <c r="H101" s="11" t="s">
        <v>30</v>
      </c>
      <c r="I101" s="11" t="s">
        <v>16</v>
      </c>
      <c r="J101" s="11">
        <v>8.8000000000000007</v>
      </c>
      <c r="K101" s="11">
        <v>17</v>
      </c>
      <c r="L101" s="11"/>
      <c r="M101" s="11">
        <f t="shared" si="2"/>
        <v>79.2</v>
      </c>
      <c r="N101" s="11">
        <f>IF(Table1[[#This Row],[Transaction Type]]="Sale",ABS(E101)*K101,0)</f>
        <v>153</v>
      </c>
      <c r="O101" s="29">
        <f>IF(Table1[[#This Row],[Transaction Type]]="Purchase",E101*J101,0)</f>
        <v>0</v>
      </c>
    </row>
    <row r="102" spans="1:15" x14ac:dyDescent="0.35">
      <c r="A102" s="27" t="s">
        <v>200</v>
      </c>
      <c r="B102" s="12">
        <v>45688</v>
      </c>
      <c r="C102" s="11" t="s">
        <v>69</v>
      </c>
      <c r="D102" s="11" t="s">
        <v>40</v>
      </c>
      <c r="E102" s="11">
        <v>67</v>
      </c>
      <c r="F102" s="11">
        <f t="shared" si="3"/>
        <v>67</v>
      </c>
      <c r="G102" s="11" t="s">
        <v>14</v>
      </c>
      <c r="H102" s="11" t="s">
        <v>70</v>
      </c>
      <c r="I102" s="11" t="s">
        <v>16</v>
      </c>
      <c r="J102" s="11">
        <v>23</v>
      </c>
      <c r="K102" s="11">
        <v>38</v>
      </c>
      <c r="L102" s="11" t="s">
        <v>201</v>
      </c>
      <c r="M102" s="11">
        <f t="shared" si="2"/>
        <v>1541</v>
      </c>
      <c r="N102" s="11">
        <f>IF(Table1[[#This Row],[Transaction Type]]="Sale",ABS(E102)*K102,0)</f>
        <v>0</v>
      </c>
      <c r="O102" s="29">
        <f>IF(Table1[[#This Row],[Transaction Type]]="Purchase",E102*J102,0)</f>
        <v>1541</v>
      </c>
    </row>
    <row r="103" spans="1:15" x14ac:dyDescent="0.35">
      <c r="A103" s="27" t="s">
        <v>202</v>
      </c>
      <c r="B103" s="12">
        <v>45689</v>
      </c>
      <c r="C103" s="11" t="s">
        <v>23</v>
      </c>
      <c r="D103" s="11" t="s">
        <v>40</v>
      </c>
      <c r="E103" s="11">
        <v>23</v>
      </c>
      <c r="F103" s="11">
        <f t="shared" si="3"/>
        <v>23</v>
      </c>
      <c r="G103" s="11" t="s">
        <v>14</v>
      </c>
      <c r="H103" s="11" t="s">
        <v>25</v>
      </c>
      <c r="I103" s="11" t="s">
        <v>26</v>
      </c>
      <c r="J103" s="11">
        <v>3</v>
      </c>
      <c r="K103" s="11">
        <v>7</v>
      </c>
      <c r="L103" s="11" t="s">
        <v>203</v>
      </c>
      <c r="M103" s="11">
        <f t="shared" si="2"/>
        <v>69</v>
      </c>
      <c r="N103" s="11">
        <f>IF(Table1[[#This Row],[Transaction Type]]="Sale",ABS(E103)*K103,0)</f>
        <v>0</v>
      </c>
      <c r="O103" s="29">
        <f>IF(Table1[[#This Row],[Transaction Type]]="Purchase",E103*J103,0)</f>
        <v>69</v>
      </c>
    </row>
    <row r="104" spans="1:15" x14ac:dyDescent="0.35">
      <c r="A104" s="27" t="s">
        <v>204</v>
      </c>
      <c r="B104" s="12">
        <v>45689</v>
      </c>
      <c r="C104" s="11" t="s">
        <v>12</v>
      </c>
      <c r="D104" s="11" t="s">
        <v>40</v>
      </c>
      <c r="E104" s="11">
        <v>104</v>
      </c>
      <c r="F104" s="11">
        <f t="shared" si="3"/>
        <v>104</v>
      </c>
      <c r="G104" s="11" t="s">
        <v>14</v>
      </c>
      <c r="H104" s="11" t="s">
        <v>15</v>
      </c>
      <c r="I104" s="11" t="s">
        <v>16</v>
      </c>
      <c r="J104" s="11">
        <v>13.5</v>
      </c>
      <c r="K104" s="11">
        <v>24</v>
      </c>
      <c r="L104" s="11" t="s">
        <v>205</v>
      </c>
      <c r="M104" s="11">
        <f t="shared" si="2"/>
        <v>1404</v>
      </c>
      <c r="N104" s="11">
        <f>IF(Table1[[#This Row],[Transaction Type]]="Sale",ABS(E104)*K104,0)</f>
        <v>0</v>
      </c>
      <c r="O104" s="29">
        <f>IF(Table1[[#This Row],[Transaction Type]]="Purchase",E104*J104,0)</f>
        <v>1404</v>
      </c>
    </row>
    <row r="105" spans="1:15" x14ac:dyDescent="0.35">
      <c r="A105" s="27" t="s">
        <v>206</v>
      </c>
      <c r="B105" s="12">
        <v>45689</v>
      </c>
      <c r="C105" s="11" t="s">
        <v>36</v>
      </c>
      <c r="D105" s="11" t="s">
        <v>13</v>
      </c>
      <c r="E105" s="11">
        <v>-4</v>
      </c>
      <c r="F105" s="11">
        <f t="shared" si="3"/>
        <v>-4</v>
      </c>
      <c r="G105" s="11" t="s">
        <v>24</v>
      </c>
      <c r="H105" s="11" t="s">
        <v>37</v>
      </c>
      <c r="I105" s="11" t="s">
        <v>16</v>
      </c>
      <c r="J105" s="11">
        <v>7.2</v>
      </c>
      <c r="K105" s="11">
        <v>12.5</v>
      </c>
      <c r="L105" s="11"/>
      <c r="M105" s="11">
        <f t="shared" si="2"/>
        <v>28.8</v>
      </c>
      <c r="N105" s="11">
        <f>IF(Table1[[#This Row],[Transaction Type]]="Sale",ABS(E105)*K105,0)</f>
        <v>50</v>
      </c>
      <c r="O105" s="29">
        <f>IF(Table1[[#This Row],[Transaction Type]]="Purchase",E105*J105,0)</f>
        <v>0</v>
      </c>
    </row>
    <row r="106" spans="1:15" x14ac:dyDescent="0.35">
      <c r="A106" s="27" t="s">
        <v>207</v>
      </c>
      <c r="B106" s="12">
        <v>45689</v>
      </c>
      <c r="C106" s="11" t="s">
        <v>12</v>
      </c>
      <c r="D106" s="11" t="s">
        <v>13</v>
      </c>
      <c r="E106" s="11">
        <v>-14</v>
      </c>
      <c r="F106" s="11">
        <f t="shared" si="3"/>
        <v>-14</v>
      </c>
      <c r="G106" s="11" t="s">
        <v>14</v>
      </c>
      <c r="H106" s="11" t="s">
        <v>15</v>
      </c>
      <c r="I106" s="11" t="s">
        <v>16</v>
      </c>
      <c r="J106" s="11">
        <v>13.5</v>
      </c>
      <c r="K106" s="11">
        <v>24</v>
      </c>
      <c r="L106" s="11"/>
      <c r="M106" s="11">
        <f t="shared" si="2"/>
        <v>189</v>
      </c>
      <c r="N106" s="11">
        <f>IF(Table1[[#This Row],[Transaction Type]]="Sale",ABS(E106)*K106,0)</f>
        <v>336</v>
      </c>
      <c r="O106" s="29">
        <f>IF(Table1[[#This Row],[Transaction Type]]="Purchase",E106*J106,0)</f>
        <v>0</v>
      </c>
    </row>
    <row r="107" spans="1:15" x14ac:dyDescent="0.35">
      <c r="A107" s="27" t="s">
        <v>208</v>
      </c>
      <c r="B107" s="12">
        <v>45691</v>
      </c>
      <c r="C107" s="11" t="s">
        <v>81</v>
      </c>
      <c r="D107" s="11" t="s">
        <v>40</v>
      </c>
      <c r="E107" s="11">
        <v>54</v>
      </c>
      <c r="F107" s="11">
        <f t="shared" si="3"/>
        <v>54</v>
      </c>
      <c r="G107" s="11" t="s">
        <v>14</v>
      </c>
      <c r="H107" s="11" t="s">
        <v>30</v>
      </c>
      <c r="I107" s="11" t="s">
        <v>16</v>
      </c>
      <c r="J107" s="11">
        <v>8</v>
      </c>
      <c r="K107" s="11">
        <v>15</v>
      </c>
      <c r="L107" s="11" t="s">
        <v>209</v>
      </c>
      <c r="M107" s="11">
        <f t="shared" si="2"/>
        <v>432</v>
      </c>
      <c r="N107" s="11">
        <f>IF(Table1[[#This Row],[Transaction Type]]="Sale",ABS(E107)*K107,0)</f>
        <v>0</v>
      </c>
      <c r="O107" s="29">
        <f>IF(Table1[[#This Row],[Transaction Type]]="Purchase",E107*J107,0)</f>
        <v>432</v>
      </c>
    </row>
    <row r="108" spans="1:15" x14ac:dyDescent="0.35">
      <c r="A108" s="27" t="s">
        <v>210</v>
      </c>
      <c r="B108" s="12">
        <v>45693</v>
      </c>
      <c r="C108" s="11" t="s">
        <v>12</v>
      </c>
      <c r="D108" s="11" t="s">
        <v>58</v>
      </c>
      <c r="E108" s="11">
        <v>-19</v>
      </c>
      <c r="F108" s="11">
        <f t="shared" si="3"/>
        <v>-19</v>
      </c>
      <c r="G108" s="11" t="s">
        <v>24</v>
      </c>
      <c r="H108" s="11" t="s">
        <v>15</v>
      </c>
      <c r="I108" s="11" t="s">
        <v>16</v>
      </c>
      <c r="J108" s="11">
        <v>13.5</v>
      </c>
      <c r="K108" s="11">
        <v>24</v>
      </c>
      <c r="L108" s="11"/>
      <c r="M108" s="11">
        <f t="shared" si="2"/>
        <v>256.5</v>
      </c>
      <c r="N108" s="11">
        <f>IF(Table1[[#This Row],[Transaction Type]]="Sale",ABS(E108)*K108,0)</f>
        <v>0</v>
      </c>
      <c r="O108" s="29">
        <f>IF(Table1[[#This Row],[Transaction Type]]="Purchase",E108*J108,0)</f>
        <v>0</v>
      </c>
    </row>
    <row r="109" spans="1:15" x14ac:dyDescent="0.35">
      <c r="A109" s="27" t="s">
        <v>211</v>
      </c>
      <c r="B109" s="12">
        <v>45694</v>
      </c>
      <c r="C109" s="11" t="s">
        <v>48</v>
      </c>
      <c r="D109" s="11" t="s">
        <v>13</v>
      </c>
      <c r="E109" s="11">
        <v>-13</v>
      </c>
      <c r="F109" s="11">
        <f t="shared" si="3"/>
        <v>-13</v>
      </c>
      <c r="G109" s="11" t="s">
        <v>19</v>
      </c>
      <c r="H109" s="11" t="s">
        <v>49</v>
      </c>
      <c r="I109" s="11" t="s">
        <v>21</v>
      </c>
      <c r="J109" s="11">
        <v>8.5</v>
      </c>
      <c r="K109" s="11">
        <v>18</v>
      </c>
      <c r="L109" s="11"/>
      <c r="M109" s="11">
        <f t="shared" si="2"/>
        <v>110.5</v>
      </c>
      <c r="N109" s="11">
        <f>IF(Table1[[#This Row],[Transaction Type]]="Sale",ABS(E109)*K109,0)</f>
        <v>234</v>
      </c>
      <c r="O109" s="29">
        <f>IF(Table1[[#This Row],[Transaction Type]]="Purchase",E109*J109,0)</f>
        <v>0</v>
      </c>
    </row>
    <row r="110" spans="1:15" x14ac:dyDescent="0.35">
      <c r="A110" s="27" t="s">
        <v>212</v>
      </c>
      <c r="B110" s="12">
        <v>45694</v>
      </c>
      <c r="C110" s="11" t="s">
        <v>69</v>
      </c>
      <c r="D110" s="11" t="s">
        <v>13</v>
      </c>
      <c r="E110" s="11">
        <v>-2</v>
      </c>
      <c r="F110" s="11">
        <f t="shared" si="3"/>
        <v>-2</v>
      </c>
      <c r="G110" s="11" t="s">
        <v>24</v>
      </c>
      <c r="H110" s="11" t="s">
        <v>70</v>
      </c>
      <c r="I110" s="11" t="s">
        <v>16</v>
      </c>
      <c r="J110" s="11">
        <v>23</v>
      </c>
      <c r="K110" s="11">
        <v>38</v>
      </c>
      <c r="L110" s="11"/>
      <c r="M110" s="11">
        <f t="shared" si="2"/>
        <v>46</v>
      </c>
      <c r="N110" s="11">
        <f>IF(Table1[[#This Row],[Transaction Type]]="Sale",ABS(E110)*K110,0)</f>
        <v>76</v>
      </c>
      <c r="O110" s="29">
        <f>IF(Table1[[#This Row],[Transaction Type]]="Purchase",E110*J110,0)</f>
        <v>0</v>
      </c>
    </row>
    <row r="111" spans="1:15" x14ac:dyDescent="0.35">
      <c r="A111" s="27" t="s">
        <v>213</v>
      </c>
      <c r="B111" s="12">
        <v>45695</v>
      </c>
      <c r="C111" s="11" t="s">
        <v>109</v>
      </c>
      <c r="D111" s="11" t="s">
        <v>13</v>
      </c>
      <c r="E111" s="11">
        <v>-5</v>
      </c>
      <c r="F111" s="11">
        <f t="shared" si="3"/>
        <v>-5</v>
      </c>
      <c r="G111" s="11" t="s">
        <v>14</v>
      </c>
      <c r="H111" s="11" t="s">
        <v>110</v>
      </c>
      <c r="I111" s="11" t="s">
        <v>26</v>
      </c>
      <c r="J111" s="11">
        <v>105</v>
      </c>
      <c r="K111" s="11">
        <v>165</v>
      </c>
      <c r="L111" s="11"/>
      <c r="M111" s="11">
        <f t="shared" si="2"/>
        <v>525</v>
      </c>
      <c r="N111" s="11">
        <f>IF(Table1[[#This Row],[Transaction Type]]="Sale",ABS(E111)*K111,0)</f>
        <v>825</v>
      </c>
      <c r="O111" s="29">
        <f>IF(Table1[[#This Row],[Transaction Type]]="Purchase",E111*J111,0)</f>
        <v>0</v>
      </c>
    </row>
    <row r="112" spans="1:15" x14ac:dyDescent="0.35">
      <c r="A112" s="27" t="s">
        <v>214</v>
      </c>
      <c r="B112" s="12">
        <v>45695</v>
      </c>
      <c r="C112" s="11" t="s">
        <v>60</v>
      </c>
      <c r="D112" s="11" t="s">
        <v>13</v>
      </c>
      <c r="E112" s="11">
        <v>-10</v>
      </c>
      <c r="F112" s="11">
        <f t="shared" si="3"/>
        <v>-10</v>
      </c>
      <c r="G112" s="11" t="s">
        <v>14</v>
      </c>
      <c r="H112" s="11" t="s">
        <v>61</v>
      </c>
      <c r="I112" s="11" t="s">
        <v>62</v>
      </c>
      <c r="J112" s="11">
        <v>3.4</v>
      </c>
      <c r="K112" s="11">
        <v>8</v>
      </c>
      <c r="L112" s="11"/>
      <c r="M112" s="11">
        <f t="shared" si="2"/>
        <v>34</v>
      </c>
      <c r="N112" s="11">
        <f>IF(Table1[[#This Row],[Transaction Type]]="Sale",ABS(E112)*K112,0)</f>
        <v>80</v>
      </c>
      <c r="O112" s="29">
        <f>IF(Table1[[#This Row],[Transaction Type]]="Purchase",E112*J112,0)</f>
        <v>0</v>
      </c>
    </row>
    <row r="113" spans="1:15" x14ac:dyDescent="0.35">
      <c r="A113" s="27" t="s">
        <v>215</v>
      </c>
      <c r="B113" s="12">
        <v>45695</v>
      </c>
      <c r="C113" s="11" t="s">
        <v>48</v>
      </c>
      <c r="D113" s="11" t="s">
        <v>13</v>
      </c>
      <c r="E113" s="11">
        <v>-2</v>
      </c>
      <c r="F113" s="11">
        <f t="shared" si="3"/>
        <v>-2</v>
      </c>
      <c r="G113" s="11" t="s">
        <v>14</v>
      </c>
      <c r="H113" s="11" t="s">
        <v>49</v>
      </c>
      <c r="I113" s="11" t="s">
        <v>21</v>
      </c>
      <c r="J113" s="11">
        <v>8.5</v>
      </c>
      <c r="K113" s="11">
        <v>18</v>
      </c>
      <c r="L113" s="11"/>
      <c r="M113" s="11">
        <f t="shared" si="2"/>
        <v>17</v>
      </c>
      <c r="N113" s="11">
        <f>IF(Table1[[#This Row],[Transaction Type]]="Sale",ABS(E113)*K113,0)</f>
        <v>36</v>
      </c>
      <c r="O113" s="29">
        <f>IF(Table1[[#This Row],[Transaction Type]]="Purchase",E113*J113,0)</f>
        <v>0</v>
      </c>
    </row>
    <row r="114" spans="1:15" x14ac:dyDescent="0.35">
      <c r="A114" s="27" t="s">
        <v>216</v>
      </c>
      <c r="B114" s="12">
        <v>45696</v>
      </c>
      <c r="C114" s="11" t="s">
        <v>170</v>
      </c>
      <c r="D114" s="11" t="s">
        <v>13</v>
      </c>
      <c r="E114" s="11">
        <v>-5</v>
      </c>
      <c r="F114" s="11">
        <f t="shared" si="3"/>
        <v>-5</v>
      </c>
      <c r="G114" s="11" t="s">
        <v>24</v>
      </c>
      <c r="H114" s="11" t="s">
        <v>171</v>
      </c>
      <c r="I114" s="11" t="s">
        <v>34</v>
      </c>
      <c r="J114" s="11">
        <v>25</v>
      </c>
      <c r="K114" s="11">
        <v>45</v>
      </c>
      <c r="L114" s="11"/>
      <c r="M114" s="11">
        <f t="shared" si="2"/>
        <v>125</v>
      </c>
      <c r="N114" s="11">
        <f>IF(Table1[[#This Row],[Transaction Type]]="Sale",ABS(E114)*K114,0)</f>
        <v>225</v>
      </c>
      <c r="O114" s="29">
        <f>IF(Table1[[#This Row],[Transaction Type]]="Purchase",E114*J114,0)</f>
        <v>0</v>
      </c>
    </row>
    <row r="115" spans="1:15" x14ac:dyDescent="0.35">
      <c r="A115" s="27" t="s">
        <v>217</v>
      </c>
      <c r="B115" s="12">
        <v>45696</v>
      </c>
      <c r="C115" s="11" t="s">
        <v>141</v>
      </c>
      <c r="D115" s="11" t="s">
        <v>40</v>
      </c>
      <c r="E115" s="11">
        <v>70</v>
      </c>
      <c r="F115" s="11">
        <f t="shared" si="3"/>
        <v>70</v>
      </c>
      <c r="G115" s="11" t="s">
        <v>24</v>
      </c>
      <c r="H115" s="11" t="s">
        <v>25</v>
      </c>
      <c r="I115" s="11" t="s">
        <v>26</v>
      </c>
      <c r="J115" s="11">
        <v>4</v>
      </c>
      <c r="K115" s="11">
        <v>9</v>
      </c>
      <c r="L115" s="11" t="s">
        <v>218</v>
      </c>
      <c r="M115" s="11">
        <f t="shared" si="2"/>
        <v>280</v>
      </c>
      <c r="N115" s="11">
        <f>IF(Table1[[#This Row],[Transaction Type]]="Sale",ABS(E115)*K115,0)</f>
        <v>0</v>
      </c>
      <c r="O115" s="29">
        <f>IF(Table1[[#This Row],[Transaction Type]]="Purchase",E115*J115,0)</f>
        <v>280</v>
      </c>
    </row>
    <row r="116" spans="1:15" x14ac:dyDescent="0.35">
      <c r="A116" s="27" t="s">
        <v>219</v>
      </c>
      <c r="B116" s="12">
        <v>45696</v>
      </c>
      <c r="C116" s="11" t="s">
        <v>52</v>
      </c>
      <c r="D116" s="11" t="s">
        <v>66</v>
      </c>
      <c r="E116" s="11">
        <v>4</v>
      </c>
      <c r="F116" s="11">
        <f t="shared" si="3"/>
        <v>4</v>
      </c>
      <c r="G116" s="11" t="s">
        <v>19</v>
      </c>
      <c r="H116" s="11" t="s">
        <v>20</v>
      </c>
      <c r="I116" s="11" t="s">
        <v>21</v>
      </c>
      <c r="J116" s="11">
        <v>5.5</v>
      </c>
      <c r="K116" s="11">
        <v>12</v>
      </c>
      <c r="L116" s="11"/>
      <c r="M116" s="11">
        <f t="shared" si="2"/>
        <v>22</v>
      </c>
      <c r="N116" s="11">
        <f>IF(Table1[[#This Row],[Transaction Type]]="Sale",ABS(E116)*K116,0)</f>
        <v>0</v>
      </c>
      <c r="O116" s="29">
        <f>IF(Table1[[#This Row],[Transaction Type]]="Purchase",E116*J116,0)</f>
        <v>0</v>
      </c>
    </row>
    <row r="117" spans="1:15" x14ac:dyDescent="0.35">
      <c r="A117" s="27" t="s">
        <v>220</v>
      </c>
      <c r="B117" s="12">
        <v>45696</v>
      </c>
      <c r="C117" s="11" t="s">
        <v>18</v>
      </c>
      <c r="D117" s="11" t="s">
        <v>13</v>
      </c>
      <c r="E117" s="11">
        <v>-15</v>
      </c>
      <c r="F117" s="11">
        <f t="shared" si="3"/>
        <v>-15</v>
      </c>
      <c r="G117" s="11" t="s">
        <v>14</v>
      </c>
      <c r="H117" s="11" t="s">
        <v>20</v>
      </c>
      <c r="I117" s="11" t="s">
        <v>21</v>
      </c>
      <c r="J117" s="11">
        <v>2.6</v>
      </c>
      <c r="K117" s="11">
        <v>5.5</v>
      </c>
      <c r="L117" s="11"/>
      <c r="M117" s="11">
        <f t="shared" si="2"/>
        <v>39</v>
      </c>
      <c r="N117" s="11">
        <f>IF(Table1[[#This Row],[Transaction Type]]="Sale",ABS(E117)*K117,0)</f>
        <v>82.5</v>
      </c>
      <c r="O117" s="29">
        <f>IF(Table1[[#This Row],[Transaction Type]]="Purchase",E117*J117,0)</f>
        <v>0</v>
      </c>
    </row>
    <row r="118" spans="1:15" x14ac:dyDescent="0.35">
      <c r="A118" s="27" t="s">
        <v>221</v>
      </c>
      <c r="B118" s="12">
        <v>45696</v>
      </c>
      <c r="C118" s="11" t="s">
        <v>36</v>
      </c>
      <c r="D118" s="11" t="s">
        <v>40</v>
      </c>
      <c r="E118" s="11">
        <v>36</v>
      </c>
      <c r="F118" s="11">
        <f t="shared" si="3"/>
        <v>36</v>
      </c>
      <c r="G118" s="11" t="s">
        <v>14</v>
      </c>
      <c r="H118" s="11" t="s">
        <v>37</v>
      </c>
      <c r="I118" s="11" t="s">
        <v>16</v>
      </c>
      <c r="J118" s="11">
        <v>7.2</v>
      </c>
      <c r="K118" s="11">
        <v>12.5</v>
      </c>
      <c r="L118" s="11" t="s">
        <v>222</v>
      </c>
      <c r="M118" s="11">
        <f t="shared" si="2"/>
        <v>259.2</v>
      </c>
      <c r="N118" s="11">
        <f>IF(Table1[[#This Row],[Transaction Type]]="Sale",ABS(E118)*K118,0)</f>
        <v>0</v>
      </c>
      <c r="O118" s="29">
        <f>IF(Table1[[#This Row],[Transaction Type]]="Purchase",E118*J118,0)</f>
        <v>259.2</v>
      </c>
    </row>
    <row r="119" spans="1:15" x14ac:dyDescent="0.35">
      <c r="A119" s="27" t="s">
        <v>223</v>
      </c>
      <c r="B119" s="12">
        <v>45697</v>
      </c>
      <c r="C119" s="11" t="s">
        <v>52</v>
      </c>
      <c r="D119" s="11" t="s">
        <v>40</v>
      </c>
      <c r="E119" s="11">
        <v>59</v>
      </c>
      <c r="F119" s="11">
        <f t="shared" si="3"/>
        <v>59</v>
      </c>
      <c r="G119" s="11" t="s">
        <v>19</v>
      </c>
      <c r="H119" s="11" t="s">
        <v>20</v>
      </c>
      <c r="I119" s="11" t="s">
        <v>21</v>
      </c>
      <c r="J119" s="11">
        <v>5.5</v>
      </c>
      <c r="K119" s="11">
        <v>12</v>
      </c>
      <c r="L119" s="11" t="s">
        <v>224</v>
      </c>
      <c r="M119" s="11">
        <f t="shared" si="2"/>
        <v>324.5</v>
      </c>
      <c r="N119" s="11">
        <f>IF(Table1[[#This Row],[Transaction Type]]="Sale",ABS(E119)*K119,0)</f>
        <v>0</v>
      </c>
      <c r="O119" s="29">
        <f>IF(Table1[[#This Row],[Transaction Type]]="Purchase",E119*J119,0)</f>
        <v>324.5</v>
      </c>
    </row>
    <row r="120" spans="1:15" x14ac:dyDescent="0.35">
      <c r="A120" s="27" t="s">
        <v>225</v>
      </c>
      <c r="B120" s="12">
        <v>45697</v>
      </c>
      <c r="C120" s="11" t="s">
        <v>87</v>
      </c>
      <c r="D120" s="11" t="s">
        <v>13</v>
      </c>
      <c r="E120" s="11">
        <v>-11</v>
      </c>
      <c r="F120" s="11">
        <f t="shared" si="3"/>
        <v>-11</v>
      </c>
      <c r="G120" s="11" t="s">
        <v>24</v>
      </c>
      <c r="H120" s="11" t="s">
        <v>88</v>
      </c>
      <c r="I120" s="11" t="s">
        <v>16</v>
      </c>
      <c r="J120" s="11">
        <v>6</v>
      </c>
      <c r="K120" s="11">
        <v>14</v>
      </c>
      <c r="L120" s="11"/>
      <c r="M120" s="11">
        <f t="shared" si="2"/>
        <v>66</v>
      </c>
      <c r="N120" s="11">
        <f>IF(Table1[[#This Row],[Transaction Type]]="Sale",ABS(E120)*K120,0)</f>
        <v>154</v>
      </c>
      <c r="O120" s="29">
        <f>IF(Table1[[#This Row],[Transaction Type]]="Purchase",E120*J120,0)</f>
        <v>0</v>
      </c>
    </row>
    <row r="121" spans="1:15" x14ac:dyDescent="0.35">
      <c r="A121" s="27" t="s">
        <v>226</v>
      </c>
      <c r="B121" s="12">
        <v>45698</v>
      </c>
      <c r="C121" s="11" t="s">
        <v>227</v>
      </c>
      <c r="D121" s="11" t="s">
        <v>13</v>
      </c>
      <c r="E121" s="11">
        <v>-3</v>
      </c>
      <c r="F121" s="11">
        <f t="shared" si="3"/>
        <v>-3</v>
      </c>
      <c r="G121" s="11" t="s">
        <v>14</v>
      </c>
      <c r="H121" s="11" t="s">
        <v>228</v>
      </c>
      <c r="I121" s="11" t="s">
        <v>16</v>
      </c>
      <c r="J121" s="11">
        <v>78</v>
      </c>
      <c r="K121" s="11">
        <v>125</v>
      </c>
      <c r="L121" s="11"/>
      <c r="M121" s="11">
        <f t="shared" si="2"/>
        <v>234</v>
      </c>
      <c r="N121" s="11">
        <f>IF(Table1[[#This Row],[Transaction Type]]="Sale",ABS(E121)*K121,0)</f>
        <v>375</v>
      </c>
      <c r="O121" s="29">
        <f>IF(Table1[[#This Row],[Transaction Type]]="Purchase",E121*J121,0)</f>
        <v>0</v>
      </c>
    </row>
    <row r="122" spans="1:15" x14ac:dyDescent="0.35">
      <c r="A122" s="27" t="s">
        <v>229</v>
      </c>
      <c r="B122" s="12">
        <v>45698</v>
      </c>
      <c r="C122" s="11" t="s">
        <v>29</v>
      </c>
      <c r="D122" s="11" t="s">
        <v>40</v>
      </c>
      <c r="E122" s="11">
        <v>42</v>
      </c>
      <c r="F122" s="11">
        <f t="shared" si="3"/>
        <v>42</v>
      </c>
      <c r="G122" s="11" t="s">
        <v>14</v>
      </c>
      <c r="H122" s="11" t="s">
        <v>30</v>
      </c>
      <c r="I122" s="11" t="s">
        <v>16</v>
      </c>
      <c r="J122" s="11">
        <v>8.8000000000000007</v>
      </c>
      <c r="K122" s="11">
        <v>17</v>
      </c>
      <c r="L122" s="11" t="s">
        <v>230</v>
      </c>
      <c r="M122" s="11">
        <f t="shared" si="2"/>
        <v>369.6</v>
      </c>
      <c r="N122" s="11">
        <f>IF(Table1[[#This Row],[Transaction Type]]="Sale",ABS(E122)*K122,0)</f>
        <v>0</v>
      </c>
      <c r="O122" s="29">
        <f>IF(Table1[[#This Row],[Transaction Type]]="Purchase",E122*J122,0)</f>
        <v>369.6</v>
      </c>
    </row>
    <row r="123" spans="1:15" x14ac:dyDescent="0.35">
      <c r="A123" s="27" t="s">
        <v>231</v>
      </c>
      <c r="B123" s="12">
        <v>45699</v>
      </c>
      <c r="C123" s="11" t="s">
        <v>139</v>
      </c>
      <c r="D123" s="11" t="s">
        <v>66</v>
      </c>
      <c r="E123" s="11">
        <v>4</v>
      </c>
      <c r="F123" s="11">
        <f t="shared" si="3"/>
        <v>4</v>
      </c>
      <c r="G123" s="11" t="s">
        <v>19</v>
      </c>
      <c r="H123" s="11" t="s">
        <v>56</v>
      </c>
      <c r="I123" s="11" t="s">
        <v>16</v>
      </c>
      <c r="J123" s="11">
        <v>16.5</v>
      </c>
      <c r="K123" s="11">
        <v>28</v>
      </c>
      <c r="L123" s="11"/>
      <c r="M123" s="11">
        <f t="shared" si="2"/>
        <v>66</v>
      </c>
      <c r="N123" s="11">
        <f>IF(Table1[[#This Row],[Transaction Type]]="Sale",ABS(E123)*K123,0)</f>
        <v>0</v>
      </c>
      <c r="O123" s="29">
        <f>IF(Table1[[#This Row],[Transaction Type]]="Purchase",E123*J123,0)</f>
        <v>0</v>
      </c>
    </row>
    <row r="124" spans="1:15" x14ac:dyDescent="0.35">
      <c r="A124" s="27" t="s">
        <v>232</v>
      </c>
      <c r="B124" s="12">
        <v>45699</v>
      </c>
      <c r="C124" s="11" t="s">
        <v>60</v>
      </c>
      <c r="D124" s="11" t="s">
        <v>58</v>
      </c>
      <c r="E124" s="11">
        <v>-20</v>
      </c>
      <c r="F124" s="11">
        <f t="shared" si="3"/>
        <v>-20</v>
      </c>
      <c r="G124" s="11" t="s">
        <v>19</v>
      </c>
      <c r="H124" s="11" t="s">
        <v>61</v>
      </c>
      <c r="I124" s="11" t="s">
        <v>62</v>
      </c>
      <c r="J124" s="11">
        <v>3.4</v>
      </c>
      <c r="K124" s="11">
        <v>8</v>
      </c>
      <c r="L124" s="11"/>
      <c r="M124" s="11">
        <f t="shared" si="2"/>
        <v>68</v>
      </c>
      <c r="N124" s="11">
        <f>IF(Table1[[#This Row],[Transaction Type]]="Sale",ABS(E124)*K124,0)</f>
        <v>0</v>
      </c>
      <c r="O124" s="29">
        <f>IF(Table1[[#This Row],[Transaction Type]]="Purchase",E124*J124,0)</f>
        <v>0</v>
      </c>
    </row>
    <row r="125" spans="1:15" x14ac:dyDescent="0.35">
      <c r="A125" s="27" t="s">
        <v>233</v>
      </c>
      <c r="B125" s="12">
        <v>45699</v>
      </c>
      <c r="C125" s="11" t="s">
        <v>32</v>
      </c>
      <c r="D125" s="11" t="s">
        <v>13</v>
      </c>
      <c r="E125" s="11">
        <v>-11</v>
      </c>
      <c r="F125" s="11">
        <f t="shared" si="3"/>
        <v>-11</v>
      </c>
      <c r="G125" s="11" t="s">
        <v>14</v>
      </c>
      <c r="H125" s="11" t="s">
        <v>33</v>
      </c>
      <c r="I125" s="11" t="s">
        <v>34</v>
      </c>
      <c r="J125" s="11">
        <v>20</v>
      </c>
      <c r="K125" s="11">
        <v>35</v>
      </c>
      <c r="L125" s="11"/>
      <c r="M125" s="11">
        <f t="shared" si="2"/>
        <v>220</v>
      </c>
      <c r="N125" s="11">
        <f>IF(Table1[[#This Row],[Transaction Type]]="Sale",ABS(E125)*K125,0)</f>
        <v>385</v>
      </c>
      <c r="O125" s="29">
        <f>IF(Table1[[#This Row],[Transaction Type]]="Purchase",E125*J125,0)</f>
        <v>0</v>
      </c>
    </row>
    <row r="126" spans="1:15" x14ac:dyDescent="0.35">
      <c r="A126" s="27" t="s">
        <v>234</v>
      </c>
      <c r="B126" s="12">
        <v>45699</v>
      </c>
      <c r="C126" s="11" t="s">
        <v>36</v>
      </c>
      <c r="D126" s="11" t="s">
        <v>58</v>
      </c>
      <c r="E126" s="11">
        <v>7</v>
      </c>
      <c r="F126" s="11">
        <f t="shared" si="3"/>
        <v>7</v>
      </c>
      <c r="G126" s="11" t="s">
        <v>24</v>
      </c>
      <c r="H126" s="11" t="s">
        <v>37</v>
      </c>
      <c r="I126" s="11" t="s">
        <v>16</v>
      </c>
      <c r="J126" s="11">
        <v>7.2</v>
      </c>
      <c r="K126" s="11">
        <v>12.5</v>
      </c>
      <c r="L126" s="11"/>
      <c r="M126" s="11">
        <f t="shared" si="2"/>
        <v>50.4</v>
      </c>
      <c r="N126" s="11">
        <f>IF(Table1[[#This Row],[Transaction Type]]="Sale",ABS(E126)*K126,0)</f>
        <v>0</v>
      </c>
      <c r="O126" s="29">
        <f>IF(Table1[[#This Row],[Transaction Type]]="Purchase",E126*J126,0)</f>
        <v>0</v>
      </c>
    </row>
    <row r="127" spans="1:15" x14ac:dyDescent="0.35">
      <c r="A127" s="27" t="s">
        <v>235</v>
      </c>
      <c r="B127" s="12">
        <v>45699</v>
      </c>
      <c r="C127" s="11" t="s">
        <v>83</v>
      </c>
      <c r="D127" s="11" t="s">
        <v>13</v>
      </c>
      <c r="E127" s="11">
        <v>-12</v>
      </c>
      <c r="F127" s="11">
        <f t="shared" si="3"/>
        <v>-12</v>
      </c>
      <c r="G127" s="11" t="s">
        <v>24</v>
      </c>
      <c r="H127" s="11" t="s">
        <v>84</v>
      </c>
      <c r="I127" s="11" t="s">
        <v>45</v>
      </c>
      <c r="J127" s="11">
        <v>130</v>
      </c>
      <c r="K127" s="11">
        <v>185</v>
      </c>
      <c r="L127" s="11"/>
      <c r="M127" s="11">
        <f t="shared" si="2"/>
        <v>1560</v>
      </c>
      <c r="N127" s="11">
        <f>IF(Table1[[#This Row],[Transaction Type]]="Sale",ABS(E127)*K127,0)</f>
        <v>2220</v>
      </c>
      <c r="O127" s="29">
        <f>IF(Table1[[#This Row],[Transaction Type]]="Purchase",E127*J127,0)</f>
        <v>0</v>
      </c>
    </row>
    <row r="128" spans="1:15" x14ac:dyDescent="0.35">
      <c r="A128" s="27" t="s">
        <v>236</v>
      </c>
      <c r="B128" s="12">
        <v>45699</v>
      </c>
      <c r="C128" s="11" t="s">
        <v>43</v>
      </c>
      <c r="D128" s="11" t="s">
        <v>40</v>
      </c>
      <c r="E128" s="11">
        <v>35</v>
      </c>
      <c r="F128" s="11">
        <f t="shared" si="3"/>
        <v>35</v>
      </c>
      <c r="G128" s="11" t="s">
        <v>14</v>
      </c>
      <c r="H128" s="11" t="s">
        <v>44</v>
      </c>
      <c r="I128" s="11" t="s">
        <v>45</v>
      </c>
      <c r="J128" s="11">
        <v>5.2</v>
      </c>
      <c r="K128" s="11">
        <v>11</v>
      </c>
      <c r="L128" s="11" t="s">
        <v>237</v>
      </c>
      <c r="M128" s="11">
        <f t="shared" si="2"/>
        <v>182</v>
      </c>
      <c r="N128" s="11">
        <f>IF(Table1[[#This Row],[Transaction Type]]="Sale",ABS(E128)*K128,0)</f>
        <v>0</v>
      </c>
      <c r="O128" s="29">
        <f>IF(Table1[[#This Row],[Transaction Type]]="Purchase",E128*J128,0)</f>
        <v>182</v>
      </c>
    </row>
    <row r="129" spans="1:15" x14ac:dyDescent="0.35">
      <c r="A129" s="27" t="s">
        <v>238</v>
      </c>
      <c r="B129" s="12">
        <v>45700</v>
      </c>
      <c r="C129" s="11" t="s">
        <v>87</v>
      </c>
      <c r="D129" s="11" t="s">
        <v>13</v>
      </c>
      <c r="E129" s="11">
        <v>-11</v>
      </c>
      <c r="F129" s="11">
        <f t="shared" si="3"/>
        <v>-11</v>
      </c>
      <c r="G129" s="11" t="s">
        <v>24</v>
      </c>
      <c r="H129" s="11" t="s">
        <v>88</v>
      </c>
      <c r="I129" s="11" t="s">
        <v>16</v>
      </c>
      <c r="J129" s="11">
        <v>6</v>
      </c>
      <c r="K129" s="11">
        <v>14</v>
      </c>
      <c r="L129" s="11"/>
      <c r="M129" s="11">
        <f t="shared" si="2"/>
        <v>66</v>
      </c>
      <c r="N129" s="11">
        <f>IF(Table1[[#This Row],[Transaction Type]]="Sale",ABS(E129)*K129,0)</f>
        <v>154</v>
      </c>
      <c r="O129" s="29">
        <f>IF(Table1[[#This Row],[Transaction Type]]="Purchase",E129*J129,0)</f>
        <v>0</v>
      </c>
    </row>
    <row r="130" spans="1:15" x14ac:dyDescent="0.35">
      <c r="A130" s="27" t="s">
        <v>239</v>
      </c>
      <c r="B130" s="12">
        <v>45700</v>
      </c>
      <c r="C130" s="11" t="s">
        <v>52</v>
      </c>
      <c r="D130" s="11" t="s">
        <v>13</v>
      </c>
      <c r="E130" s="11">
        <v>-1</v>
      </c>
      <c r="F130" s="11">
        <f t="shared" si="3"/>
        <v>-1</v>
      </c>
      <c r="G130" s="11" t="s">
        <v>24</v>
      </c>
      <c r="H130" s="11" t="s">
        <v>20</v>
      </c>
      <c r="I130" s="11" t="s">
        <v>21</v>
      </c>
      <c r="J130" s="11">
        <v>5.5</v>
      </c>
      <c r="K130" s="11">
        <v>12</v>
      </c>
      <c r="L130" s="11"/>
      <c r="M130" s="11">
        <f t="shared" ref="M130:M193" si="4">ABS(E130)*J130</f>
        <v>5.5</v>
      </c>
      <c r="N130" s="11">
        <f>IF(Table1[[#This Row],[Transaction Type]]="Sale",ABS(E130)*K130,0)</f>
        <v>12</v>
      </c>
      <c r="O130" s="29">
        <f>IF(Table1[[#This Row],[Transaction Type]]="Purchase",E130*J130,0)</f>
        <v>0</v>
      </c>
    </row>
    <row r="131" spans="1:15" x14ac:dyDescent="0.35">
      <c r="A131" s="27" t="s">
        <v>240</v>
      </c>
      <c r="B131" s="12">
        <v>45701</v>
      </c>
      <c r="C131" s="11" t="s">
        <v>87</v>
      </c>
      <c r="D131" s="11" t="s">
        <v>13</v>
      </c>
      <c r="E131" s="11">
        <v>-10</v>
      </c>
      <c r="F131" s="11">
        <f t="shared" ref="F131:F194" si="5">E131</f>
        <v>-10</v>
      </c>
      <c r="G131" s="11" t="s">
        <v>14</v>
      </c>
      <c r="H131" s="11" t="s">
        <v>88</v>
      </c>
      <c r="I131" s="11" t="s">
        <v>16</v>
      </c>
      <c r="J131" s="11">
        <v>6</v>
      </c>
      <c r="K131" s="11">
        <v>14</v>
      </c>
      <c r="L131" s="11"/>
      <c r="M131" s="11">
        <f t="shared" si="4"/>
        <v>60</v>
      </c>
      <c r="N131" s="11">
        <f>IF(Table1[[#This Row],[Transaction Type]]="Sale",ABS(E131)*K131,0)</f>
        <v>140</v>
      </c>
      <c r="O131" s="29">
        <f>IF(Table1[[#This Row],[Transaction Type]]="Purchase",E131*J131,0)</f>
        <v>0</v>
      </c>
    </row>
    <row r="132" spans="1:15" x14ac:dyDescent="0.35">
      <c r="A132" s="27" t="s">
        <v>241</v>
      </c>
      <c r="B132" s="12">
        <v>45701</v>
      </c>
      <c r="C132" s="11" t="s">
        <v>77</v>
      </c>
      <c r="D132" s="11" t="s">
        <v>40</v>
      </c>
      <c r="E132" s="11">
        <v>118</v>
      </c>
      <c r="F132" s="11">
        <f t="shared" si="5"/>
        <v>118</v>
      </c>
      <c r="G132" s="11" t="s">
        <v>14</v>
      </c>
      <c r="H132" s="11" t="s">
        <v>78</v>
      </c>
      <c r="I132" s="11" t="s">
        <v>16</v>
      </c>
      <c r="J132" s="11">
        <v>25</v>
      </c>
      <c r="K132" s="11">
        <v>42</v>
      </c>
      <c r="L132" s="11" t="s">
        <v>242</v>
      </c>
      <c r="M132" s="11">
        <f t="shared" si="4"/>
        <v>2950</v>
      </c>
      <c r="N132" s="11">
        <f>IF(Table1[[#This Row],[Transaction Type]]="Sale",ABS(E132)*K132,0)</f>
        <v>0</v>
      </c>
      <c r="O132" s="29">
        <f>IF(Table1[[#This Row],[Transaction Type]]="Purchase",E132*J132,0)</f>
        <v>2950</v>
      </c>
    </row>
    <row r="133" spans="1:15" x14ac:dyDescent="0.35">
      <c r="A133" s="27" t="s">
        <v>243</v>
      </c>
      <c r="B133" s="12">
        <v>45702</v>
      </c>
      <c r="C133" s="11" t="s">
        <v>18</v>
      </c>
      <c r="D133" s="11" t="s">
        <v>13</v>
      </c>
      <c r="E133" s="11">
        <v>-1</v>
      </c>
      <c r="F133" s="11">
        <f t="shared" si="5"/>
        <v>-1</v>
      </c>
      <c r="G133" s="11" t="s">
        <v>19</v>
      </c>
      <c r="H133" s="11" t="s">
        <v>20</v>
      </c>
      <c r="I133" s="11" t="s">
        <v>21</v>
      </c>
      <c r="J133" s="11">
        <v>2.6</v>
      </c>
      <c r="K133" s="11">
        <v>5.5</v>
      </c>
      <c r="L133" s="11"/>
      <c r="M133" s="11">
        <f t="shared" si="4"/>
        <v>2.6</v>
      </c>
      <c r="N133" s="11">
        <f>IF(Table1[[#This Row],[Transaction Type]]="Sale",ABS(E133)*K133,0)</f>
        <v>5.5</v>
      </c>
      <c r="O133" s="29">
        <f>IF(Table1[[#This Row],[Transaction Type]]="Purchase",E133*J133,0)</f>
        <v>0</v>
      </c>
    </row>
    <row r="134" spans="1:15" x14ac:dyDescent="0.35">
      <c r="A134" s="27" t="s">
        <v>244</v>
      </c>
      <c r="B134" s="12">
        <v>45702</v>
      </c>
      <c r="C134" s="11" t="s">
        <v>87</v>
      </c>
      <c r="D134" s="11" t="s">
        <v>40</v>
      </c>
      <c r="E134" s="11">
        <v>23</v>
      </c>
      <c r="F134" s="11">
        <f t="shared" si="5"/>
        <v>23</v>
      </c>
      <c r="G134" s="11" t="s">
        <v>19</v>
      </c>
      <c r="H134" s="11" t="s">
        <v>88</v>
      </c>
      <c r="I134" s="11" t="s">
        <v>16</v>
      </c>
      <c r="J134" s="11">
        <v>6</v>
      </c>
      <c r="K134" s="11">
        <v>14</v>
      </c>
      <c r="L134" s="11" t="s">
        <v>245</v>
      </c>
      <c r="M134" s="11">
        <f t="shared" si="4"/>
        <v>138</v>
      </c>
      <c r="N134" s="11">
        <f>IF(Table1[[#This Row],[Transaction Type]]="Sale",ABS(E134)*K134,0)</f>
        <v>0</v>
      </c>
      <c r="O134" s="29">
        <f>IF(Table1[[#This Row],[Transaction Type]]="Purchase",E134*J134,0)</f>
        <v>138</v>
      </c>
    </row>
    <row r="135" spans="1:15" x14ac:dyDescent="0.35">
      <c r="A135" s="27" t="s">
        <v>246</v>
      </c>
      <c r="B135" s="12">
        <v>45702</v>
      </c>
      <c r="C135" s="11" t="s">
        <v>52</v>
      </c>
      <c r="D135" s="11" t="s">
        <v>13</v>
      </c>
      <c r="E135" s="11">
        <v>-11</v>
      </c>
      <c r="F135" s="11">
        <f t="shared" si="5"/>
        <v>-11</v>
      </c>
      <c r="G135" s="11" t="s">
        <v>14</v>
      </c>
      <c r="H135" s="11" t="s">
        <v>20</v>
      </c>
      <c r="I135" s="11" t="s">
        <v>21</v>
      </c>
      <c r="J135" s="11">
        <v>5.5</v>
      </c>
      <c r="K135" s="11">
        <v>12</v>
      </c>
      <c r="L135" s="11"/>
      <c r="M135" s="11">
        <f t="shared" si="4"/>
        <v>60.5</v>
      </c>
      <c r="N135" s="11">
        <f>IF(Table1[[#This Row],[Transaction Type]]="Sale",ABS(E135)*K135,0)</f>
        <v>132</v>
      </c>
      <c r="O135" s="29">
        <f>IF(Table1[[#This Row],[Transaction Type]]="Purchase",E135*J135,0)</f>
        <v>0</v>
      </c>
    </row>
    <row r="136" spans="1:15" x14ac:dyDescent="0.35">
      <c r="A136" s="27" t="s">
        <v>247</v>
      </c>
      <c r="B136" s="12">
        <v>45703</v>
      </c>
      <c r="C136" s="11" t="s">
        <v>87</v>
      </c>
      <c r="D136" s="11" t="s">
        <v>66</v>
      </c>
      <c r="E136" s="11">
        <v>5</v>
      </c>
      <c r="F136" s="11">
        <f t="shared" si="5"/>
        <v>5</v>
      </c>
      <c r="G136" s="11" t="s">
        <v>14</v>
      </c>
      <c r="H136" s="11" t="s">
        <v>88</v>
      </c>
      <c r="I136" s="11" t="s">
        <v>16</v>
      </c>
      <c r="J136" s="11">
        <v>6</v>
      </c>
      <c r="K136" s="11">
        <v>14</v>
      </c>
      <c r="L136" s="11"/>
      <c r="M136" s="11">
        <f t="shared" si="4"/>
        <v>30</v>
      </c>
      <c r="N136" s="11">
        <f>IF(Table1[[#This Row],[Transaction Type]]="Sale",ABS(E136)*K136,0)</f>
        <v>0</v>
      </c>
      <c r="O136" s="29">
        <f>IF(Table1[[#This Row],[Transaction Type]]="Purchase",E136*J136,0)</f>
        <v>0</v>
      </c>
    </row>
    <row r="137" spans="1:15" x14ac:dyDescent="0.35">
      <c r="A137" s="27" t="s">
        <v>248</v>
      </c>
      <c r="B137" s="12">
        <v>45703</v>
      </c>
      <c r="C137" s="11" t="s">
        <v>23</v>
      </c>
      <c r="D137" s="11" t="s">
        <v>13</v>
      </c>
      <c r="E137" s="11">
        <v>-8</v>
      </c>
      <c r="F137" s="11">
        <f t="shared" si="5"/>
        <v>-8</v>
      </c>
      <c r="G137" s="11" t="s">
        <v>14</v>
      </c>
      <c r="H137" s="11" t="s">
        <v>25</v>
      </c>
      <c r="I137" s="11" t="s">
        <v>26</v>
      </c>
      <c r="J137" s="11">
        <v>3</v>
      </c>
      <c r="K137" s="11">
        <v>7</v>
      </c>
      <c r="L137" s="11"/>
      <c r="M137" s="11">
        <f t="shared" si="4"/>
        <v>24</v>
      </c>
      <c r="N137" s="11">
        <f>IF(Table1[[#This Row],[Transaction Type]]="Sale",ABS(E137)*K137,0)</f>
        <v>56</v>
      </c>
      <c r="O137" s="29">
        <f>IF(Table1[[#This Row],[Transaction Type]]="Purchase",E137*J137,0)</f>
        <v>0</v>
      </c>
    </row>
    <row r="138" spans="1:15" x14ac:dyDescent="0.35">
      <c r="A138" s="27" t="s">
        <v>249</v>
      </c>
      <c r="B138" s="12">
        <v>45703</v>
      </c>
      <c r="C138" s="11" t="s">
        <v>109</v>
      </c>
      <c r="D138" s="11" t="s">
        <v>40</v>
      </c>
      <c r="E138" s="11">
        <v>118</v>
      </c>
      <c r="F138" s="11">
        <f t="shared" si="5"/>
        <v>118</v>
      </c>
      <c r="G138" s="11" t="s">
        <v>14</v>
      </c>
      <c r="H138" s="11" t="s">
        <v>110</v>
      </c>
      <c r="I138" s="11" t="s">
        <v>26</v>
      </c>
      <c r="J138" s="11">
        <v>105</v>
      </c>
      <c r="K138" s="11">
        <v>165</v>
      </c>
      <c r="L138" s="11" t="s">
        <v>250</v>
      </c>
      <c r="M138" s="11">
        <f t="shared" si="4"/>
        <v>12390</v>
      </c>
      <c r="N138" s="11">
        <f>IF(Table1[[#This Row],[Transaction Type]]="Sale",ABS(E138)*K138,0)</f>
        <v>0</v>
      </c>
      <c r="O138" s="29">
        <f>IF(Table1[[#This Row],[Transaction Type]]="Purchase",E138*J138,0)</f>
        <v>12390</v>
      </c>
    </row>
    <row r="139" spans="1:15" x14ac:dyDescent="0.35">
      <c r="A139" s="27" t="s">
        <v>251</v>
      </c>
      <c r="B139" s="12">
        <v>45704</v>
      </c>
      <c r="C139" s="11" t="s">
        <v>141</v>
      </c>
      <c r="D139" s="11" t="s">
        <v>13</v>
      </c>
      <c r="E139" s="11">
        <v>-14</v>
      </c>
      <c r="F139" s="11">
        <f t="shared" si="5"/>
        <v>-14</v>
      </c>
      <c r="G139" s="11" t="s">
        <v>19</v>
      </c>
      <c r="H139" s="11" t="s">
        <v>25</v>
      </c>
      <c r="I139" s="11" t="s">
        <v>26</v>
      </c>
      <c r="J139" s="11">
        <v>4</v>
      </c>
      <c r="K139" s="11">
        <v>9</v>
      </c>
      <c r="L139" s="11"/>
      <c r="M139" s="11">
        <f t="shared" si="4"/>
        <v>56</v>
      </c>
      <c r="N139" s="11">
        <f>IF(Table1[[#This Row],[Transaction Type]]="Sale",ABS(E139)*K139,0)</f>
        <v>126</v>
      </c>
      <c r="O139" s="29">
        <f>IF(Table1[[#This Row],[Transaction Type]]="Purchase",E139*J139,0)</f>
        <v>0</v>
      </c>
    </row>
    <row r="140" spans="1:15" x14ac:dyDescent="0.35">
      <c r="A140" s="27" t="s">
        <v>252</v>
      </c>
      <c r="B140" s="12">
        <v>45704</v>
      </c>
      <c r="C140" s="11" t="s">
        <v>55</v>
      </c>
      <c r="D140" s="11" t="s">
        <v>13</v>
      </c>
      <c r="E140" s="11">
        <v>-3</v>
      </c>
      <c r="F140" s="11">
        <f t="shared" si="5"/>
        <v>-3</v>
      </c>
      <c r="G140" s="11" t="s">
        <v>19</v>
      </c>
      <c r="H140" s="11" t="s">
        <v>56</v>
      </c>
      <c r="I140" s="11" t="s">
        <v>16</v>
      </c>
      <c r="J140" s="11">
        <v>4.2</v>
      </c>
      <c r="K140" s="11">
        <v>10</v>
      </c>
      <c r="L140" s="11"/>
      <c r="M140" s="11">
        <f t="shared" si="4"/>
        <v>12.600000000000001</v>
      </c>
      <c r="N140" s="11">
        <f>IF(Table1[[#This Row],[Transaction Type]]="Sale",ABS(E140)*K140,0)</f>
        <v>30</v>
      </c>
      <c r="O140" s="29">
        <f>IF(Table1[[#This Row],[Transaction Type]]="Purchase",E140*J140,0)</f>
        <v>0</v>
      </c>
    </row>
    <row r="141" spans="1:15" x14ac:dyDescent="0.35">
      <c r="A141" s="27" t="s">
        <v>253</v>
      </c>
      <c r="B141" s="12">
        <v>45704</v>
      </c>
      <c r="C141" s="11" t="s">
        <v>77</v>
      </c>
      <c r="D141" s="11" t="s">
        <v>13</v>
      </c>
      <c r="E141" s="11">
        <v>-5</v>
      </c>
      <c r="F141" s="11">
        <f t="shared" si="5"/>
        <v>-5</v>
      </c>
      <c r="G141" s="11" t="s">
        <v>14</v>
      </c>
      <c r="H141" s="11" t="s">
        <v>78</v>
      </c>
      <c r="I141" s="11" t="s">
        <v>16</v>
      </c>
      <c r="J141" s="11">
        <v>25</v>
      </c>
      <c r="K141" s="11">
        <v>42</v>
      </c>
      <c r="L141" s="11"/>
      <c r="M141" s="11">
        <f t="shared" si="4"/>
        <v>125</v>
      </c>
      <c r="N141" s="11">
        <f>IF(Table1[[#This Row],[Transaction Type]]="Sale",ABS(E141)*K141,0)</f>
        <v>210</v>
      </c>
      <c r="O141" s="29">
        <f>IF(Table1[[#This Row],[Transaction Type]]="Purchase",E141*J141,0)</f>
        <v>0</v>
      </c>
    </row>
    <row r="142" spans="1:15" x14ac:dyDescent="0.35">
      <c r="A142" s="27" t="s">
        <v>254</v>
      </c>
      <c r="B142" s="12">
        <v>45704</v>
      </c>
      <c r="C142" s="11" t="s">
        <v>48</v>
      </c>
      <c r="D142" s="11" t="s">
        <v>13</v>
      </c>
      <c r="E142" s="11">
        <v>-3</v>
      </c>
      <c r="F142" s="11">
        <f t="shared" si="5"/>
        <v>-3</v>
      </c>
      <c r="G142" s="11" t="s">
        <v>14</v>
      </c>
      <c r="H142" s="11" t="s">
        <v>49</v>
      </c>
      <c r="I142" s="11" t="s">
        <v>21</v>
      </c>
      <c r="J142" s="11">
        <v>8.5</v>
      </c>
      <c r="K142" s="11">
        <v>18</v>
      </c>
      <c r="L142" s="11"/>
      <c r="M142" s="11">
        <f t="shared" si="4"/>
        <v>25.5</v>
      </c>
      <c r="N142" s="11">
        <f>IF(Table1[[#This Row],[Transaction Type]]="Sale",ABS(E142)*K142,0)</f>
        <v>54</v>
      </c>
      <c r="O142" s="29">
        <f>IF(Table1[[#This Row],[Transaction Type]]="Purchase",E142*J142,0)</f>
        <v>0</v>
      </c>
    </row>
    <row r="143" spans="1:15" x14ac:dyDescent="0.35">
      <c r="A143" s="27" t="s">
        <v>255</v>
      </c>
      <c r="B143" s="12">
        <v>45704</v>
      </c>
      <c r="C143" s="11" t="s">
        <v>60</v>
      </c>
      <c r="D143" s="11" t="s">
        <v>13</v>
      </c>
      <c r="E143" s="11">
        <v>-15</v>
      </c>
      <c r="F143" s="11">
        <f t="shared" si="5"/>
        <v>-15</v>
      </c>
      <c r="G143" s="11" t="s">
        <v>14</v>
      </c>
      <c r="H143" s="11" t="s">
        <v>61</v>
      </c>
      <c r="I143" s="11" t="s">
        <v>62</v>
      </c>
      <c r="J143" s="11">
        <v>3.4</v>
      </c>
      <c r="K143" s="11">
        <v>8</v>
      </c>
      <c r="L143" s="11"/>
      <c r="M143" s="11">
        <f t="shared" si="4"/>
        <v>51</v>
      </c>
      <c r="N143" s="11">
        <f>IF(Table1[[#This Row],[Transaction Type]]="Sale",ABS(E143)*K143,0)</f>
        <v>120</v>
      </c>
      <c r="O143" s="29">
        <f>IF(Table1[[#This Row],[Transaction Type]]="Purchase",E143*J143,0)</f>
        <v>0</v>
      </c>
    </row>
    <row r="144" spans="1:15" x14ac:dyDescent="0.35">
      <c r="A144" s="27" t="s">
        <v>256</v>
      </c>
      <c r="B144" s="12">
        <v>45706</v>
      </c>
      <c r="C144" s="11" t="s">
        <v>83</v>
      </c>
      <c r="D144" s="11" t="s">
        <v>13</v>
      </c>
      <c r="E144" s="11">
        <v>-13</v>
      </c>
      <c r="F144" s="11">
        <f t="shared" si="5"/>
        <v>-13</v>
      </c>
      <c r="G144" s="11" t="s">
        <v>14</v>
      </c>
      <c r="H144" s="11" t="s">
        <v>84</v>
      </c>
      <c r="I144" s="11" t="s">
        <v>45</v>
      </c>
      <c r="J144" s="11">
        <v>130</v>
      </c>
      <c r="K144" s="11">
        <v>185</v>
      </c>
      <c r="L144" s="11"/>
      <c r="M144" s="11">
        <f t="shared" si="4"/>
        <v>1690</v>
      </c>
      <c r="N144" s="11">
        <f>IF(Table1[[#This Row],[Transaction Type]]="Sale",ABS(E144)*K144,0)</f>
        <v>2405</v>
      </c>
      <c r="O144" s="29">
        <f>IF(Table1[[#This Row],[Transaction Type]]="Purchase",E144*J144,0)</f>
        <v>0</v>
      </c>
    </row>
    <row r="145" spans="1:15" x14ac:dyDescent="0.35">
      <c r="A145" s="27" t="s">
        <v>257</v>
      </c>
      <c r="B145" s="12">
        <v>45706</v>
      </c>
      <c r="C145" s="11" t="s">
        <v>109</v>
      </c>
      <c r="D145" s="11" t="s">
        <v>13</v>
      </c>
      <c r="E145" s="11">
        <v>-4</v>
      </c>
      <c r="F145" s="11">
        <f t="shared" si="5"/>
        <v>-4</v>
      </c>
      <c r="G145" s="11" t="s">
        <v>24</v>
      </c>
      <c r="H145" s="11" t="s">
        <v>110</v>
      </c>
      <c r="I145" s="11" t="s">
        <v>26</v>
      </c>
      <c r="J145" s="11">
        <v>105</v>
      </c>
      <c r="K145" s="11">
        <v>165</v>
      </c>
      <c r="L145" s="11"/>
      <c r="M145" s="11">
        <f t="shared" si="4"/>
        <v>420</v>
      </c>
      <c r="N145" s="11">
        <f>IF(Table1[[#This Row],[Transaction Type]]="Sale",ABS(E145)*K145,0)</f>
        <v>660</v>
      </c>
      <c r="O145" s="29">
        <f>IF(Table1[[#This Row],[Transaction Type]]="Purchase",E145*J145,0)</f>
        <v>0</v>
      </c>
    </row>
    <row r="146" spans="1:15" x14ac:dyDescent="0.35">
      <c r="A146" s="27" t="s">
        <v>258</v>
      </c>
      <c r="B146" s="12">
        <v>45706</v>
      </c>
      <c r="C146" s="11" t="s">
        <v>36</v>
      </c>
      <c r="D146" s="11" t="s">
        <v>13</v>
      </c>
      <c r="E146" s="11">
        <v>-4</v>
      </c>
      <c r="F146" s="11">
        <f t="shared" si="5"/>
        <v>-4</v>
      </c>
      <c r="G146" s="11" t="s">
        <v>14</v>
      </c>
      <c r="H146" s="11" t="s">
        <v>37</v>
      </c>
      <c r="I146" s="11" t="s">
        <v>16</v>
      </c>
      <c r="J146" s="11">
        <v>7.2</v>
      </c>
      <c r="K146" s="11">
        <v>12.5</v>
      </c>
      <c r="L146" s="11"/>
      <c r="M146" s="11">
        <f t="shared" si="4"/>
        <v>28.8</v>
      </c>
      <c r="N146" s="11">
        <f>IF(Table1[[#This Row],[Transaction Type]]="Sale",ABS(E146)*K146,0)</f>
        <v>50</v>
      </c>
      <c r="O146" s="29">
        <f>IF(Table1[[#This Row],[Transaction Type]]="Purchase",E146*J146,0)</f>
        <v>0</v>
      </c>
    </row>
    <row r="147" spans="1:15" x14ac:dyDescent="0.35">
      <c r="A147" s="27" t="s">
        <v>259</v>
      </c>
      <c r="B147" s="12">
        <v>45706</v>
      </c>
      <c r="C147" s="11" t="s">
        <v>29</v>
      </c>
      <c r="D147" s="11" t="s">
        <v>13</v>
      </c>
      <c r="E147" s="11">
        <v>-8</v>
      </c>
      <c r="F147" s="11">
        <f t="shared" si="5"/>
        <v>-8</v>
      </c>
      <c r="G147" s="11" t="s">
        <v>14</v>
      </c>
      <c r="H147" s="11" t="s">
        <v>30</v>
      </c>
      <c r="I147" s="11" t="s">
        <v>16</v>
      </c>
      <c r="J147" s="11">
        <v>8.8000000000000007</v>
      </c>
      <c r="K147" s="11">
        <v>17</v>
      </c>
      <c r="L147" s="11"/>
      <c r="M147" s="11">
        <f t="shared" si="4"/>
        <v>70.400000000000006</v>
      </c>
      <c r="N147" s="11">
        <f>IF(Table1[[#This Row],[Transaction Type]]="Sale",ABS(E147)*K147,0)</f>
        <v>136</v>
      </c>
      <c r="O147" s="29">
        <f>IF(Table1[[#This Row],[Transaction Type]]="Purchase",E147*J147,0)</f>
        <v>0</v>
      </c>
    </row>
    <row r="148" spans="1:15" x14ac:dyDescent="0.35">
      <c r="A148" s="27" t="s">
        <v>260</v>
      </c>
      <c r="B148" s="12">
        <v>45706</v>
      </c>
      <c r="C148" s="11" t="s">
        <v>87</v>
      </c>
      <c r="D148" s="11" t="s">
        <v>40</v>
      </c>
      <c r="E148" s="11">
        <v>115</v>
      </c>
      <c r="F148" s="11">
        <f t="shared" si="5"/>
        <v>115</v>
      </c>
      <c r="G148" s="11" t="s">
        <v>24</v>
      </c>
      <c r="H148" s="11" t="s">
        <v>88</v>
      </c>
      <c r="I148" s="11" t="s">
        <v>16</v>
      </c>
      <c r="J148" s="11">
        <v>6</v>
      </c>
      <c r="K148" s="11">
        <v>14</v>
      </c>
      <c r="L148" s="11" t="s">
        <v>261</v>
      </c>
      <c r="M148" s="11">
        <f t="shared" si="4"/>
        <v>690</v>
      </c>
      <c r="N148" s="11">
        <f>IF(Table1[[#This Row],[Transaction Type]]="Sale",ABS(E148)*K148,0)</f>
        <v>0</v>
      </c>
      <c r="O148" s="29">
        <f>IF(Table1[[#This Row],[Transaction Type]]="Purchase",E148*J148,0)</f>
        <v>690</v>
      </c>
    </row>
    <row r="149" spans="1:15" x14ac:dyDescent="0.35">
      <c r="A149" s="27" t="s">
        <v>262</v>
      </c>
      <c r="B149" s="12">
        <v>45707</v>
      </c>
      <c r="C149" s="11" t="s">
        <v>52</v>
      </c>
      <c r="D149" s="11" t="s">
        <v>58</v>
      </c>
      <c r="E149" s="11">
        <v>19</v>
      </c>
      <c r="F149" s="11">
        <f t="shared" si="5"/>
        <v>19</v>
      </c>
      <c r="G149" s="11" t="s">
        <v>19</v>
      </c>
      <c r="H149" s="11" t="s">
        <v>20</v>
      </c>
      <c r="I149" s="11" t="s">
        <v>21</v>
      </c>
      <c r="J149" s="11">
        <v>5.5</v>
      </c>
      <c r="K149" s="11">
        <v>12</v>
      </c>
      <c r="L149" s="11"/>
      <c r="M149" s="11">
        <f t="shared" si="4"/>
        <v>104.5</v>
      </c>
      <c r="N149" s="11">
        <f>IF(Table1[[#This Row],[Transaction Type]]="Sale",ABS(E149)*K149,0)</f>
        <v>0</v>
      </c>
      <c r="O149" s="29">
        <f>IF(Table1[[#This Row],[Transaction Type]]="Purchase",E149*J149,0)</f>
        <v>0</v>
      </c>
    </row>
    <row r="150" spans="1:15" x14ac:dyDescent="0.35">
      <c r="A150" s="27" t="s">
        <v>263</v>
      </c>
      <c r="B150" s="12">
        <v>45708</v>
      </c>
      <c r="C150" s="11" t="s">
        <v>73</v>
      </c>
      <c r="D150" s="11" t="s">
        <v>40</v>
      </c>
      <c r="E150" s="11">
        <v>37</v>
      </c>
      <c r="F150" s="11">
        <f t="shared" si="5"/>
        <v>37</v>
      </c>
      <c r="G150" s="11" t="s">
        <v>14</v>
      </c>
      <c r="H150" s="11" t="s">
        <v>74</v>
      </c>
      <c r="I150" s="11" t="s">
        <v>75</v>
      </c>
      <c r="J150" s="11">
        <v>30</v>
      </c>
      <c r="K150" s="11">
        <v>48</v>
      </c>
      <c r="L150" s="11" t="s">
        <v>264</v>
      </c>
      <c r="M150" s="11">
        <f t="shared" si="4"/>
        <v>1110</v>
      </c>
      <c r="N150" s="11">
        <f>IF(Table1[[#This Row],[Transaction Type]]="Sale",ABS(E150)*K150,0)</f>
        <v>0</v>
      </c>
      <c r="O150" s="29">
        <f>IF(Table1[[#This Row],[Transaction Type]]="Purchase",E150*J150,0)</f>
        <v>1110</v>
      </c>
    </row>
    <row r="151" spans="1:15" x14ac:dyDescent="0.35">
      <c r="A151" s="27" t="s">
        <v>265</v>
      </c>
      <c r="B151" s="12">
        <v>45708</v>
      </c>
      <c r="C151" s="11" t="s">
        <v>23</v>
      </c>
      <c r="D151" s="11" t="s">
        <v>40</v>
      </c>
      <c r="E151" s="11">
        <v>40</v>
      </c>
      <c r="F151" s="11">
        <f t="shared" si="5"/>
        <v>40</v>
      </c>
      <c r="G151" s="11" t="s">
        <v>14</v>
      </c>
      <c r="H151" s="11" t="s">
        <v>25</v>
      </c>
      <c r="I151" s="11" t="s">
        <v>26</v>
      </c>
      <c r="J151" s="11">
        <v>3</v>
      </c>
      <c r="K151" s="11">
        <v>7</v>
      </c>
      <c r="L151" s="11" t="s">
        <v>266</v>
      </c>
      <c r="M151" s="11">
        <f t="shared" si="4"/>
        <v>120</v>
      </c>
      <c r="N151" s="11">
        <f>IF(Table1[[#This Row],[Transaction Type]]="Sale",ABS(E151)*K151,0)</f>
        <v>0</v>
      </c>
      <c r="O151" s="29">
        <f>IF(Table1[[#This Row],[Transaction Type]]="Purchase",E151*J151,0)</f>
        <v>120</v>
      </c>
    </row>
    <row r="152" spans="1:15" x14ac:dyDescent="0.35">
      <c r="A152" s="27" t="s">
        <v>267</v>
      </c>
      <c r="B152" s="12">
        <v>45708</v>
      </c>
      <c r="C152" s="11" t="s">
        <v>23</v>
      </c>
      <c r="D152" s="11" t="s">
        <v>66</v>
      </c>
      <c r="E152" s="11">
        <v>3</v>
      </c>
      <c r="F152" s="11">
        <f t="shared" si="5"/>
        <v>3</v>
      </c>
      <c r="G152" s="11" t="s">
        <v>14</v>
      </c>
      <c r="H152" s="11" t="s">
        <v>25</v>
      </c>
      <c r="I152" s="11" t="s">
        <v>26</v>
      </c>
      <c r="J152" s="11">
        <v>3</v>
      </c>
      <c r="K152" s="11">
        <v>7</v>
      </c>
      <c r="L152" s="11"/>
      <c r="M152" s="11">
        <f t="shared" si="4"/>
        <v>9</v>
      </c>
      <c r="N152" s="11">
        <f>IF(Table1[[#This Row],[Transaction Type]]="Sale",ABS(E152)*K152,0)</f>
        <v>0</v>
      </c>
      <c r="O152" s="29">
        <f>IF(Table1[[#This Row],[Transaction Type]]="Purchase",E152*J152,0)</f>
        <v>0</v>
      </c>
    </row>
    <row r="153" spans="1:15" x14ac:dyDescent="0.35">
      <c r="A153" s="27" t="s">
        <v>268</v>
      </c>
      <c r="B153" s="12">
        <v>45708</v>
      </c>
      <c r="C153" s="11" t="s">
        <v>69</v>
      </c>
      <c r="D153" s="11" t="s">
        <v>13</v>
      </c>
      <c r="E153" s="11">
        <v>-13</v>
      </c>
      <c r="F153" s="11">
        <f t="shared" si="5"/>
        <v>-13</v>
      </c>
      <c r="G153" s="11" t="s">
        <v>19</v>
      </c>
      <c r="H153" s="11" t="s">
        <v>70</v>
      </c>
      <c r="I153" s="11" t="s">
        <v>16</v>
      </c>
      <c r="J153" s="11">
        <v>23</v>
      </c>
      <c r="K153" s="11">
        <v>38</v>
      </c>
      <c r="L153" s="11"/>
      <c r="M153" s="11">
        <f t="shared" si="4"/>
        <v>299</v>
      </c>
      <c r="N153" s="11">
        <f>IF(Table1[[#This Row],[Transaction Type]]="Sale",ABS(E153)*K153,0)</f>
        <v>494</v>
      </c>
      <c r="O153" s="29">
        <f>IF(Table1[[#This Row],[Transaction Type]]="Purchase",E153*J153,0)</f>
        <v>0</v>
      </c>
    </row>
    <row r="154" spans="1:15" x14ac:dyDescent="0.35">
      <c r="A154" s="27" t="s">
        <v>269</v>
      </c>
      <c r="B154" s="12">
        <v>45708</v>
      </c>
      <c r="C154" s="11" t="s">
        <v>36</v>
      </c>
      <c r="D154" s="11" t="s">
        <v>13</v>
      </c>
      <c r="E154" s="11">
        <v>-13</v>
      </c>
      <c r="F154" s="11">
        <f t="shared" si="5"/>
        <v>-13</v>
      </c>
      <c r="G154" s="11" t="s">
        <v>24</v>
      </c>
      <c r="H154" s="11" t="s">
        <v>37</v>
      </c>
      <c r="I154" s="11" t="s">
        <v>16</v>
      </c>
      <c r="J154" s="11">
        <v>7.2</v>
      </c>
      <c r="K154" s="11">
        <v>12.5</v>
      </c>
      <c r="L154" s="11"/>
      <c r="M154" s="11">
        <f t="shared" si="4"/>
        <v>93.600000000000009</v>
      </c>
      <c r="N154" s="11">
        <f>IF(Table1[[#This Row],[Transaction Type]]="Sale",ABS(E154)*K154,0)</f>
        <v>162.5</v>
      </c>
      <c r="O154" s="29">
        <f>IF(Table1[[#This Row],[Transaction Type]]="Purchase",E154*J154,0)</f>
        <v>0</v>
      </c>
    </row>
    <row r="155" spans="1:15" x14ac:dyDescent="0.35">
      <c r="A155" s="27" t="s">
        <v>270</v>
      </c>
      <c r="B155" s="12">
        <v>45709</v>
      </c>
      <c r="C155" s="11" t="s">
        <v>18</v>
      </c>
      <c r="D155" s="11" t="s">
        <v>13</v>
      </c>
      <c r="E155" s="11">
        <v>-8</v>
      </c>
      <c r="F155" s="11">
        <f t="shared" si="5"/>
        <v>-8</v>
      </c>
      <c r="G155" s="11" t="s">
        <v>14</v>
      </c>
      <c r="H155" s="11" t="s">
        <v>20</v>
      </c>
      <c r="I155" s="11" t="s">
        <v>21</v>
      </c>
      <c r="J155" s="11">
        <v>2.6</v>
      </c>
      <c r="K155" s="11">
        <v>5.5</v>
      </c>
      <c r="L155" s="11"/>
      <c r="M155" s="11">
        <f t="shared" si="4"/>
        <v>20.8</v>
      </c>
      <c r="N155" s="11">
        <f>IF(Table1[[#This Row],[Transaction Type]]="Sale",ABS(E155)*K155,0)</f>
        <v>44</v>
      </c>
      <c r="O155" s="29">
        <f>IF(Table1[[#This Row],[Transaction Type]]="Purchase",E155*J155,0)</f>
        <v>0</v>
      </c>
    </row>
    <row r="156" spans="1:15" x14ac:dyDescent="0.35">
      <c r="A156" s="27" t="s">
        <v>271</v>
      </c>
      <c r="B156" s="12">
        <v>45709</v>
      </c>
      <c r="C156" s="11" t="s">
        <v>55</v>
      </c>
      <c r="D156" s="11" t="s">
        <v>13</v>
      </c>
      <c r="E156" s="11">
        <v>-6</v>
      </c>
      <c r="F156" s="11">
        <f t="shared" si="5"/>
        <v>-6</v>
      </c>
      <c r="G156" s="11" t="s">
        <v>19</v>
      </c>
      <c r="H156" s="11" t="s">
        <v>56</v>
      </c>
      <c r="I156" s="11" t="s">
        <v>16</v>
      </c>
      <c r="J156" s="11">
        <v>4.2</v>
      </c>
      <c r="K156" s="11">
        <v>10</v>
      </c>
      <c r="L156" s="11"/>
      <c r="M156" s="11">
        <f t="shared" si="4"/>
        <v>25.200000000000003</v>
      </c>
      <c r="N156" s="11">
        <f>IF(Table1[[#This Row],[Transaction Type]]="Sale",ABS(E156)*K156,0)</f>
        <v>60</v>
      </c>
      <c r="O156" s="29">
        <f>IF(Table1[[#This Row],[Transaction Type]]="Purchase",E156*J156,0)</f>
        <v>0</v>
      </c>
    </row>
    <row r="157" spans="1:15" x14ac:dyDescent="0.35">
      <c r="A157" s="27" t="s">
        <v>272</v>
      </c>
      <c r="B157" s="12">
        <v>45709</v>
      </c>
      <c r="C157" s="11" t="s">
        <v>83</v>
      </c>
      <c r="D157" s="11" t="s">
        <v>13</v>
      </c>
      <c r="E157" s="11">
        <v>-14</v>
      </c>
      <c r="F157" s="11">
        <f t="shared" si="5"/>
        <v>-14</v>
      </c>
      <c r="G157" s="11" t="s">
        <v>14</v>
      </c>
      <c r="H157" s="11" t="s">
        <v>84</v>
      </c>
      <c r="I157" s="11" t="s">
        <v>45</v>
      </c>
      <c r="J157" s="11">
        <v>130</v>
      </c>
      <c r="K157" s="11">
        <v>185</v>
      </c>
      <c r="L157" s="11"/>
      <c r="M157" s="11">
        <f t="shared" si="4"/>
        <v>1820</v>
      </c>
      <c r="N157" s="11">
        <f>IF(Table1[[#This Row],[Transaction Type]]="Sale",ABS(E157)*K157,0)</f>
        <v>2590</v>
      </c>
      <c r="O157" s="29">
        <f>IF(Table1[[#This Row],[Transaction Type]]="Purchase",E157*J157,0)</f>
        <v>0</v>
      </c>
    </row>
    <row r="158" spans="1:15" x14ac:dyDescent="0.35">
      <c r="A158" s="27" t="s">
        <v>273</v>
      </c>
      <c r="B158" s="12">
        <v>45709</v>
      </c>
      <c r="C158" s="11" t="s">
        <v>98</v>
      </c>
      <c r="D158" s="11" t="s">
        <v>40</v>
      </c>
      <c r="E158" s="11">
        <v>88</v>
      </c>
      <c r="F158" s="11">
        <f t="shared" si="5"/>
        <v>88</v>
      </c>
      <c r="G158" s="11" t="s">
        <v>19</v>
      </c>
      <c r="H158" s="11" t="s">
        <v>30</v>
      </c>
      <c r="I158" s="11" t="s">
        <v>16</v>
      </c>
      <c r="J158" s="11">
        <v>16</v>
      </c>
      <c r="K158" s="11">
        <v>29</v>
      </c>
      <c r="L158" s="11" t="s">
        <v>274</v>
      </c>
      <c r="M158" s="11">
        <f t="shared" si="4"/>
        <v>1408</v>
      </c>
      <c r="N158" s="11">
        <f>IF(Table1[[#This Row],[Transaction Type]]="Sale",ABS(E158)*K158,0)</f>
        <v>0</v>
      </c>
      <c r="O158" s="29">
        <f>IF(Table1[[#This Row],[Transaction Type]]="Purchase",E158*J158,0)</f>
        <v>1408</v>
      </c>
    </row>
    <row r="159" spans="1:15" x14ac:dyDescent="0.35">
      <c r="A159" s="27" t="s">
        <v>275</v>
      </c>
      <c r="B159" s="12">
        <v>45709</v>
      </c>
      <c r="C159" s="11" t="s">
        <v>48</v>
      </c>
      <c r="D159" s="11" t="s">
        <v>13</v>
      </c>
      <c r="E159" s="11">
        <v>-14</v>
      </c>
      <c r="F159" s="11">
        <f t="shared" si="5"/>
        <v>-14</v>
      </c>
      <c r="G159" s="11" t="s">
        <v>14</v>
      </c>
      <c r="H159" s="11" t="s">
        <v>49</v>
      </c>
      <c r="I159" s="11" t="s">
        <v>21</v>
      </c>
      <c r="J159" s="11">
        <v>8.5</v>
      </c>
      <c r="K159" s="11">
        <v>18</v>
      </c>
      <c r="L159" s="11"/>
      <c r="M159" s="11">
        <f t="shared" si="4"/>
        <v>119</v>
      </c>
      <c r="N159" s="11">
        <f>IF(Table1[[#This Row],[Transaction Type]]="Sale",ABS(E159)*K159,0)</f>
        <v>252</v>
      </c>
      <c r="O159" s="29">
        <f>IF(Table1[[#This Row],[Transaction Type]]="Purchase",E159*J159,0)</f>
        <v>0</v>
      </c>
    </row>
    <row r="160" spans="1:15" x14ac:dyDescent="0.35">
      <c r="A160" s="27" t="s">
        <v>276</v>
      </c>
      <c r="B160" s="12">
        <v>45709</v>
      </c>
      <c r="C160" s="11" t="s">
        <v>18</v>
      </c>
      <c r="D160" s="11" t="s">
        <v>13</v>
      </c>
      <c r="E160" s="11">
        <v>-10</v>
      </c>
      <c r="F160" s="11">
        <f t="shared" si="5"/>
        <v>-10</v>
      </c>
      <c r="G160" s="11" t="s">
        <v>24</v>
      </c>
      <c r="H160" s="11" t="s">
        <v>20</v>
      </c>
      <c r="I160" s="11" t="s">
        <v>21</v>
      </c>
      <c r="J160" s="11">
        <v>2.6</v>
      </c>
      <c r="K160" s="11">
        <v>5.5</v>
      </c>
      <c r="L160" s="11"/>
      <c r="M160" s="11">
        <f t="shared" si="4"/>
        <v>26</v>
      </c>
      <c r="N160" s="11">
        <f>IF(Table1[[#This Row],[Transaction Type]]="Sale",ABS(E160)*K160,0)</f>
        <v>55</v>
      </c>
      <c r="O160" s="29">
        <f>IF(Table1[[#This Row],[Transaction Type]]="Purchase",E160*J160,0)</f>
        <v>0</v>
      </c>
    </row>
    <row r="161" spans="1:15" x14ac:dyDescent="0.35">
      <c r="A161" s="27" t="s">
        <v>277</v>
      </c>
      <c r="B161" s="12">
        <v>45710</v>
      </c>
      <c r="C161" s="11" t="s">
        <v>36</v>
      </c>
      <c r="D161" s="11" t="s">
        <v>13</v>
      </c>
      <c r="E161" s="11">
        <v>-12</v>
      </c>
      <c r="F161" s="11">
        <f t="shared" si="5"/>
        <v>-12</v>
      </c>
      <c r="G161" s="11" t="s">
        <v>19</v>
      </c>
      <c r="H161" s="11" t="s">
        <v>37</v>
      </c>
      <c r="I161" s="11" t="s">
        <v>16</v>
      </c>
      <c r="J161" s="11">
        <v>7.2</v>
      </c>
      <c r="K161" s="11">
        <v>12.5</v>
      </c>
      <c r="L161" s="11"/>
      <c r="M161" s="11">
        <f t="shared" si="4"/>
        <v>86.4</v>
      </c>
      <c r="N161" s="11">
        <f>IF(Table1[[#This Row],[Transaction Type]]="Sale",ABS(E161)*K161,0)</f>
        <v>150</v>
      </c>
      <c r="O161" s="29">
        <f>IF(Table1[[#This Row],[Transaction Type]]="Purchase",E161*J161,0)</f>
        <v>0</v>
      </c>
    </row>
    <row r="162" spans="1:15" x14ac:dyDescent="0.35">
      <c r="A162" s="27" t="s">
        <v>278</v>
      </c>
      <c r="B162" s="12">
        <v>45710</v>
      </c>
      <c r="C162" s="11" t="s">
        <v>69</v>
      </c>
      <c r="D162" s="11" t="s">
        <v>13</v>
      </c>
      <c r="E162" s="11">
        <v>-13</v>
      </c>
      <c r="F162" s="11">
        <f t="shared" si="5"/>
        <v>-13</v>
      </c>
      <c r="G162" s="11" t="s">
        <v>14</v>
      </c>
      <c r="H162" s="11" t="s">
        <v>70</v>
      </c>
      <c r="I162" s="11" t="s">
        <v>16</v>
      </c>
      <c r="J162" s="11">
        <v>23</v>
      </c>
      <c r="K162" s="11">
        <v>38</v>
      </c>
      <c r="L162" s="11"/>
      <c r="M162" s="11">
        <f t="shared" si="4"/>
        <v>299</v>
      </c>
      <c r="N162" s="11">
        <f>IF(Table1[[#This Row],[Transaction Type]]="Sale",ABS(E162)*K162,0)</f>
        <v>494</v>
      </c>
      <c r="O162" s="29">
        <f>IF(Table1[[#This Row],[Transaction Type]]="Purchase",E162*J162,0)</f>
        <v>0</v>
      </c>
    </row>
    <row r="163" spans="1:15" x14ac:dyDescent="0.35">
      <c r="A163" s="27" t="s">
        <v>279</v>
      </c>
      <c r="B163" s="12">
        <v>45710</v>
      </c>
      <c r="C163" s="11" t="s">
        <v>77</v>
      </c>
      <c r="D163" s="11" t="s">
        <v>13</v>
      </c>
      <c r="E163" s="11">
        <v>-5</v>
      </c>
      <c r="F163" s="11">
        <f t="shared" si="5"/>
        <v>-5</v>
      </c>
      <c r="G163" s="11" t="s">
        <v>14</v>
      </c>
      <c r="H163" s="11" t="s">
        <v>78</v>
      </c>
      <c r="I163" s="11" t="s">
        <v>16</v>
      </c>
      <c r="J163" s="11">
        <v>25</v>
      </c>
      <c r="K163" s="11">
        <v>42</v>
      </c>
      <c r="L163" s="11"/>
      <c r="M163" s="11">
        <f t="shared" si="4"/>
        <v>125</v>
      </c>
      <c r="N163" s="11">
        <f>IF(Table1[[#This Row],[Transaction Type]]="Sale",ABS(E163)*K163,0)</f>
        <v>210</v>
      </c>
      <c r="O163" s="29">
        <f>IF(Table1[[#This Row],[Transaction Type]]="Purchase",E163*J163,0)</f>
        <v>0</v>
      </c>
    </row>
    <row r="164" spans="1:15" x14ac:dyDescent="0.35">
      <c r="A164" s="27" t="s">
        <v>280</v>
      </c>
      <c r="B164" s="12">
        <v>45711</v>
      </c>
      <c r="C164" s="11" t="s">
        <v>29</v>
      </c>
      <c r="D164" s="11" t="s">
        <v>13</v>
      </c>
      <c r="E164" s="11">
        <v>-14</v>
      </c>
      <c r="F164" s="11">
        <f t="shared" si="5"/>
        <v>-14</v>
      </c>
      <c r="G164" s="11" t="s">
        <v>14</v>
      </c>
      <c r="H164" s="11" t="s">
        <v>30</v>
      </c>
      <c r="I164" s="11" t="s">
        <v>16</v>
      </c>
      <c r="J164" s="11">
        <v>8.8000000000000007</v>
      </c>
      <c r="K164" s="11">
        <v>17</v>
      </c>
      <c r="L164" s="11"/>
      <c r="M164" s="11">
        <f t="shared" si="4"/>
        <v>123.20000000000002</v>
      </c>
      <c r="N164" s="11">
        <f>IF(Table1[[#This Row],[Transaction Type]]="Sale",ABS(E164)*K164,0)</f>
        <v>238</v>
      </c>
      <c r="O164" s="29">
        <f>IF(Table1[[#This Row],[Transaction Type]]="Purchase",E164*J164,0)</f>
        <v>0</v>
      </c>
    </row>
    <row r="165" spans="1:15" x14ac:dyDescent="0.35">
      <c r="A165" s="27" t="s">
        <v>281</v>
      </c>
      <c r="B165" s="12">
        <v>45712</v>
      </c>
      <c r="C165" s="11" t="s">
        <v>77</v>
      </c>
      <c r="D165" s="11" t="s">
        <v>13</v>
      </c>
      <c r="E165" s="11">
        <v>-11</v>
      </c>
      <c r="F165" s="11">
        <f t="shared" si="5"/>
        <v>-11</v>
      </c>
      <c r="G165" s="11" t="s">
        <v>19</v>
      </c>
      <c r="H165" s="11" t="s">
        <v>78</v>
      </c>
      <c r="I165" s="11" t="s">
        <v>16</v>
      </c>
      <c r="J165" s="11">
        <v>25</v>
      </c>
      <c r="K165" s="11">
        <v>42</v>
      </c>
      <c r="L165" s="11"/>
      <c r="M165" s="11">
        <f t="shared" si="4"/>
        <v>275</v>
      </c>
      <c r="N165" s="11">
        <f>IF(Table1[[#This Row],[Transaction Type]]="Sale",ABS(E165)*K165,0)</f>
        <v>462</v>
      </c>
      <c r="O165" s="29">
        <f>IF(Table1[[#This Row],[Transaction Type]]="Purchase",E165*J165,0)</f>
        <v>0</v>
      </c>
    </row>
    <row r="166" spans="1:15" x14ac:dyDescent="0.35">
      <c r="A166" s="27" t="s">
        <v>282</v>
      </c>
      <c r="B166" s="12">
        <v>45712</v>
      </c>
      <c r="C166" s="11" t="s">
        <v>32</v>
      </c>
      <c r="D166" s="11" t="s">
        <v>13</v>
      </c>
      <c r="E166" s="11">
        <v>-5</v>
      </c>
      <c r="F166" s="11">
        <f t="shared" si="5"/>
        <v>-5</v>
      </c>
      <c r="G166" s="11" t="s">
        <v>14</v>
      </c>
      <c r="H166" s="11" t="s">
        <v>33</v>
      </c>
      <c r="I166" s="11" t="s">
        <v>34</v>
      </c>
      <c r="J166" s="11">
        <v>20</v>
      </c>
      <c r="K166" s="11">
        <v>35</v>
      </c>
      <c r="L166" s="11"/>
      <c r="M166" s="11">
        <f t="shared" si="4"/>
        <v>100</v>
      </c>
      <c r="N166" s="11">
        <f>IF(Table1[[#This Row],[Transaction Type]]="Sale",ABS(E166)*K166,0)</f>
        <v>175</v>
      </c>
      <c r="O166" s="29">
        <f>IF(Table1[[#This Row],[Transaction Type]]="Purchase",E166*J166,0)</f>
        <v>0</v>
      </c>
    </row>
    <row r="167" spans="1:15" x14ac:dyDescent="0.35">
      <c r="A167" s="27" t="s">
        <v>283</v>
      </c>
      <c r="B167" s="12">
        <v>45713</v>
      </c>
      <c r="C167" s="11" t="s">
        <v>60</v>
      </c>
      <c r="D167" s="11" t="s">
        <v>40</v>
      </c>
      <c r="E167" s="11">
        <v>76</v>
      </c>
      <c r="F167" s="11">
        <f t="shared" si="5"/>
        <v>76</v>
      </c>
      <c r="G167" s="11" t="s">
        <v>14</v>
      </c>
      <c r="H167" s="11" t="s">
        <v>61</v>
      </c>
      <c r="I167" s="11" t="s">
        <v>62</v>
      </c>
      <c r="J167" s="11">
        <v>3.4</v>
      </c>
      <c r="K167" s="11">
        <v>8</v>
      </c>
      <c r="L167" s="11" t="s">
        <v>284</v>
      </c>
      <c r="M167" s="11">
        <f t="shared" si="4"/>
        <v>258.39999999999998</v>
      </c>
      <c r="N167" s="11">
        <f>IF(Table1[[#This Row],[Transaction Type]]="Sale",ABS(E167)*K167,0)</f>
        <v>0</v>
      </c>
      <c r="O167" s="29">
        <f>IF(Table1[[#This Row],[Transaction Type]]="Purchase",E167*J167,0)</f>
        <v>258.39999999999998</v>
      </c>
    </row>
    <row r="168" spans="1:15" x14ac:dyDescent="0.35">
      <c r="A168" s="27" t="s">
        <v>285</v>
      </c>
      <c r="B168" s="12">
        <v>45713</v>
      </c>
      <c r="C168" s="11" t="s">
        <v>94</v>
      </c>
      <c r="D168" s="11" t="s">
        <v>13</v>
      </c>
      <c r="E168" s="11">
        <v>-5</v>
      </c>
      <c r="F168" s="11">
        <f t="shared" si="5"/>
        <v>-5</v>
      </c>
      <c r="G168" s="11" t="s">
        <v>24</v>
      </c>
      <c r="H168" s="11" t="s">
        <v>95</v>
      </c>
      <c r="I168" s="11" t="s">
        <v>16</v>
      </c>
      <c r="J168" s="11">
        <v>18.5</v>
      </c>
      <c r="K168" s="11">
        <v>31</v>
      </c>
      <c r="L168" s="11"/>
      <c r="M168" s="11">
        <f t="shared" si="4"/>
        <v>92.5</v>
      </c>
      <c r="N168" s="11">
        <f>IF(Table1[[#This Row],[Transaction Type]]="Sale",ABS(E168)*K168,0)</f>
        <v>155</v>
      </c>
      <c r="O168" s="29">
        <f>IF(Table1[[#This Row],[Transaction Type]]="Purchase",E168*J168,0)</f>
        <v>0</v>
      </c>
    </row>
    <row r="169" spans="1:15" x14ac:dyDescent="0.35">
      <c r="A169" s="27" t="s">
        <v>286</v>
      </c>
      <c r="B169" s="12">
        <v>45713</v>
      </c>
      <c r="C169" s="11" t="s">
        <v>141</v>
      </c>
      <c r="D169" s="11" t="s">
        <v>40</v>
      </c>
      <c r="E169" s="11">
        <v>104</v>
      </c>
      <c r="F169" s="11">
        <f t="shared" si="5"/>
        <v>104</v>
      </c>
      <c r="G169" s="11" t="s">
        <v>14</v>
      </c>
      <c r="H169" s="11" t="s">
        <v>25</v>
      </c>
      <c r="I169" s="11" t="s">
        <v>26</v>
      </c>
      <c r="J169" s="11">
        <v>4</v>
      </c>
      <c r="K169" s="11">
        <v>9</v>
      </c>
      <c r="L169" s="11" t="s">
        <v>287</v>
      </c>
      <c r="M169" s="11">
        <f t="shared" si="4"/>
        <v>416</v>
      </c>
      <c r="N169" s="11">
        <f>IF(Table1[[#This Row],[Transaction Type]]="Sale",ABS(E169)*K169,0)</f>
        <v>0</v>
      </c>
      <c r="O169" s="29">
        <f>IF(Table1[[#This Row],[Transaction Type]]="Purchase",E169*J169,0)</f>
        <v>416</v>
      </c>
    </row>
    <row r="170" spans="1:15" x14ac:dyDescent="0.35">
      <c r="A170" s="27" t="s">
        <v>288</v>
      </c>
      <c r="B170" s="12">
        <v>45713</v>
      </c>
      <c r="C170" s="11" t="s">
        <v>48</v>
      </c>
      <c r="D170" s="11" t="s">
        <v>13</v>
      </c>
      <c r="E170" s="11">
        <v>-5</v>
      </c>
      <c r="F170" s="11">
        <f t="shared" si="5"/>
        <v>-5</v>
      </c>
      <c r="G170" s="11" t="s">
        <v>24</v>
      </c>
      <c r="H170" s="11" t="s">
        <v>49</v>
      </c>
      <c r="I170" s="11" t="s">
        <v>21</v>
      </c>
      <c r="J170" s="11">
        <v>8.5</v>
      </c>
      <c r="K170" s="11">
        <v>18</v>
      </c>
      <c r="L170" s="11"/>
      <c r="M170" s="11">
        <f t="shared" si="4"/>
        <v>42.5</v>
      </c>
      <c r="N170" s="11">
        <f>IF(Table1[[#This Row],[Transaction Type]]="Sale",ABS(E170)*K170,0)</f>
        <v>90</v>
      </c>
      <c r="O170" s="29">
        <f>IF(Table1[[#This Row],[Transaction Type]]="Purchase",E170*J170,0)</f>
        <v>0</v>
      </c>
    </row>
    <row r="171" spans="1:15" x14ac:dyDescent="0.35">
      <c r="A171" s="27" t="s">
        <v>289</v>
      </c>
      <c r="B171" s="12">
        <v>45713</v>
      </c>
      <c r="C171" s="11" t="s">
        <v>43</v>
      </c>
      <c r="D171" s="11" t="s">
        <v>13</v>
      </c>
      <c r="E171" s="11">
        <v>-15</v>
      </c>
      <c r="F171" s="11">
        <f t="shared" si="5"/>
        <v>-15</v>
      </c>
      <c r="G171" s="11" t="s">
        <v>19</v>
      </c>
      <c r="H171" s="11" t="s">
        <v>44</v>
      </c>
      <c r="I171" s="11" t="s">
        <v>45</v>
      </c>
      <c r="J171" s="11">
        <v>5.2</v>
      </c>
      <c r="K171" s="11">
        <v>11</v>
      </c>
      <c r="L171" s="11"/>
      <c r="M171" s="11">
        <f t="shared" si="4"/>
        <v>78</v>
      </c>
      <c r="N171" s="11">
        <f>IF(Table1[[#This Row],[Transaction Type]]="Sale",ABS(E171)*K171,0)</f>
        <v>165</v>
      </c>
      <c r="O171" s="29">
        <f>IF(Table1[[#This Row],[Transaction Type]]="Purchase",E171*J171,0)</f>
        <v>0</v>
      </c>
    </row>
    <row r="172" spans="1:15" x14ac:dyDescent="0.35">
      <c r="A172" s="27" t="s">
        <v>290</v>
      </c>
      <c r="B172" s="12">
        <v>45714</v>
      </c>
      <c r="C172" s="11" t="s">
        <v>77</v>
      </c>
      <c r="D172" s="11" t="s">
        <v>40</v>
      </c>
      <c r="E172" s="11">
        <v>109</v>
      </c>
      <c r="F172" s="11">
        <f t="shared" si="5"/>
        <v>109</v>
      </c>
      <c r="G172" s="11" t="s">
        <v>24</v>
      </c>
      <c r="H172" s="11" t="s">
        <v>78</v>
      </c>
      <c r="I172" s="11" t="s">
        <v>16</v>
      </c>
      <c r="J172" s="11">
        <v>25</v>
      </c>
      <c r="K172" s="11">
        <v>42</v>
      </c>
      <c r="L172" s="11" t="s">
        <v>291</v>
      </c>
      <c r="M172" s="11">
        <f t="shared" si="4"/>
        <v>2725</v>
      </c>
      <c r="N172" s="11">
        <f>IF(Table1[[#This Row],[Transaction Type]]="Sale",ABS(E172)*K172,0)</f>
        <v>0</v>
      </c>
      <c r="O172" s="29">
        <f>IF(Table1[[#This Row],[Transaction Type]]="Purchase",E172*J172,0)</f>
        <v>2725</v>
      </c>
    </row>
    <row r="173" spans="1:15" x14ac:dyDescent="0.35">
      <c r="A173" s="27" t="s">
        <v>292</v>
      </c>
      <c r="B173" s="12">
        <v>45714</v>
      </c>
      <c r="C173" s="11" t="s">
        <v>48</v>
      </c>
      <c r="D173" s="11" t="s">
        <v>40</v>
      </c>
      <c r="E173" s="11">
        <v>80</v>
      </c>
      <c r="F173" s="11">
        <f t="shared" si="5"/>
        <v>80</v>
      </c>
      <c r="G173" s="11" t="s">
        <v>24</v>
      </c>
      <c r="H173" s="11" t="s">
        <v>49</v>
      </c>
      <c r="I173" s="11" t="s">
        <v>21</v>
      </c>
      <c r="J173" s="11">
        <v>8.5</v>
      </c>
      <c r="K173" s="11">
        <v>18</v>
      </c>
      <c r="L173" s="11" t="s">
        <v>293</v>
      </c>
      <c r="M173" s="11">
        <f t="shared" si="4"/>
        <v>680</v>
      </c>
      <c r="N173" s="11">
        <f>IF(Table1[[#This Row],[Transaction Type]]="Sale",ABS(E173)*K173,0)</f>
        <v>0</v>
      </c>
      <c r="O173" s="29">
        <f>IF(Table1[[#This Row],[Transaction Type]]="Purchase",E173*J173,0)</f>
        <v>680</v>
      </c>
    </row>
    <row r="174" spans="1:15" x14ac:dyDescent="0.35">
      <c r="A174" s="27" t="s">
        <v>294</v>
      </c>
      <c r="B174" s="12">
        <v>45714</v>
      </c>
      <c r="C174" s="11" t="s">
        <v>60</v>
      </c>
      <c r="D174" s="11" t="s">
        <v>13</v>
      </c>
      <c r="E174" s="11">
        <v>-6</v>
      </c>
      <c r="F174" s="11">
        <f t="shared" si="5"/>
        <v>-6</v>
      </c>
      <c r="G174" s="11" t="s">
        <v>19</v>
      </c>
      <c r="H174" s="11" t="s">
        <v>61</v>
      </c>
      <c r="I174" s="11" t="s">
        <v>62</v>
      </c>
      <c r="J174" s="11">
        <v>3.4</v>
      </c>
      <c r="K174" s="11">
        <v>8</v>
      </c>
      <c r="L174" s="11"/>
      <c r="M174" s="11">
        <f t="shared" si="4"/>
        <v>20.399999999999999</v>
      </c>
      <c r="N174" s="11">
        <f>IF(Table1[[#This Row],[Transaction Type]]="Sale",ABS(E174)*K174,0)</f>
        <v>48</v>
      </c>
      <c r="O174" s="29">
        <f>IF(Table1[[#This Row],[Transaction Type]]="Purchase",E174*J174,0)</f>
        <v>0</v>
      </c>
    </row>
    <row r="175" spans="1:15" x14ac:dyDescent="0.35">
      <c r="A175" s="27" t="s">
        <v>295</v>
      </c>
      <c r="B175" s="12">
        <v>45714</v>
      </c>
      <c r="C175" s="11" t="s">
        <v>94</v>
      </c>
      <c r="D175" s="11" t="s">
        <v>58</v>
      </c>
      <c r="E175" s="11">
        <v>-20</v>
      </c>
      <c r="F175" s="11">
        <f t="shared" si="5"/>
        <v>-20</v>
      </c>
      <c r="G175" s="11" t="s">
        <v>14</v>
      </c>
      <c r="H175" s="11" t="s">
        <v>95</v>
      </c>
      <c r="I175" s="11" t="s">
        <v>16</v>
      </c>
      <c r="J175" s="11">
        <v>18.5</v>
      </c>
      <c r="K175" s="11">
        <v>31</v>
      </c>
      <c r="L175" s="11"/>
      <c r="M175" s="11">
        <f t="shared" si="4"/>
        <v>370</v>
      </c>
      <c r="N175" s="11">
        <f>IF(Table1[[#This Row],[Transaction Type]]="Sale",ABS(E175)*K175,0)</f>
        <v>0</v>
      </c>
      <c r="O175" s="29">
        <f>IF(Table1[[#This Row],[Transaction Type]]="Purchase",E175*J175,0)</f>
        <v>0</v>
      </c>
    </row>
    <row r="176" spans="1:15" x14ac:dyDescent="0.35">
      <c r="A176" s="27" t="s">
        <v>296</v>
      </c>
      <c r="B176" s="12">
        <v>45714</v>
      </c>
      <c r="C176" s="11" t="s">
        <v>136</v>
      </c>
      <c r="D176" s="11" t="s">
        <v>40</v>
      </c>
      <c r="E176" s="11">
        <v>106</v>
      </c>
      <c r="F176" s="11">
        <f t="shared" si="5"/>
        <v>106</v>
      </c>
      <c r="G176" s="11" t="s">
        <v>14</v>
      </c>
      <c r="H176" s="11" t="s">
        <v>33</v>
      </c>
      <c r="I176" s="11" t="s">
        <v>34</v>
      </c>
      <c r="J176" s="11">
        <v>34</v>
      </c>
      <c r="K176" s="11">
        <v>55</v>
      </c>
      <c r="L176" s="11" t="s">
        <v>297</v>
      </c>
      <c r="M176" s="11">
        <f t="shared" si="4"/>
        <v>3604</v>
      </c>
      <c r="N176" s="11">
        <f>IF(Table1[[#This Row],[Transaction Type]]="Sale",ABS(E176)*K176,0)</f>
        <v>0</v>
      </c>
      <c r="O176" s="29">
        <f>IF(Table1[[#This Row],[Transaction Type]]="Purchase",E176*J176,0)</f>
        <v>3604</v>
      </c>
    </row>
    <row r="177" spans="1:15" x14ac:dyDescent="0.35">
      <c r="A177" s="27" t="s">
        <v>298</v>
      </c>
      <c r="B177" s="12">
        <v>45714</v>
      </c>
      <c r="C177" s="11" t="s">
        <v>55</v>
      </c>
      <c r="D177" s="11" t="s">
        <v>58</v>
      </c>
      <c r="E177" s="11">
        <v>-15</v>
      </c>
      <c r="F177" s="11">
        <f t="shared" si="5"/>
        <v>-15</v>
      </c>
      <c r="G177" s="11" t="s">
        <v>14</v>
      </c>
      <c r="H177" s="11" t="s">
        <v>56</v>
      </c>
      <c r="I177" s="11" t="s">
        <v>16</v>
      </c>
      <c r="J177" s="11">
        <v>4.2</v>
      </c>
      <c r="K177" s="11">
        <v>10</v>
      </c>
      <c r="L177" s="11"/>
      <c r="M177" s="11">
        <f t="shared" si="4"/>
        <v>63</v>
      </c>
      <c r="N177" s="11">
        <f>IF(Table1[[#This Row],[Transaction Type]]="Sale",ABS(E177)*K177,0)</f>
        <v>0</v>
      </c>
      <c r="O177" s="29">
        <f>IF(Table1[[#This Row],[Transaction Type]]="Purchase",E177*J177,0)</f>
        <v>0</v>
      </c>
    </row>
    <row r="178" spans="1:15" x14ac:dyDescent="0.35">
      <c r="A178" s="27" t="s">
        <v>299</v>
      </c>
      <c r="B178" s="12">
        <v>45714</v>
      </c>
      <c r="C178" s="11" t="s">
        <v>48</v>
      </c>
      <c r="D178" s="11" t="s">
        <v>13</v>
      </c>
      <c r="E178" s="11">
        <v>-3</v>
      </c>
      <c r="F178" s="11">
        <f t="shared" si="5"/>
        <v>-3</v>
      </c>
      <c r="G178" s="11" t="s">
        <v>19</v>
      </c>
      <c r="H178" s="11" t="s">
        <v>49</v>
      </c>
      <c r="I178" s="11" t="s">
        <v>21</v>
      </c>
      <c r="J178" s="11">
        <v>8.5</v>
      </c>
      <c r="K178" s="11">
        <v>18</v>
      </c>
      <c r="L178" s="11"/>
      <c r="M178" s="11">
        <f t="shared" si="4"/>
        <v>25.5</v>
      </c>
      <c r="N178" s="11">
        <f>IF(Table1[[#This Row],[Transaction Type]]="Sale",ABS(E178)*K178,0)</f>
        <v>54</v>
      </c>
      <c r="O178" s="29">
        <f>IF(Table1[[#This Row],[Transaction Type]]="Purchase",E178*J178,0)</f>
        <v>0</v>
      </c>
    </row>
    <row r="179" spans="1:15" x14ac:dyDescent="0.35">
      <c r="A179" s="27" t="s">
        <v>300</v>
      </c>
      <c r="B179" s="12">
        <v>45715</v>
      </c>
      <c r="C179" s="11" t="s">
        <v>141</v>
      </c>
      <c r="D179" s="11" t="s">
        <v>40</v>
      </c>
      <c r="E179" s="11">
        <v>88</v>
      </c>
      <c r="F179" s="11">
        <f t="shared" si="5"/>
        <v>88</v>
      </c>
      <c r="G179" s="11" t="s">
        <v>24</v>
      </c>
      <c r="H179" s="11" t="s">
        <v>25</v>
      </c>
      <c r="I179" s="11" t="s">
        <v>26</v>
      </c>
      <c r="J179" s="11">
        <v>4</v>
      </c>
      <c r="K179" s="11">
        <v>9</v>
      </c>
      <c r="L179" s="11" t="s">
        <v>301</v>
      </c>
      <c r="M179" s="11">
        <f t="shared" si="4"/>
        <v>352</v>
      </c>
      <c r="N179" s="11">
        <f>IF(Table1[[#This Row],[Transaction Type]]="Sale",ABS(E179)*K179,0)</f>
        <v>0</v>
      </c>
      <c r="O179" s="29">
        <f>IF(Table1[[#This Row],[Transaction Type]]="Purchase",E179*J179,0)</f>
        <v>352</v>
      </c>
    </row>
    <row r="180" spans="1:15" x14ac:dyDescent="0.35">
      <c r="A180" s="27" t="s">
        <v>302</v>
      </c>
      <c r="B180" s="12">
        <v>45715</v>
      </c>
      <c r="C180" s="11" t="s">
        <v>69</v>
      </c>
      <c r="D180" s="11" t="s">
        <v>13</v>
      </c>
      <c r="E180" s="11">
        <v>-3</v>
      </c>
      <c r="F180" s="11">
        <f t="shared" si="5"/>
        <v>-3</v>
      </c>
      <c r="G180" s="11" t="s">
        <v>19</v>
      </c>
      <c r="H180" s="11" t="s">
        <v>70</v>
      </c>
      <c r="I180" s="11" t="s">
        <v>16</v>
      </c>
      <c r="J180" s="11">
        <v>23</v>
      </c>
      <c r="K180" s="11">
        <v>38</v>
      </c>
      <c r="L180" s="11"/>
      <c r="M180" s="11">
        <f t="shared" si="4"/>
        <v>69</v>
      </c>
      <c r="N180" s="11">
        <f>IF(Table1[[#This Row],[Transaction Type]]="Sale",ABS(E180)*K180,0)</f>
        <v>114</v>
      </c>
      <c r="O180" s="29">
        <f>IF(Table1[[#This Row],[Transaction Type]]="Purchase",E180*J180,0)</f>
        <v>0</v>
      </c>
    </row>
    <row r="181" spans="1:15" x14ac:dyDescent="0.35">
      <c r="A181" s="27" t="s">
        <v>303</v>
      </c>
      <c r="B181" s="12">
        <v>45715</v>
      </c>
      <c r="C181" s="11" t="s">
        <v>55</v>
      </c>
      <c r="D181" s="11" t="s">
        <v>13</v>
      </c>
      <c r="E181" s="11">
        <v>-6</v>
      </c>
      <c r="F181" s="11">
        <f t="shared" si="5"/>
        <v>-6</v>
      </c>
      <c r="G181" s="11" t="s">
        <v>14</v>
      </c>
      <c r="H181" s="11" t="s">
        <v>56</v>
      </c>
      <c r="I181" s="11" t="s">
        <v>16</v>
      </c>
      <c r="J181" s="11">
        <v>4.2</v>
      </c>
      <c r="K181" s="11">
        <v>10</v>
      </c>
      <c r="L181" s="11"/>
      <c r="M181" s="11">
        <f t="shared" si="4"/>
        <v>25.200000000000003</v>
      </c>
      <c r="N181" s="11">
        <f>IF(Table1[[#This Row],[Transaction Type]]="Sale",ABS(E181)*K181,0)</f>
        <v>60</v>
      </c>
      <c r="O181" s="29">
        <f>IF(Table1[[#This Row],[Transaction Type]]="Purchase",E181*J181,0)</f>
        <v>0</v>
      </c>
    </row>
    <row r="182" spans="1:15" x14ac:dyDescent="0.35">
      <c r="A182" s="27" t="s">
        <v>304</v>
      </c>
      <c r="B182" s="12">
        <v>45715</v>
      </c>
      <c r="C182" s="11" t="s">
        <v>141</v>
      </c>
      <c r="D182" s="11" t="s">
        <v>13</v>
      </c>
      <c r="E182" s="11">
        <v>-10</v>
      </c>
      <c r="F182" s="11">
        <f t="shared" si="5"/>
        <v>-10</v>
      </c>
      <c r="G182" s="11" t="s">
        <v>19</v>
      </c>
      <c r="H182" s="11" t="s">
        <v>25</v>
      </c>
      <c r="I182" s="11" t="s">
        <v>26</v>
      </c>
      <c r="J182" s="11">
        <v>4</v>
      </c>
      <c r="K182" s="11">
        <v>9</v>
      </c>
      <c r="L182" s="11"/>
      <c r="M182" s="11">
        <f t="shared" si="4"/>
        <v>40</v>
      </c>
      <c r="N182" s="11">
        <f>IF(Table1[[#This Row],[Transaction Type]]="Sale",ABS(E182)*K182,0)</f>
        <v>90</v>
      </c>
      <c r="O182" s="29">
        <f>IF(Table1[[#This Row],[Transaction Type]]="Purchase",E182*J182,0)</f>
        <v>0</v>
      </c>
    </row>
    <row r="183" spans="1:15" x14ac:dyDescent="0.35">
      <c r="A183" s="27" t="s">
        <v>305</v>
      </c>
      <c r="B183" s="12">
        <v>45715</v>
      </c>
      <c r="C183" s="11" t="s">
        <v>23</v>
      </c>
      <c r="D183" s="11" t="s">
        <v>58</v>
      </c>
      <c r="E183" s="11">
        <v>-20</v>
      </c>
      <c r="F183" s="11">
        <f t="shared" si="5"/>
        <v>-20</v>
      </c>
      <c r="G183" s="11" t="s">
        <v>24</v>
      </c>
      <c r="H183" s="11" t="s">
        <v>25</v>
      </c>
      <c r="I183" s="11" t="s">
        <v>26</v>
      </c>
      <c r="J183" s="11">
        <v>3</v>
      </c>
      <c r="K183" s="11">
        <v>7</v>
      </c>
      <c r="L183" s="11"/>
      <c r="M183" s="11">
        <f t="shared" si="4"/>
        <v>60</v>
      </c>
      <c r="N183" s="11">
        <f>IF(Table1[[#This Row],[Transaction Type]]="Sale",ABS(E183)*K183,0)</f>
        <v>0</v>
      </c>
      <c r="O183" s="29">
        <f>IF(Table1[[#This Row],[Transaction Type]]="Purchase",E183*J183,0)</f>
        <v>0</v>
      </c>
    </row>
    <row r="184" spans="1:15" x14ac:dyDescent="0.35">
      <c r="A184" s="27" t="s">
        <v>306</v>
      </c>
      <c r="B184" s="12">
        <v>45715</v>
      </c>
      <c r="C184" s="11" t="s">
        <v>139</v>
      </c>
      <c r="D184" s="11" t="s">
        <v>13</v>
      </c>
      <c r="E184" s="11">
        <v>-7</v>
      </c>
      <c r="F184" s="11">
        <f t="shared" si="5"/>
        <v>-7</v>
      </c>
      <c r="G184" s="11" t="s">
        <v>19</v>
      </c>
      <c r="H184" s="11" t="s">
        <v>56</v>
      </c>
      <c r="I184" s="11" t="s">
        <v>16</v>
      </c>
      <c r="J184" s="11">
        <v>16.5</v>
      </c>
      <c r="K184" s="11">
        <v>28</v>
      </c>
      <c r="L184" s="11"/>
      <c r="M184" s="11">
        <f t="shared" si="4"/>
        <v>115.5</v>
      </c>
      <c r="N184" s="11">
        <f>IF(Table1[[#This Row],[Transaction Type]]="Sale",ABS(E184)*K184,0)</f>
        <v>196</v>
      </c>
      <c r="O184" s="29">
        <f>IF(Table1[[#This Row],[Transaction Type]]="Purchase",E184*J184,0)</f>
        <v>0</v>
      </c>
    </row>
    <row r="185" spans="1:15" x14ac:dyDescent="0.35">
      <c r="A185" s="27" t="s">
        <v>307</v>
      </c>
      <c r="B185" s="12">
        <v>45715</v>
      </c>
      <c r="C185" s="11" t="s">
        <v>18</v>
      </c>
      <c r="D185" s="11" t="s">
        <v>13</v>
      </c>
      <c r="E185" s="11">
        <v>-7</v>
      </c>
      <c r="F185" s="11">
        <f t="shared" si="5"/>
        <v>-7</v>
      </c>
      <c r="G185" s="11" t="s">
        <v>14</v>
      </c>
      <c r="H185" s="11" t="s">
        <v>20</v>
      </c>
      <c r="I185" s="11" t="s">
        <v>21</v>
      </c>
      <c r="J185" s="11">
        <v>2.6</v>
      </c>
      <c r="K185" s="11">
        <v>5.5</v>
      </c>
      <c r="L185" s="11"/>
      <c r="M185" s="11">
        <f t="shared" si="4"/>
        <v>18.2</v>
      </c>
      <c r="N185" s="11">
        <f>IF(Table1[[#This Row],[Transaction Type]]="Sale",ABS(E185)*K185,0)</f>
        <v>38.5</v>
      </c>
      <c r="O185" s="29">
        <f>IF(Table1[[#This Row],[Transaction Type]]="Purchase",E185*J185,0)</f>
        <v>0</v>
      </c>
    </row>
    <row r="186" spans="1:15" x14ac:dyDescent="0.35">
      <c r="A186" s="27" t="s">
        <v>308</v>
      </c>
      <c r="B186" s="12">
        <v>45716</v>
      </c>
      <c r="C186" s="11" t="s">
        <v>23</v>
      </c>
      <c r="D186" s="11" t="s">
        <v>40</v>
      </c>
      <c r="E186" s="11">
        <v>60</v>
      </c>
      <c r="F186" s="11">
        <f t="shared" si="5"/>
        <v>60</v>
      </c>
      <c r="G186" s="11" t="s">
        <v>14</v>
      </c>
      <c r="H186" s="11" t="s">
        <v>25</v>
      </c>
      <c r="I186" s="11" t="s">
        <v>26</v>
      </c>
      <c r="J186" s="11">
        <v>3</v>
      </c>
      <c r="K186" s="11">
        <v>7</v>
      </c>
      <c r="L186" s="11" t="s">
        <v>309</v>
      </c>
      <c r="M186" s="11">
        <f t="shared" si="4"/>
        <v>180</v>
      </c>
      <c r="N186" s="11">
        <f>IF(Table1[[#This Row],[Transaction Type]]="Sale",ABS(E186)*K186,0)</f>
        <v>0</v>
      </c>
      <c r="O186" s="29">
        <f>IF(Table1[[#This Row],[Transaction Type]]="Purchase",E186*J186,0)</f>
        <v>180</v>
      </c>
    </row>
    <row r="187" spans="1:15" x14ac:dyDescent="0.35">
      <c r="A187" s="27" t="s">
        <v>310</v>
      </c>
      <c r="B187" s="12">
        <v>45716</v>
      </c>
      <c r="C187" s="11" t="s">
        <v>65</v>
      </c>
      <c r="D187" s="11" t="s">
        <v>13</v>
      </c>
      <c r="E187" s="11">
        <v>-13</v>
      </c>
      <c r="F187" s="11">
        <f t="shared" si="5"/>
        <v>-13</v>
      </c>
      <c r="G187" s="11" t="s">
        <v>14</v>
      </c>
      <c r="H187" s="11" t="s">
        <v>67</v>
      </c>
      <c r="I187" s="11" t="s">
        <v>21</v>
      </c>
      <c r="J187" s="11">
        <v>11</v>
      </c>
      <c r="K187" s="11">
        <v>22</v>
      </c>
      <c r="L187" s="11"/>
      <c r="M187" s="11">
        <f t="shared" si="4"/>
        <v>143</v>
      </c>
      <c r="N187" s="11">
        <f>IF(Table1[[#This Row],[Transaction Type]]="Sale",ABS(E187)*K187,0)</f>
        <v>286</v>
      </c>
      <c r="O187" s="29">
        <f>IF(Table1[[#This Row],[Transaction Type]]="Purchase",E187*J187,0)</f>
        <v>0</v>
      </c>
    </row>
    <row r="188" spans="1:15" x14ac:dyDescent="0.35">
      <c r="A188" s="27" t="s">
        <v>311</v>
      </c>
      <c r="B188" s="12">
        <v>45716</v>
      </c>
      <c r="C188" s="11" t="s">
        <v>36</v>
      </c>
      <c r="D188" s="11" t="s">
        <v>13</v>
      </c>
      <c r="E188" s="11">
        <v>-7</v>
      </c>
      <c r="F188" s="11">
        <f t="shared" si="5"/>
        <v>-7</v>
      </c>
      <c r="G188" s="11" t="s">
        <v>24</v>
      </c>
      <c r="H188" s="11" t="s">
        <v>37</v>
      </c>
      <c r="I188" s="11" t="s">
        <v>16</v>
      </c>
      <c r="J188" s="11">
        <v>7.2</v>
      </c>
      <c r="K188" s="11">
        <v>12.5</v>
      </c>
      <c r="L188" s="11"/>
      <c r="M188" s="11">
        <f t="shared" si="4"/>
        <v>50.4</v>
      </c>
      <c r="N188" s="11">
        <f>IF(Table1[[#This Row],[Transaction Type]]="Sale",ABS(E188)*K188,0)</f>
        <v>87.5</v>
      </c>
      <c r="O188" s="29">
        <f>IF(Table1[[#This Row],[Transaction Type]]="Purchase",E188*J188,0)</f>
        <v>0</v>
      </c>
    </row>
    <row r="189" spans="1:15" x14ac:dyDescent="0.35">
      <c r="A189" s="27" t="s">
        <v>312</v>
      </c>
      <c r="B189" s="12">
        <v>45717</v>
      </c>
      <c r="C189" s="11" t="s">
        <v>87</v>
      </c>
      <c r="D189" s="11" t="s">
        <v>13</v>
      </c>
      <c r="E189" s="11">
        <v>-5</v>
      </c>
      <c r="F189" s="11">
        <f t="shared" si="5"/>
        <v>-5</v>
      </c>
      <c r="G189" s="11" t="s">
        <v>24</v>
      </c>
      <c r="H189" s="11" t="s">
        <v>88</v>
      </c>
      <c r="I189" s="11" t="s">
        <v>16</v>
      </c>
      <c r="J189" s="11">
        <v>6</v>
      </c>
      <c r="K189" s="11">
        <v>14</v>
      </c>
      <c r="L189" s="11"/>
      <c r="M189" s="11">
        <f t="shared" si="4"/>
        <v>30</v>
      </c>
      <c r="N189" s="11">
        <f>IF(Table1[[#This Row],[Transaction Type]]="Sale",ABS(E189)*K189,0)</f>
        <v>70</v>
      </c>
      <c r="O189" s="29">
        <f>IF(Table1[[#This Row],[Transaction Type]]="Purchase",E189*J189,0)</f>
        <v>0</v>
      </c>
    </row>
    <row r="190" spans="1:15" x14ac:dyDescent="0.35">
      <c r="A190" s="27" t="s">
        <v>313</v>
      </c>
      <c r="B190" s="12">
        <v>45718</v>
      </c>
      <c r="C190" s="11" t="s">
        <v>52</v>
      </c>
      <c r="D190" s="11" t="s">
        <v>13</v>
      </c>
      <c r="E190" s="11">
        <v>-1</v>
      </c>
      <c r="F190" s="11">
        <f t="shared" si="5"/>
        <v>-1</v>
      </c>
      <c r="G190" s="11" t="s">
        <v>14</v>
      </c>
      <c r="H190" s="11" t="s">
        <v>20</v>
      </c>
      <c r="I190" s="11" t="s">
        <v>21</v>
      </c>
      <c r="J190" s="11">
        <v>5.5</v>
      </c>
      <c r="K190" s="11">
        <v>12</v>
      </c>
      <c r="L190" s="11"/>
      <c r="M190" s="11">
        <f t="shared" si="4"/>
        <v>5.5</v>
      </c>
      <c r="N190" s="11">
        <f>IF(Table1[[#This Row],[Transaction Type]]="Sale",ABS(E190)*K190,0)</f>
        <v>12</v>
      </c>
      <c r="O190" s="29">
        <f>IF(Table1[[#This Row],[Transaction Type]]="Purchase",E190*J190,0)</f>
        <v>0</v>
      </c>
    </row>
    <row r="191" spans="1:15" x14ac:dyDescent="0.35">
      <c r="A191" s="27" t="s">
        <v>314</v>
      </c>
      <c r="B191" s="12">
        <v>45719</v>
      </c>
      <c r="C191" s="11" t="s">
        <v>69</v>
      </c>
      <c r="D191" s="11" t="s">
        <v>40</v>
      </c>
      <c r="E191" s="11">
        <v>82</v>
      </c>
      <c r="F191" s="11">
        <f t="shared" si="5"/>
        <v>82</v>
      </c>
      <c r="G191" s="11" t="s">
        <v>14</v>
      </c>
      <c r="H191" s="11" t="s">
        <v>70</v>
      </c>
      <c r="I191" s="11" t="s">
        <v>16</v>
      </c>
      <c r="J191" s="11">
        <v>23</v>
      </c>
      <c r="K191" s="11">
        <v>38</v>
      </c>
      <c r="L191" s="11" t="s">
        <v>315</v>
      </c>
      <c r="M191" s="11">
        <f t="shared" si="4"/>
        <v>1886</v>
      </c>
      <c r="N191" s="11">
        <f>IF(Table1[[#This Row],[Transaction Type]]="Sale",ABS(E191)*K191,0)</f>
        <v>0</v>
      </c>
      <c r="O191" s="29">
        <f>IF(Table1[[#This Row],[Transaction Type]]="Purchase",E191*J191,0)</f>
        <v>1886</v>
      </c>
    </row>
    <row r="192" spans="1:15" x14ac:dyDescent="0.35">
      <c r="A192" s="27" t="s">
        <v>316</v>
      </c>
      <c r="B192" s="12">
        <v>45719</v>
      </c>
      <c r="C192" s="11" t="s">
        <v>23</v>
      </c>
      <c r="D192" s="11" t="s">
        <v>13</v>
      </c>
      <c r="E192" s="11">
        <v>-6</v>
      </c>
      <c r="F192" s="11">
        <f t="shared" si="5"/>
        <v>-6</v>
      </c>
      <c r="G192" s="11" t="s">
        <v>14</v>
      </c>
      <c r="H192" s="11" t="s">
        <v>25</v>
      </c>
      <c r="I192" s="11" t="s">
        <v>26</v>
      </c>
      <c r="J192" s="11">
        <v>3</v>
      </c>
      <c r="K192" s="11">
        <v>7</v>
      </c>
      <c r="L192" s="11"/>
      <c r="M192" s="11">
        <f t="shared" si="4"/>
        <v>18</v>
      </c>
      <c r="N192" s="11">
        <f>IF(Table1[[#This Row],[Transaction Type]]="Sale",ABS(E192)*K192,0)</f>
        <v>42</v>
      </c>
      <c r="O192" s="29">
        <f>IF(Table1[[#This Row],[Transaction Type]]="Purchase",E192*J192,0)</f>
        <v>0</v>
      </c>
    </row>
    <row r="193" spans="1:15" x14ac:dyDescent="0.35">
      <c r="A193" s="27" t="s">
        <v>317</v>
      </c>
      <c r="B193" s="12">
        <v>45719</v>
      </c>
      <c r="C193" s="11" t="s">
        <v>36</v>
      </c>
      <c r="D193" s="11" t="s">
        <v>58</v>
      </c>
      <c r="E193" s="11">
        <v>-13</v>
      </c>
      <c r="F193" s="11">
        <f t="shared" si="5"/>
        <v>-13</v>
      </c>
      <c r="G193" s="11" t="s">
        <v>14</v>
      </c>
      <c r="H193" s="11" t="s">
        <v>37</v>
      </c>
      <c r="I193" s="11" t="s">
        <v>16</v>
      </c>
      <c r="J193" s="11">
        <v>7.2</v>
      </c>
      <c r="K193" s="11">
        <v>12.5</v>
      </c>
      <c r="L193" s="11"/>
      <c r="M193" s="11">
        <f t="shared" si="4"/>
        <v>93.600000000000009</v>
      </c>
      <c r="N193" s="11">
        <f>IF(Table1[[#This Row],[Transaction Type]]="Sale",ABS(E193)*K193,0)</f>
        <v>0</v>
      </c>
      <c r="O193" s="29">
        <f>IF(Table1[[#This Row],[Transaction Type]]="Purchase",E193*J193,0)</f>
        <v>0</v>
      </c>
    </row>
    <row r="194" spans="1:15" x14ac:dyDescent="0.35">
      <c r="A194" s="27" t="s">
        <v>318</v>
      </c>
      <c r="B194" s="12">
        <v>45719</v>
      </c>
      <c r="C194" s="11" t="s">
        <v>48</v>
      </c>
      <c r="D194" s="11" t="s">
        <v>40</v>
      </c>
      <c r="E194" s="11">
        <v>66</v>
      </c>
      <c r="F194" s="11">
        <f t="shared" si="5"/>
        <v>66</v>
      </c>
      <c r="G194" s="11" t="s">
        <v>14</v>
      </c>
      <c r="H194" s="11" t="s">
        <v>49</v>
      </c>
      <c r="I194" s="11" t="s">
        <v>21</v>
      </c>
      <c r="J194" s="11">
        <v>8.5</v>
      </c>
      <c r="K194" s="11">
        <v>18</v>
      </c>
      <c r="L194" s="11" t="s">
        <v>319</v>
      </c>
      <c r="M194" s="11">
        <f t="shared" ref="M194:M257" si="6">ABS(E194)*J194</f>
        <v>561</v>
      </c>
      <c r="N194" s="11">
        <f>IF(Table1[[#This Row],[Transaction Type]]="Sale",ABS(E194)*K194,0)</f>
        <v>0</v>
      </c>
      <c r="O194" s="29">
        <f>IF(Table1[[#This Row],[Transaction Type]]="Purchase",E194*J194,0)</f>
        <v>561</v>
      </c>
    </row>
    <row r="195" spans="1:15" x14ac:dyDescent="0.35">
      <c r="A195" s="27" t="s">
        <v>320</v>
      </c>
      <c r="B195" s="12">
        <v>45720</v>
      </c>
      <c r="C195" s="11" t="s">
        <v>81</v>
      </c>
      <c r="D195" s="11" t="s">
        <v>13</v>
      </c>
      <c r="E195" s="11">
        <v>-13</v>
      </c>
      <c r="F195" s="11">
        <f t="shared" ref="F195:F258" si="7">E195</f>
        <v>-13</v>
      </c>
      <c r="G195" s="11" t="s">
        <v>24</v>
      </c>
      <c r="H195" s="11" t="s">
        <v>30</v>
      </c>
      <c r="I195" s="11" t="s">
        <v>16</v>
      </c>
      <c r="J195" s="11">
        <v>8</v>
      </c>
      <c r="K195" s="11">
        <v>15</v>
      </c>
      <c r="L195" s="11"/>
      <c r="M195" s="11">
        <f t="shared" si="6"/>
        <v>104</v>
      </c>
      <c r="N195" s="11">
        <f>IF(Table1[[#This Row],[Transaction Type]]="Sale",ABS(E195)*K195,0)</f>
        <v>195</v>
      </c>
      <c r="O195" s="29">
        <f>IF(Table1[[#This Row],[Transaction Type]]="Purchase",E195*J195,0)</f>
        <v>0</v>
      </c>
    </row>
    <row r="196" spans="1:15" x14ac:dyDescent="0.35">
      <c r="A196" s="27" t="s">
        <v>321</v>
      </c>
      <c r="B196" s="12">
        <v>45720</v>
      </c>
      <c r="C196" s="11" t="s">
        <v>73</v>
      </c>
      <c r="D196" s="11" t="s">
        <v>13</v>
      </c>
      <c r="E196" s="11">
        <v>-8</v>
      </c>
      <c r="F196" s="11">
        <f t="shared" si="7"/>
        <v>-8</v>
      </c>
      <c r="G196" s="11" t="s">
        <v>19</v>
      </c>
      <c r="H196" s="11" t="s">
        <v>74</v>
      </c>
      <c r="I196" s="11" t="s">
        <v>75</v>
      </c>
      <c r="J196" s="11">
        <v>30</v>
      </c>
      <c r="K196" s="11">
        <v>48</v>
      </c>
      <c r="L196" s="11"/>
      <c r="M196" s="11">
        <f t="shared" si="6"/>
        <v>240</v>
      </c>
      <c r="N196" s="11">
        <f>IF(Table1[[#This Row],[Transaction Type]]="Sale",ABS(E196)*K196,0)</f>
        <v>384</v>
      </c>
      <c r="O196" s="29">
        <f>IF(Table1[[#This Row],[Transaction Type]]="Purchase",E196*J196,0)</f>
        <v>0</v>
      </c>
    </row>
    <row r="197" spans="1:15" x14ac:dyDescent="0.35">
      <c r="A197" s="27" t="s">
        <v>322</v>
      </c>
      <c r="B197" s="12">
        <v>45721</v>
      </c>
      <c r="C197" s="11" t="s">
        <v>36</v>
      </c>
      <c r="D197" s="11" t="s">
        <v>13</v>
      </c>
      <c r="E197" s="11">
        <v>-2</v>
      </c>
      <c r="F197" s="11">
        <f t="shared" si="7"/>
        <v>-2</v>
      </c>
      <c r="G197" s="11" t="s">
        <v>14</v>
      </c>
      <c r="H197" s="11" t="s">
        <v>37</v>
      </c>
      <c r="I197" s="11" t="s">
        <v>16</v>
      </c>
      <c r="J197" s="11">
        <v>7.2</v>
      </c>
      <c r="K197" s="11">
        <v>12.5</v>
      </c>
      <c r="L197" s="11"/>
      <c r="M197" s="11">
        <f t="shared" si="6"/>
        <v>14.4</v>
      </c>
      <c r="N197" s="11">
        <f>IF(Table1[[#This Row],[Transaction Type]]="Sale",ABS(E197)*K197,0)</f>
        <v>25</v>
      </c>
      <c r="O197" s="29">
        <f>IF(Table1[[#This Row],[Transaction Type]]="Purchase",E197*J197,0)</f>
        <v>0</v>
      </c>
    </row>
    <row r="198" spans="1:15" x14ac:dyDescent="0.35">
      <c r="A198" s="27" t="s">
        <v>323</v>
      </c>
      <c r="B198" s="12">
        <v>45721</v>
      </c>
      <c r="C198" s="11" t="s">
        <v>141</v>
      </c>
      <c r="D198" s="11" t="s">
        <v>13</v>
      </c>
      <c r="E198" s="11">
        <v>-1</v>
      </c>
      <c r="F198" s="11">
        <f t="shared" si="7"/>
        <v>-1</v>
      </c>
      <c r="G198" s="11" t="s">
        <v>24</v>
      </c>
      <c r="H198" s="11" t="s">
        <v>25</v>
      </c>
      <c r="I198" s="11" t="s">
        <v>26</v>
      </c>
      <c r="J198" s="11">
        <v>4</v>
      </c>
      <c r="K198" s="11">
        <v>9</v>
      </c>
      <c r="L198" s="11"/>
      <c r="M198" s="11">
        <f t="shared" si="6"/>
        <v>4</v>
      </c>
      <c r="N198" s="11">
        <f>IF(Table1[[#This Row],[Transaction Type]]="Sale",ABS(E198)*K198,0)</f>
        <v>9</v>
      </c>
      <c r="O198" s="29">
        <f>IF(Table1[[#This Row],[Transaction Type]]="Purchase",E198*J198,0)</f>
        <v>0</v>
      </c>
    </row>
    <row r="199" spans="1:15" x14ac:dyDescent="0.35">
      <c r="A199" s="27" t="s">
        <v>324</v>
      </c>
      <c r="B199" s="12">
        <v>45722</v>
      </c>
      <c r="C199" s="11" t="s">
        <v>87</v>
      </c>
      <c r="D199" s="11" t="s">
        <v>13</v>
      </c>
      <c r="E199" s="11">
        <v>-13</v>
      </c>
      <c r="F199" s="11">
        <f t="shared" si="7"/>
        <v>-13</v>
      </c>
      <c r="G199" s="11" t="s">
        <v>14</v>
      </c>
      <c r="H199" s="11" t="s">
        <v>88</v>
      </c>
      <c r="I199" s="11" t="s">
        <v>16</v>
      </c>
      <c r="J199" s="11">
        <v>6</v>
      </c>
      <c r="K199" s="11">
        <v>14</v>
      </c>
      <c r="L199" s="11"/>
      <c r="M199" s="11">
        <f t="shared" si="6"/>
        <v>78</v>
      </c>
      <c r="N199" s="11">
        <f>IF(Table1[[#This Row],[Transaction Type]]="Sale",ABS(E199)*K199,0)</f>
        <v>182</v>
      </c>
      <c r="O199" s="29">
        <f>IF(Table1[[#This Row],[Transaction Type]]="Purchase",E199*J199,0)</f>
        <v>0</v>
      </c>
    </row>
    <row r="200" spans="1:15" x14ac:dyDescent="0.35">
      <c r="A200" s="27" t="s">
        <v>325</v>
      </c>
      <c r="B200" s="12">
        <v>45722</v>
      </c>
      <c r="C200" s="11" t="s">
        <v>139</v>
      </c>
      <c r="D200" s="11" t="s">
        <v>40</v>
      </c>
      <c r="E200" s="11">
        <v>61</v>
      </c>
      <c r="F200" s="11">
        <f t="shared" si="7"/>
        <v>61</v>
      </c>
      <c r="G200" s="11" t="s">
        <v>24</v>
      </c>
      <c r="H200" s="11" t="s">
        <v>56</v>
      </c>
      <c r="I200" s="11" t="s">
        <v>16</v>
      </c>
      <c r="J200" s="11">
        <v>16.5</v>
      </c>
      <c r="K200" s="11">
        <v>28</v>
      </c>
      <c r="L200" s="11" t="s">
        <v>326</v>
      </c>
      <c r="M200" s="11">
        <f t="shared" si="6"/>
        <v>1006.5</v>
      </c>
      <c r="N200" s="11">
        <f>IF(Table1[[#This Row],[Transaction Type]]="Sale",ABS(E200)*K200,0)</f>
        <v>0</v>
      </c>
      <c r="O200" s="29">
        <f>IF(Table1[[#This Row],[Transaction Type]]="Purchase",E200*J200,0)</f>
        <v>1006.5</v>
      </c>
    </row>
    <row r="201" spans="1:15" x14ac:dyDescent="0.35">
      <c r="A201" s="27" t="s">
        <v>327</v>
      </c>
      <c r="B201" s="12">
        <v>45722</v>
      </c>
      <c r="C201" s="11" t="s">
        <v>141</v>
      </c>
      <c r="D201" s="11" t="s">
        <v>40</v>
      </c>
      <c r="E201" s="11">
        <v>25</v>
      </c>
      <c r="F201" s="11">
        <f t="shared" si="7"/>
        <v>25</v>
      </c>
      <c r="G201" s="11" t="s">
        <v>14</v>
      </c>
      <c r="H201" s="11" t="s">
        <v>25</v>
      </c>
      <c r="I201" s="11" t="s">
        <v>26</v>
      </c>
      <c r="J201" s="11">
        <v>4</v>
      </c>
      <c r="K201" s="11">
        <v>9</v>
      </c>
      <c r="L201" s="11" t="s">
        <v>328</v>
      </c>
      <c r="M201" s="11">
        <f t="shared" si="6"/>
        <v>100</v>
      </c>
      <c r="N201" s="11">
        <f>IF(Table1[[#This Row],[Transaction Type]]="Sale",ABS(E201)*K201,0)</f>
        <v>0</v>
      </c>
      <c r="O201" s="29">
        <f>IF(Table1[[#This Row],[Transaction Type]]="Purchase",E201*J201,0)</f>
        <v>100</v>
      </c>
    </row>
    <row r="202" spans="1:15" x14ac:dyDescent="0.35">
      <c r="A202" s="27" t="s">
        <v>329</v>
      </c>
      <c r="B202" s="12">
        <v>45723</v>
      </c>
      <c r="C202" s="11" t="s">
        <v>36</v>
      </c>
      <c r="D202" s="11" t="s">
        <v>40</v>
      </c>
      <c r="E202" s="11">
        <v>43</v>
      </c>
      <c r="F202" s="11">
        <f t="shared" si="7"/>
        <v>43</v>
      </c>
      <c r="G202" s="11" t="s">
        <v>19</v>
      </c>
      <c r="H202" s="11" t="s">
        <v>37</v>
      </c>
      <c r="I202" s="11" t="s">
        <v>16</v>
      </c>
      <c r="J202" s="11">
        <v>7.2</v>
      </c>
      <c r="K202" s="11">
        <v>12.5</v>
      </c>
      <c r="L202" s="11" t="s">
        <v>330</v>
      </c>
      <c r="M202" s="11">
        <f t="shared" si="6"/>
        <v>309.60000000000002</v>
      </c>
      <c r="N202" s="11">
        <f>IF(Table1[[#This Row],[Transaction Type]]="Sale",ABS(E202)*K202,0)</f>
        <v>0</v>
      </c>
      <c r="O202" s="29">
        <f>IF(Table1[[#This Row],[Transaction Type]]="Purchase",E202*J202,0)</f>
        <v>309.60000000000002</v>
      </c>
    </row>
    <row r="203" spans="1:15" x14ac:dyDescent="0.35">
      <c r="A203" s="27" t="s">
        <v>331</v>
      </c>
      <c r="B203" s="12">
        <v>45723</v>
      </c>
      <c r="C203" s="11" t="s">
        <v>60</v>
      </c>
      <c r="D203" s="11" t="s">
        <v>40</v>
      </c>
      <c r="E203" s="11">
        <v>36</v>
      </c>
      <c r="F203" s="11">
        <f t="shared" si="7"/>
        <v>36</v>
      </c>
      <c r="G203" s="11" t="s">
        <v>24</v>
      </c>
      <c r="H203" s="11" t="s">
        <v>61</v>
      </c>
      <c r="I203" s="11" t="s">
        <v>62</v>
      </c>
      <c r="J203" s="11">
        <v>3.4</v>
      </c>
      <c r="K203" s="11">
        <v>8</v>
      </c>
      <c r="L203" s="11" t="s">
        <v>332</v>
      </c>
      <c r="M203" s="11">
        <f t="shared" si="6"/>
        <v>122.39999999999999</v>
      </c>
      <c r="N203" s="11">
        <f>IF(Table1[[#This Row],[Transaction Type]]="Sale",ABS(E203)*K203,0)</f>
        <v>0</v>
      </c>
      <c r="O203" s="29">
        <f>IF(Table1[[#This Row],[Transaction Type]]="Purchase",E203*J203,0)</f>
        <v>122.39999999999999</v>
      </c>
    </row>
    <row r="204" spans="1:15" x14ac:dyDescent="0.35">
      <c r="A204" s="27" t="s">
        <v>333</v>
      </c>
      <c r="B204" s="12">
        <v>45723</v>
      </c>
      <c r="C204" s="11" t="s">
        <v>141</v>
      </c>
      <c r="D204" s="11" t="s">
        <v>13</v>
      </c>
      <c r="E204" s="11">
        <v>-9</v>
      </c>
      <c r="F204" s="11">
        <f t="shared" si="7"/>
        <v>-9</v>
      </c>
      <c r="G204" s="11" t="s">
        <v>14</v>
      </c>
      <c r="H204" s="11" t="s">
        <v>25</v>
      </c>
      <c r="I204" s="11" t="s">
        <v>26</v>
      </c>
      <c r="J204" s="11">
        <v>4</v>
      </c>
      <c r="K204" s="11">
        <v>9</v>
      </c>
      <c r="L204" s="11"/>
      <c r="M204" s="11">
        <f t="shared" si="6"/>
        <v>36</v>
      </c>
      <c r="N204" s="11">
        <f>IF(Table1[[#This Row],[Transaction Type]]="Sale",ABS(E204)*K204,0)</f>
        <v>81</v>
      </c>
      <c r="O204" s="29">
        <f>IF(Table1[[#This Row],[Transaction Type]]="Purchase",E204*J204,0)</f>
        <v>0</v>
      </c>
    </row>
    <row r="205" spans="1:15" x14ac:dyDescent="0.35">
      <c r="A205" s="27" t="s">
        <v>334</v>
      </c>
      <c r="B205" s="12">
        <v>45723</v>
      </c>
      <c r="C205" s="11" t="s">
        <v>65</v>
      </c>
      <c r="D205" s="11" t="s">
        <v>13</v>
      </c>
      <c r="E205" s="11">
        <v>-9</v>
      </c>
      <c r="F205" s="11">
        <f t="shared" si="7"/>
        <v>-9</v>
      </c>
      <c r="G205" s="11" t="s">
        <v>24</v>
      </c>
      <c r="H205" s="11" t="s">
        <v>67</v>
      </c>
      <c r="I205" s="11" t="s">
        <v>21</v>
      </c>
      <c r="J205" s="11">
        <v>11</v>
      </c>
      <c r="K205" s="11">
        <v>22</v>
      </c>
      <c r="L205" s="11"/>
      <c r="M205" s="11">
        <f t="shared" si="6"/>
        <v>99</v>
      </c>
      <c r="N205" s="11">
        <f>IF(Table1[[#This Row],[Transaction Type]]="Sale",ABS(E205)*K205,0)</f>
        <v>198</v>
      </c>
      <c r="O205" s="29">
        <f>IF(Table1[[#This Row],[Transaction Type]]="Purchase",E205*J205,0)</f>
        <v>0</v>
      </c>
    </row>
    <row r="206" spans="1:15" x14ac:dyDescent="0.35">
      <c r="A206" s="27" t="s">
        <v>335</v>
      </c>
      <c r="B206" s="12">
        <v>45723</v>
      </c>
      <c r="C206" s="11" t="s">
        <v>69</v>
      </c>
      <c r="D206" s="11" t="s">
        <v>13</v>
      </c>
      <c r="E206" s="11">
        <v>-10</v>
      </c>
      <c r="F206" s="11">
        <f t="shared" si="7"/>
        <v>-10</v>
      </c>
      <c r="G206" s="11" t="s">
        <v>19</v>
      </c>
      <c r="H206" s="11" t="s">
        <v>70</v>
      </c>
      <c r="I206" s="11" t="s">
        <v>16</v>
      </c>
      <c r="J206" s="11">
        <v>23</v>
      </c>
      <c r="K206" s="11">
        <v>38</v>
      </c>
      <c r="L206" s="11"/>
      <c r="M206" s="11">
        <f t="shared" si="6"/>
        <v>230</v>
      </c>
      <c r="N206" s="11">
        <f>IF(Table1[[#This Row],[Transaction Type]]="Sale",ABS(E206)*K206,0)</f>
        <v>380</v>
      </c>
      <c r="O206" s="29">
        <f>IF(Table1[[#This Row],[Transaction Type]]="Purchase",E206*J206,0)</f>
        <v>0</v>
      </c>
    </row>
    <row r="207" spans="1:15" x14ac:dyDescent="0.35">
      <c r="A207" s="27" t="s">
        <v>336</v>
      </c>
      <c r="B207" s="12">
        <v>45724</v>
      </c>
      <c r="C207" s="11" t="s">
        <v>29</v>
      </c>
      <c r="D207" s="11" t="s">
        <v>13</v>
      </c>
      <c r="E207" s="11">
        <v>-2</v>
      </c>
      <c r="F207" s="11">
        <f t="shared" si="7"/>
        <v>-2</v>
      </c>
      <c r="G207" s="11" t="s">
        <v>24</v>
      </c>
      <c r="H207" s="11" t="s">
        <v>30</v>
      </c>
      <c r="I207" s="11" t="s">
        <v>16</v>
      </c>
      <c r="J207" s="11">
        <v>8.8000000000000007</v>
      </c>
      <c r="K207" s="11">
        <v>17</v>
      </c>
      <c r="L207" s="11"/>
      <c r="M207" s="11">
        <f t="shared" si="6"/>
        <v>17.600000000000001</v>
      </c>
      <c r="N207" s="11">
        <f>IF(Table1[[#This Row],[Transaction Type]]="Sale",ABS(E207)*K207,0)</f>
        <v>34</v>
      </c>
      <c r="O207" s="29">
        <f>IF(Table1[[#This Row],[Transaction Type]]="Purchase",E207*J207,0)</f>
        <v>0</v>
      </c>
    </row>
    <row r="208" spans="1:15" x14ac:dyDescent="0.35">
      <c r="A208" s="27" t="s">
        <v>337</v>
      </c>
      <c r="B208" s="12">
        <v>45724</v>
      </c>
      <c r="C208" s="11" t="s">
        <v>12</v>
      </c>
      <c r="D208" s="11" t="s">
        <v>13</v>
      </c>
      <c r="E208" s="11">
        <v>-15</v>
      </c>
      <c r="F208" s="11">
        <f t="shared" si="7"/>
        <v>-15</v>
      </c>
      <c r="G208" s="11" t="s">
        <v>14</v>
      </c>
      <c r="H208" s="11" t="s">
        <v>15</v>
      </c>
      <c r="I208" s="11" t="s">
        <v>16</v>
      </c>
      <c r="J208" s="11">
        <v>13.5</v>
      </c>
      <c r="K208" s="11">
        <v>24</v>
      </c>
      <c r="L208" s="11"/>
      <c r="M208" s="11">
        <f t="shared" si="6"/>
        <v>202.5</v>
      </c>
      <c r="N208" s="11">
        <f>IF(Table1[[#This Row],[Transaction Type]]="Sale",ABS(E208)*K208,0)</f>
        <v>360</v>
      </c>
      <c r="O208" s="29">
        <f>IF(Table1[[#This Row],[Transaction Type]]="Purchase",E208*J208,0)</f>
        <v>0</v>
      </c>
    </row>
    <row r="209" spans="1:15" x14ac:dyDescent="0.35">
      <c r="A209" s="27" t="s">
        <v>338</v>
      </c>
      <c r="B209" s="12">
        <v>45725</v>
      </c>
      <c r="C209" s="11" t="s">
        <v>52</v>
      </c>
      <c r="D209" s="11" t="s">
        <v>40</v>
      </c>
      <c r="E209" s="11">
        <v>58</v>
      </c>
      <c r="F209" s="11">
        <f t="shared" si="7"/>
        <v>58</v>
      </c>
      <c r="G209" s="11" t="s">
        <v>14</v>
      </c>
      <c r="H209" s="11" t="s">
        <v>20</v>
      </c>
      <c r="I209" s="11" t="s">
        <v>21</v>
      </c>
      <c r="J209" s="11">
        <v>5.5</v>
      </c>
      <c r="K209" s="11">
        <v>12</v>
      </c>
      <c r="L209" s="11" t="s">
        <v>339</v>
      </c>
      <c r="M209" s="11">
        <f t="shared" si="6"/>
        <v>319</v>
      </c>
      <c r="N209" s="11">
        <f>IF(Table1[[#This Row],[Transaction Type]]="Sale",ABS(E209)*K209,0)</f>
        <v>0</v>
      </c>
      <c r="O209" s="29">
        <f>IF(Table1[[#This Row],[Transaction Type]]="Purchase",E209*J209,0)</f>
        <v>319</v>
      </c>
    </row>
    <row r="210" spans="1:15" x14ac:dyDescent="0.35">
      <c r="A210" s="27" t="s">
        <v>340</v>
      </c>
      <c r="B210" s="12">
        <v>45725</v>
      </c>
      <c r="C210" s="11" t="s">
        <v>141</v>
      </c>
      <c r="D210" s="11" t="s">
        <v>13</v>
      </c>
      <c r="E210" s="11">
        <v>-15</v>
      </c>
      <c r="F210" s="11">
        <f t="shared" si="7"/>
        <v>-15</v>
      </c>
      <c r="G210" s="11" t="s">
        <v>14</v>
      </c>
      <c r="H210" s="11" t="s">
        <v>25</v>
      </c>
      <c r="I210" s="11" t="s">
        <v>26</v>
      </c>
      <c r="J210" s="11">
        <v>4</v>
      </c>
      <c r="K210" s="11">
        <v>9</v>
      </c>
      <c r="L210" s="11"/>
      <c r="M210" s="11">
        <f t="shared" si="6"/>
        <v>60</v>
      </c>
      <c r="N210" s="11">
        <f>IF(Table1[[#This Row],[Transaction Type]]="Sale",ABS(E210)*K210,0)</f>
        <v>135</v>
      </c>
      <c r="O210" s="29">
        <f>IF(Table1[[#This Row],[Transaction Type]]="Purchase",E210*J210,0)</f>
        <v>0</v>
      </c>
    </row>
    <row r="211" spans="1:15" x14ac:dyDescent="0.35">
      <c r="A211" s="27" t="s">
        <v>341</v>
      </c>
      <c r="B211" s="12">
        <v>45725</v>
      </c>
      <c r="C211" s="11" t="s">
        <v>69</v>
      </c>
      <c r="D211" s="11" t="s">
        <v>13</v>
      </c>
      <c r="E211" s="11">
        <v>-15</v>
      </c>
      <c r="F211" s="11">
        <f t="shared" si="7"/>
        <v>-15</v>
      </c>
      <c r="G211" s="11" t="s">
        <v>14</v>
      </c>
      <c r="H211" s="11" t="s">
        <v>70</v>
      </c>
      <c r="I211" s="11" t="s">
        <v>16</v>
      </c>
      <c r="J211" s="11">
        <v>23</v>
      </c>
      <c r="K211" s="11">
        <v>38</v>
      </c>
      <c r="L211" s="11"/>
      <c r="M211" s="11">
        <f t="shared" si="6"/>
        <v>345</v>
      </c>
      <c r="N211" s="11">
        <f>IF(Table1[[#This Row],[Transaction Type]]="Sale",ABS(E211)*K211,0)</f>
        <v>570</v>
      </c>
      <c r="O211" s="29">
        <f>IF(Table1[[#This Row],[Transaction Type]]="Purchase",E211*J211,0)</f>
        <v>0</v>
      </c>
    </row>
    <row r="212" spans="1:15" x14ac:dyDescent="0.35">
      <c r="A212" s="27" t="s">
        <v>342</v>
      </c>
      <c r="B212" s="12">
        <v>45725</v>
      </c>
      <c r="C212" s="11" t="s">
        <v>139</v>
      </c>
      <c r="D212" s="11" t="s">
        <v>13</v>
      </c>
      <c r="E212" s="11">
        <v>-14</v>
      </c>
      <c r="F212" s="11">
        <f t="shared" si="7"/>
        <v>-14</v>
      </c>
      <c r="G212" s="11" t="s">
        <v>14</v>
      </c>
      <c r="H212" s="11" t="s">
        <v>56</v>
      </c>
      <c r="I212" s="11" t="s">
        <v>16</v>
      </c>
      <c r="J212" s="11">
        <v>16.5</v>
      </c>
      <c r="K212" s="11">
        <v>28</v>
      </c>
      <c r="L212" s="11"/>
      <c r="M212" s="11">
        <f t="shared" si="6"/>
        <v>231</v>
      </c>
      <c r="N212" s="11">
        <f>IF(Table1[[#This Row],[Transaction Type]]="Sale",ABS(E212)*K212,0)</f>
        <v>392</v>
      </c>
      <c r="O212" s="29">
        <f>IF(Table1[[#This Row],[Transaction Type]]="Purchase",E212*J212,0)</f>
        <v>0</v>
      </c>
    </row>
    <row r="213" spans="1:15" x14ac:dyDescent="0.35">
      <c r="A213" s="27" t="s">
        <v>343</v>
      </c>
      <c r="B213" s="12">
        <v>45725</v>
      </c>
      <c r="C213" s="11" t="s">
        <v>98</v>
      </c>
      <c r="D213" s="11" t="s">
        <v>40</v>
      </c>
      <c r="E213" s="11">
        <v>50</v>
      </c>
      <c r="F213" s="11">
        <f t="shared" si="7"/>
        <v>50</v>
      </c>
      <c r="G213" s="11" t="s">
        <v>14</v>
      </c>
      <c r="H213" s="11" t="s">
        <v>30</v>
      </c>
      <c r="I213" s="11" t="s">
        <v>16</v>
      </c>
      <c r="J213" s="11">
        <v>16</v>
      </c>
      <c r="K213" s="11">
        <v>29</v>
      </c>
      <c r="L213" s="11" t="s">
        <v>344</v>
      </c>
      <c r="M213" s="11">
        <f t="shared" si="6"/>
        <v>800</v>
      </c>
      <c r="N213" s="11">
        <f>IF(Table1[[#This Row],[Transaction Type]]="Sale",ABS(E213)*K213,0)</f>
        <v>0</v>
      </c>
      <c r="O213" s="29">
        <f>IF(Table1[[#This Row],[Transaction Type]]="Purchase",E213*J213,0)</f>
        <v>800</v>
      </c>
    </row>
    <row r="214" spans="1:15" x14ac:dyDescent="0.35">
      <c r="A214" s="27" t="s">
        <v>345</v>
      </c>
      <c r="B214" s="12">
        <v>45726</v>
      </c>
      <c r="C214" s="11" t="s">
        <v>32</v>
      </c>
      <c r="D214" s="11" t="s">
        <v>13</v>
      </c>
      <c r="E214" s="11">
        <v>-7</v>
      </c>
      <c r="F214" s="11">
        <f t="shared" si="7"/>
        <v>-7</v>
      </c>
      <c r="G214" s="11" t="s">
        <v>19</v>
      </c>
      <c r="H214" s="11" t="s">
        <v>33</v>
      </c>
      <c r="I214" s="11" t="s">
        <v>34</v>
      </c>
      <c r="J214" s="11">
        <v>20</v>
      </c>
      <c r="K214" s="11">
        <v>35</v>
      </c>
      <c r="L214" s="11"/>
      <c r="M214" s="11">
        <f t="shared" si="6"/>
        <v>140</v>
      </c>
      <c r="N214" s="11">
        <f>IF(Table1[[#This Row],[Transaction Type]]="Sale",ABS(E214)*K214,0)</f>
        <v>245</v>
      </c>
      <c r="O214" s="29">
        <f>IF(Table1[[#This Row],[Transaction Type]]="Purchase",E214*J214,0)</f>
        <v>0</v>
      </c>
    </row>
    <row r="215" spans="1:15" x14ac:dyDescent="0.35">
      <c r="A215" s="27" t="s">
        <v>346</v>
      </c>
      <c r="B215" s="12">
        <v>45726</v>
      </c>
      <c r="C215" s="11" t="s">
        <v>52</v>
      </c>
      <c r="D215" s="11" t="s">
        <v>40</v>
      </c>
      <c r="E215" s="11">
        <v>44</v>
      </c>
      <c r="F215" s="11">
        <f t="shared" si="7"/>
        <v>44</v>
      </c>
      <c r="G215" s="11" t="s">
        <v>24</v>
      </c>
      <c r="H215" s="11" t="s">
        <v>20</v>
      </c>
      <c r="I215" s="11" t="s">
        <v>21</v>
      </c>
      <c r="J215" s="11">
        <v>5.5</v>
      </c>
      <c r="K215" s="11">
        <v>12</v>
      </c>
      <c r="L215" s="11" t="s">
        <v>347</v>
      </c>
      <c r="M215" s="11">
        <f t="shared" si="6"/>
        <v>242</v>
      </c>
      <c r="N215" s="11">
        <f>IF(Table1[[#This Row],[Transaction Type]]="Sale",ABS(E215)*K215,0)</f>
        <v>0</v>
      </c>
      <c r="O215" s="29">
        <f>IF(Table1[[#This Row],[Transaction Type]]="Purchase",E215*J215,0)</f>
        <v>242</v>
      </c>
    </row>
    <row r="216" spans="1:15" x14ac:dyDescent="0.35">
      <c r="A216" s="27" t="s">
        <v>348</v>
      </c>
      <c r="B216" s="12">
        <v>45726</v>
      </c>
      <c r="C216" s="11" t="s">
        <v>170</v>
      </c>
      <c r="D216" s="11" t="s">
        <v>13</v>
      </c>
      <c r="E216" s="11">
        <v>-15</v>
      </c>
      <c r="F216" s="11">
        <f t="shared" si="7"/>
        <v>-15</v>
      </c>
      <c r="G216" s="11" t="s">
        <v>24</v>
      </c>
      <c r="H216" s="11" t="s">
        <v>171</v>
      </c>
      <c r="I216" s="11" t="s">
        <v>34</v>
      </c>
      <c r="J216" s="11">
        <v>25</v>
      </c>
      <c r="K216" s="11">
        <v>45</v>
      </c>
      <c r="L216" s="11"/>
      <c r="M216" s="11">
        <f t="shared" si="6"/>
        <v>375</v>
      </c>
      <c r="N216" s="11">
        <f>IF(Table1[[#This Row],[Transaction Type]]="Sale",ABS(E216)*K216,0)</f>
        <v>675</v>
      </c>
      <c r="O216" s="29">
        <f>IF(Table1[[#This Row],[Transaction Type]]="Purchase",E216*J216,0)</f>
        <v>0</v>
      </c>
    </row>
    <row r="217" spans="1:15" x14ac:dyDescent="0.35">
      <c r="A217" s="27" t="s">
        <v>349</v>
      </c>
      <c r="B217" s="12">
        <v>45726</v>
      </c>
      <c r="C217" s="11" t="s">
        <v>350</v>
      </c>
      <c r="D217" s="11" t="s">
        <v>66</v>
      </c>
      <c r="E217" s="11">
        <v>4</v>
      </c>
      <c r="F217" s="11">
        <f t="shared" si="7"/>
        <v>4</v>
      </c>
      <c r="G217" s="11" t="s">
        <v>14</v>
      </c>
      <c r="H217" s="11" t="s">
        <v>74</v>
      </c>
      <c r="I217" s="11" t="s">
        <v>75</v>
      </c>
      <c r="J217" s="11">
        <v>145</v>
      </c>
      <c r="K217" s="11">
        <v>210</v>
      </c>
      <c r="L217" s="11"/>
      <c r="M217" s="11">
        <f t="shared" si="6"/>
        <v>580</v>
      </c>
      <c r="N217" s="11">
        <f>IF(Table1[[#This Row],[Transaction Type]]="Sale",ABS(E217)*K217,0)</f>
        <v>0</v>
      </c>
      <c r="O217" s="29">
        <f>IF(Table1[[#This Row],[Transaction Type]]="Purchase",E217*J217,0)</f>
        <v>0</v>
      </c>
    </row>
    <row r="218" spans="1:15" x14ac:dyDescent="0.35">
      <c r="A218" s="27" t="s">
        <v>351</v>
      </c>
      <c r="B218" s="12">
        <v>45726</v>
      </c>
      <c r="C218" s="11" t="s">
        <v>194</v>
      </c>
      <c r="D218" s="11" t="s">
        <v>13</v>
      </c>
      <c r="E218" s="11">
        <v>-4</v>
      </c>
      <c r="F218" s="11">
        <f t="shared" si="7"/>
        <v>-4</v>
      </c>
      <c r="G218" s="11" t="s">
        <v>14</v>
      </c>
      <c r="H218" s="11" t="s">
        <v>195</v>
      </c>
      <c r="I218" s="11" t="s">
        <v>21</v>
      </c>
      <c r="J218" s="11">
        <v>220</v>
      </c>
      <c r="K218" s="11">
        <v>320</v>
      </c>
      <c r="L218" s="11"/>
      <c r="M218" s="11">
        <f t="shared" si="6"/>
        <v>880</v>
      </c>
      <c r="N218" s="11">
        <f>IF(Table1[[#This Row],[Transaction Type]]="Sale",ABS(E218)*K218,0)</f>
        <v>1280</v>
      </c>
      <c r="O218" s="29">
        <f>IF(Table1[[#This Row],[Transaction Type]]="Purchase",E218*J218,0)</f>
        <v>0</v>
      </c>
    </row>
    <row r="219" spans="1:15" x14ac:dyDescent="0.35">
      <c r="A219" s="27" t="s">
        <v>352</v>
      </c>
      <c r="B219" s="12">
        <v>45726</v>
      </c>
      <c r="C219" s="11" t="s">
        <v>12</v>
      </c>
      <c r="D219" s="11" t="s">
        <v>40</v>
      </c>
      <c r="E219" s="11">
        <v>38</v>
      </c>
      <c r="F219" s="11">
        <f t="shared" si="7"/>
        <v>38</v>
      </c>
      <c r="G219" s="11" t="s">
        <v>19</v>
      </c>
      <c r="H219" s="11" t="s">
        <v>15</v>
      </c>
      <c r="I219" s="11" t="s">
        <v>16</v>
      </c>
      <c r="J219" s="11">
        <v>13.5</v>
      </c>
      <c r="K219" s="11">
        <v>24</v>
      </c>
      <c r="L219" s="11" t="s">
        <v>353</v>
      </c>
      <c r="M219" s="11">
        <f t="shared" si="6"/>
        <v>513</v>
      </c>
      <c r="N219" s="11">
        <f>IF(Table1[[#This Row],[Transaction Type]]="Sale",ABS(E219)*K219,0)</f>
        <v>0</v>
      </c>
      <c r="O219" s="29">
        <f>IF(Table1[[#This Row],[Transaction Type]]="Purchase",E219*J219,0)</f>
        <v>513</v>
      </c>
    </row>
    <row r="220" spans="1:15" x14ac:dyDescent="0.35">
      <c r="A220" s="27" t="s">
        <v>354</v>
      </c>
      <c r="B220" s="12">
        <v>45726</v>
      </c>
      <c r="C220" s="11" t="s">
        <v>52</v>
      </c>
      <c r="D220" s="11" t="s">
        <v>40</v>
      </c>
      <c r="E220" s="11">
        <v>113</v>
      </c>
      <c r="F220" s="11">
        <f t="shared" si="7"/>
        <v>113</v>
      </c>
      <c r="G220" s="11" t="s">
        <v>14</v>
      </c>
      <c r="H220" s="11" t="s">
        <v>20</v>
      </c>
      <c r="I220" s="11" t="s">
        <v>21</v>
      </c>
      <c r="J220" s="11">
        <v>5.5</v>
      </c>
      <c r="K220" s="11">
        <v>12</v>
      </c>
      <c r="L220" s="11" t="s">
        <v>355</v>
      </c>
      <c r="M220" s="11">
        <f t="shared" si="6"/>
        <v>621.5</v>
      </c>
      <c r="N220" s="11">
        <f>IF(Table1[[#This Row],[Transaction Type]]="Sale",ABS(E220)*K220,0)</f>
        <v>0</v>
      </c>
      <c r="O220" s="29">
        <f>IF(Table1[[#This Row],[Transaction Type]]="Purchase",E220*J220,0)</f>
        <v>621.5</v>
      </c>
    </row>
    <row r="221" spans="1:15" x14ac:dyDescent="0.35">
      <c r="A221" s="27" t="s">
        <v>356</v>
      </c>
      <c r="B221" s="12">
        <v>45726</v>
      </c>
      <c r="C221" s="11" t="s">
        <v>48</v>
      </c>
      <c r="D221" s="11" t="s">
        <v>13</v>
      </c>
      <c r="E221" s="11">
        <v>-9</v>
      </c>
      <c r="F221" s="11">
        <f t="shared" si="7"/>
        <v>-9</v>
      </c>
      <c r="G221" s="11" t="s">
        <v>14</v>
      </c>
      <c r="H221" s="11" t="s">
        <v>49</v>
      </c>
      <c r="I221" s="11" t="s">
        <v>21</v>
      </c>
      <c r="J221" s="11">
        <v>8.5</v>
      </c>
      <c r="K221" s="11">
        <v>18</v>
      </c>
      <c r="L221" s="11"/>
      <c r="M221" s="11">
        <f t="shared" si="6"/>
        <v>76.5</v>
      </c>
      <c r="N221" s="11">
        <f>IF(Table1[[#This Row],[Transaction Type]]="Sale",ABS(E221)*K221,0)</f>
        <v>162</v>
      </c>
      <c r="O221" s="29">
        <f>IF(Table1[[#This Row],[Transaction Type]]="Purchase",E221*J221,0)</f>
        <v>0</v>
      </c>
    </row>
    <row r="222" spans="1:15" x14ac:dyDescent="0.35">
      <c r="A222" s="27" t="s">
        <v>357</v>
      </c>
      <c r="B222" s="12">
        <v>45726</v>
      </c>
      <c r="C222" s="11" t="s">
        <v>65</v>
      </c>
      <c r="D222" s="11" t="s">
        <v>13</v>
      </c>
      <c r="E222" s="11">
        <v>-2</v>
      </c>
      <c r="F222" s="11">
        <f t="shared" si="7"/>
        <v>-2</v>
      </c>
      <c r="G222" s="11" t="s">
        <v>14</v>
      </c>
      <c r="H222" s="11" t="s">
        <v>67</v>
      </c>
      <c r="I222" s="11" t="s">
        <v>21</v>
      </c>
      <c r="J222" s="11">
        <v>11</v>
      </c>
      <c r="K222" s="11">
        <v>22</v>
      </c>
      <c r="L222" s="11"/>
      <c r="M222" s="11">
        <f t="shared" si="6"/>
        <v>22</v>
      </c>
      <c r="N222" s="11">
        <f>IF(Table1[[#This Row],[Transaction Type]]="Sale",ABS(E222)*K222,0)</f>
        <v>44</v>
      </c>
      <c r="O222" s="29">
        <f>IF(Table1[[#This Row],[Transaction Type]]="Purchase",E222*J222,0)</f>
        <v>0</v>
      </c>
    </row>
    <row r="223" spans="1:15" x14ac:dyDescent="0.35">
      <c r="A223" s="27" t="s">
        <v>358</v>
      </c>
      <c r="B223" s="12">
        <v>45727</v>
      </c>
      <c r="C223" s="11" t="s">
        <v>141</v>
      </c>
      <c r="D223" s="11" t="s">
        <v>13</v>
      </c>
      <c r="E223" s="11">
        <v>-7</v>
      </c>
      <c r="F223" s="11">
        <f t="shared" si="7"/>
        <v>-7</v>
      </c>
      <c r="G223" s="11" t="s">
        <v>24</v>
      </c>
      <c r="H223" s="11" t="s">
        <v>25</v>
      </c>
      <c r="I223" s="11" t="s">
        <v>26</v>
      </c>
      <c r="J223" s="11">
        <v>4</v>
      </c>
      <c r="K223" s="11">
        <v>9</v>
      </c>
      <c r="L223" s="11"/>
      <c r="M223" s="11">
        <f t="shared" si="6"/>
        <v>28</v>
      </c>
      <c r="N223" s="11">
        <f>IF(Table1[[#This Row],[Transaction Type]]="Sale",ABS(E223)*K223,0)</f>
        <v>63</v>
      </c>
      <c r="O223" s="29">
        <f>IF(Table1[[#This Row],[Transaction Type]]="Purchase",E223*J223,0)</f>
        <v>0</v>
      </c>
    </row>
    <row r="224" spans="1:15" x14ac:dyDescent="0.35">
      <c r="A224" s="27" t="s">
        <v>359</v>
      </c>
      <c r="B224" s="12">
        <v>45727</v>
      </c>
      <c r="C224" s="11" t="s">
        <v>98</v>
      </c>
      <c r="D224" s="11" t="s">
        <v>13</v>
      </c>
      <c r="E224" s="11">
        <v>-6</v>
      </c>
      <c r="F224" s="11">
        <f t="shared" si="7"/>
        <v>-6</v>
      </c>
      <c r="G224" s="11" t="s">
        <v>14</v>
      </c>
      <c r="H224" s="11" t="s">
        <v>30</v>
      </c>
      <c r="I224" s="11" t="s">
        <v>16</v>
      </c>
      <c r="J224" s="11">
        <v>16</v>
      </c>
      <c r="K224" s="11">
        <v>29</v>
      </c>
      <c r="L224" s="11"/>
      <c r="M224" s="11">
        <f t="shared" si="6"/>
        <v>96</v>
      </c>
      <c r="N224" s="11">
        <f>IF(Table1[[#This Row],[Transaction Type]]="Sale",ABS(E224)*K224,0)</f>
        <v>174</v>
      </c>
      <c r="O224" s="29">
        <f>IF(Table1[[#This Row],[Transaction Type]]="Purchase",E224*J224,0)</f>
        <v>0</v>
      </c>
    </row>
    <row r="225" spans="1:15" x14ac:dyDescent="0.35">
      <c r="A225" s="27" t="s">
        <v>360</v>
      </c>
      <c r="B225" s="12">
        <v>45727</v>
      </c>
      <c r="C225" s="11" t="s">
        <v>48</v>
      </c>
      <c r="D225" s="11" t="s">
        <v>40</v>
      </c>
      <c r="E225" s="11">
        <v>40</v>
      </c>
      <c r="F225" s="11">
        <f t="shared" si="7"/>
        <v>40</v>
      </c>
      <c r="G225" s="11" t="s">
        <v>24</v>
      </c>
      <c r="H225" s="11" t="s">
        <v>49</v>
      </c>
      <c r="I225" s="11" t="s">
        <v>21</v>
      </c>
      <c r="J225" s="11">
        <v>8.5</v>
      </c>
      <c r="K225" s="11">
        <v>18</v>
      </c>
      <c r="L225" s="11" t="s">
        <v>361</v>
      </c>
      <c r="M225" s="11">
        <f t="shared" si="6"/>
        <v>340</v>
      </c>
      <c r="N225" s="11">
        <f>IF(Table1[[#This Row],[Transaction Type]]="Sale",ABS(E225)*K225,0)</f>
        <v>0</v>
      </c>
      <c r="O225" s="29">
        <f>IF(Table1[[#This Row],[Transaction Type]]="Purchase",E225*J225,0)</f>
        <v>340</v>
      </c>
    </row>
    <row r="226" spans="1:15" x14ac:dyDescent="0.35">
      <c r="A226" s="27" t="s">
        <v>362</v>
      </c>
      <c r="B226" s="12">
        <v>45727</v>
      </c>
      <c r="C226" s="11" t="s">
        <v>87</v>
      </c>
      <c r="D226" s="11" t="s">
        <v>13</v>
      </c>
      <c r="E226" s="11">
        <v>-12</v>
      </c>
      <c r="F226" s="11">
        <f t="shared" si="7"/>
        <v>-12</v>
      </c>
      <c r="G226" s="11" t="s">
        <v>14</v>
      </c>
      <c r="H226" s="11" t="s">
        <v>88</v>
      </c>
      <c r="I226" s="11" t="s">
        <v>16</v>
      </c>
      <c r="J226" s="11">
        <v>6</v>
      </c>
      <c r="K226" s="11">
        <v>14</v>
      </c>
      <c r="L226" s="11"/>
      <c r="M226" s="11">
        <f t="shared" si="6"/>
        <v>72</v>
      </c>
      <c r="N226" s="11">
        <f>IF(Table1[[#This Row],[Transaction Type]]="Sale",ABS(E226)*K226,0)</f>
        <v>168</v>
      </c>
      <c r="O226" s="29">
        <f>IF(Table1[[#This Row],[Transaction Type]]="Purchase",E226*J226,0)</f>
        <v>0</v>
      </c>
    </row>
    <row r="227" spans="1:15" x14ac:dyDescent="0.35">
      <c r="A227" s="27" t="s">
        <v>363</v>
      </c>
      <c r="B227" s="12">
        <v>45728</v>
      </c>
      <c r="C227" s="11" t="s">
        <v>136</v>
      </c>
      <c r="D227" s="11" t="s">
        <v>13</v>
      </c>
      <c r="E227" s="11">
        <v>-3</v>
      </c>
      <c r="F227" s="11">
        <f t="shared" si="7"/>
        <v>-3</v>
      </c>
      <c r="G227" s="11" t="s">
        <v>14</v>
      </c>
      <c r="H227" s="11" t="s">
        <v>33</v>
      </c>
      <c r="I227" s="11" t="s">
        <v>34</v>
      </c>
      <c r="J227" s="11">
        <v>34</v>
      </c>
      <c r="K227" s="11">
        <v>55</v>
      </c>
      <c r="L227" s="11"/>
      <c r="M227" s="11">
        <f t="shared" si="6"/>
        <v>102</v>
      </c>
      <c r="N227" s="11">
        <f>IF(Table1[[#This Row],[Transaction Type]]="Sale",ABS(E227)*K227,0)</f>
        <v>165</v>
      </c>
      <c r="O227" s="29">
        <f>IF(Table1[[#This Row],[Transaction Type]]="Purchase",E227*J227,0)</f>
        <v>0</v>
      </c>
    </row>
    <row r="228" spans="1:15" x14ac:dyDescent="0.35">
      <c r="A228" s="27" t="s">
        <v>364</v>
      </c>
      <c r="B228" s="12">
        <v>45728</v>
      </c>
      <c r="C228" s="11" t="s">
        <v>87</v>
      </c>
      <c r="D228" s="11" t="s">
        <v>13</v>
      </c>
      <c r="E228" s="11">
        <v>-14</v>
      </c>
      <c r="F228" s="11">
        <f t="shared" si="7"/>
        <v>-14</v>
      </c>
      <c r="G228" s="11" t="s">
        <v>14</v>
      </c>
      <c r="H228" s="11" t="s">
        <v>88</v>
      </c>
      <c r="I228" s="11" t="s">
        <v>16</v>
      </c>
      <c r="J228" s="11">
        <v>6</v>
      </c>
      <c r="K228" s="11">
        <v>14</v>
      </c>
      <c r="L228" s="11"/>
      <c r="M228" s="11">
        <f t="shared" si="6"/>
        <v>84</v>
      </c>
      <c r="N228" s="11">
        <f>IF(Table1[[#This Row],[Transaction Type]]="Sale",ABS(E228)*K228,0)</f>
        <v>196</v>
      </c>
      <c r="O228" s="29">
        <f>IF(Table1[[#This Row],[Transaction Type]]="Purchase",E228*J228,0)</f>
        <v>0</v>
      </c>
    </row>
    <row r="229" spans="1:15" x14ac:dyDescent="0.35">
      <c r="A229" s="27" t="s">
        <v>365</v>
      </c>
      <c r="B229" s="12">
        <v>45728</v>
      </c>
      <c r="C229" s="11" t="s">
        <v>29</v>
      </c>
      <c r="D229" s="11" t="s">
        <v>13</v>
      </c>
      <c r="E229" s="11">
        <v>-9</v>
      </c>
      <c r="F229" s="11">
        <f t="shared" si="7"/>
        <v>-9</v>
      </c>
      <c r="G229" s="11" t="s">
        <v>24</v>
      </c>
      <c r="H229" s="11" t="s">
        <v>30</v>
      </c>
      <c r="I229" s="11" t="s">
        <v>16</v>
      </c>
      <c r="J229" s="11">
        <v>8.8000000000000007</v>
      </c>
      <c r="K229" s="11">
        <v>17</v>
      </c>
      <c r="L229" s="11"/>
      <c r="M229" s="11">
        <f t="shared" si="6"/>
        <v>79.2</v>
      </c>
      <c r="N229" s="11">
        <f>IF(Table1[[#This Row],[Transaction Type]]="Sale",ABS(E229)*K229,0)</f>
        <v>153</v>
      </c>
      <c r="O229" s="29">
        <f>IF(Table1[[#This Row],[Transaction Type]]="Purchase",E229*J229,0)</f>
        <v>0</v>
      </c>
    </row>
    <row r="230" spans="1:15" x14ac:dyDescent="0.35">
      <c r="A230" s="27" t="s">
        <v>366</v>
      </c>
      <c r="B230" s="12">
        <v>45728</v>
      </c>
      <c r="C230" s="11" t="s">
        <v>18</v>
      </c>
      <c r="D230" s="11" t="s">
        <v>40</v>
      </c>
      <c r="E230" s="11">
        <v>107</v>
      </c>
      <c r="F230" s="11">
        <f t="shared" si="7"/>
        <v>107</v>
      </c>
      <c r="G230" s="11" t="s">
        <v>14</v>
      </c>
      <c r="H230" s="11" t="s">
        <v>20</v>
      </c>
      <c r="I230" s="11" t="s">
        <v>21</v>
      </c>
      <c r="J230" s="11">
        <v>2.6</v>
      </c>
      <c r="K230" s="11">
        <v>5.5</v>
      </c>
      <c r="L230" s="11" t="s">
        <v>367</v>
      </c>
      <c r="M230" s="11">
        <f t="shared" si="6"/>
        <v>278.2</v>
      </c>
      <c r="N230" s="11">
        <f>IF(Table1[[#This Row],[Transaction Type]]="Sale",ABS(E230)*K230,0)</f>
        <v>0</v>
      </c>
      <c r="O230" s="29">
        <f>IF(Table1[[#This Row],[Transaction Type]]="Purchase",E230*J230,0)</f>
        <v>278.2</v>
      </c>
    </row>
    <row r="231" spans="1:15" x14ac:dyDescent="0.35">
      <c r="A231" s="27" t="s">
        <v>368</v>
      </c>
      <c r="B231" s="12">
        <v>45728</v>
      </c>
      <c r="C231" s="11" t="s">
        <v>98</v>
      </c>
      <c r="D231" s="11" t="s">
        <v>13</v>
      </c>
      <c r="E231" s="11">
        <v>-3</v>
      </c>
      <c r="F231" s="11">
        <f t="shared" si="7"/>
        <v>-3</v>
      </c>
      <c r="G231" s="11" t="s">
        <v>24</v>
      </c>
      <c r="H231" s="11" t="s">
        <v>30</v>
      </c>
      <c r="I231" s="11" t="s">
        <v>16</v>
      </c>
      <c r="J231" s="11">
        <v>16</v>
      </c>
      <c r="K231" s="11">
        <v>29</v>
      </c>
      <c r="L231" s="11"/>
      <c r="M231" s="11">
        <f t="shared" si="6"/>
        <v>48</v>
      </c>
      <c r="N231" s="11">
        <f>IF(Table1[[#This Row],[Transaction Type]]="Sale",ABS(E231)*K231,0)</f>
        <v>87</v>
      </c>
      <c r="O231" s="29">
        <f>IF(Table1[[#This Row],[Transaction Type]]="Purchase",E231*J231,0)</f>
        <v>0</v>
      </c>
    </row>
    <row r="232" spans="1:15" x14ac:dyDescent="0.35">
      <c r="A232" s="27" t="s">
        <v>369</v>
      </c>
      <c r="B232" s="12">
        <v>45728</v>
      </c>
      <c r="C232" s="11" t="s">
        <v>69</v>
      </c>
      <c r="D232" s="11" t="s">
        <v>13</v>
      </c>
      <c r="E232" s="11">
        <v>-14</v>
      </c>
      <c r="F232" s="11">
        <f t="shared" si="7"/>
        <v>-14</v>
      </c>
      <c r="G232" s="11" t="s">
        <v>24</v>
      </c>
      <c r="H232" s="11" t="s">
        <v>70</v>
      </c>
      <c r="I232" s="11" t="s">
        <v>16</v>
      </c>
      <c r="J232" s="11">
        <v>23</v>
      </c>
      <c r="K232" s="11">
        <v>38</v>
      </c>
      <c r="L232" s="11"/>
      <c r="M232" s="11">
        <f t="shared" si="6"/>
        <v>322</v>
      </c>
      <c r="N232" s="11">
        <f>IF(Table1[[#This Row],[Transaction Type]]="Sale",ABS(E232)*K232,0)</f>
        <v>532</v>
      </c>
      <c r="O232" s="29">
        <f>IF(Table1[[#This Row],[Transaction Type]]="Purchase",E232*J232,0)</f>
        <v>0</v>
      </c>
    </row>
    <row r="233" spans="1:15" x14ac:dyDescent="0.35">
      <c r="A233" s="27" t="s">
        <v>370</v>
      </c>
      <c r="B233" s="12">
        <v>45729</v>
      </c>
      <c r="C233" s="11" t="s">
        <v>81</v>
      </c>
      <c r="D233" s="11" t="s">
        <v>13</v>
      </c>
      <c r="E233" s="11">
        <v>-6</v>
      </c>
      <c r="F233" s="11">
        <f t="shared" si="7"/>
        <v>-6</v>
      </c>
      <c r="G233" s="11" t="s">
        <v>14</v>
      </c>
      <c r="H233" s="11" t="s">
        <v>30</v>
      </c>
      <c r="I233" s="11" t="s">
        <v>16</v>
      </c>
      <c r="J233" s="11">
        <v>8</v>
      </c>
      <c r="K233" s="11">
        <v>15</v>
      </c>
      <c r="L233" s="11"/>
      <c r="M233" s="11">
        <f t="shared" si="6"/>
        <v>48</v>
      </c>
      <c r="N233" s="11">
        <f>IF(Table1[[#This Row],[Transaction Type]]="Sale",ABS(E233)*K233,0)</f>
        <v>90</v>
      </c>
      <c r="O233" s="29">
        <f>IF(Table1[[#This Row],[Transaction Type]]="Purchase",E233*J233,0)</f>
        <v>0</v>
      </c>
    </row>
    <row r="234" spans="1:15" x14ac:dyDescent="0.35">
      <c r="A234" s="27" t="s">
        <v>371</v>
      </c>
      <c r="B234" s="12">
        <v>45729</v>
      </c>
      <c r="C234" s="11" t="s">
        <v>73</v>
      </c>
      <c r="D234" s="11" t="s">
        <v>13</v>
      </c>
      <c r="E234" s="11">
        <v>-13</v>
      </c>
      <c r="F234" s="11">
        <f t="shared" si="7"/>
        <v>-13</v>
      </c>
      <c r="G234" s="11" t="s">
        <v>24</v>
      </c>
      <c r="H234" s="11" t="s">
        <v>74</v>
      </c>
      <c r="I234" s="11" t="s">
        <v>75</v>
      </c>
      <c r="J234" s="11">
        <v>30</v>
      </c>
      <c r="K234" s="11">
        <v>48</v>
      </c>
      <c r="L234" s="11"/>
      <c r="M234" s="11">
        <f t="shared" si="6"/>
        <v>390</v>
      </c>
      <c r="N234" s="11">
        <f>IF(Table1[[#This Row],[Transaction Type]]="Sale",ABS(E234)*K234,0)</f>
        <v>624</v>
      </c>
      <c r="O234" s="29">
        <f>IF(Table1[[#This Row],[Transaction Type]]="Purchase",E234*J234,0)</f>
        <v>0</v>
      </c>
    </row>
    <row r="235" spans="1:15" x14ac:dyDescent="0.35">
      <c r="A235" s="27" t="s">
        <v>372</v>
      </c>
      <c r="B235" s="12">
        <v>45730</v>
      </c>
      <c r="C235" s="11" t="s">
        <v>65</v>
      </c>
      <c r="D235" s="11" t="s">
        <v>40</v>
      </c>
      <c r="E235" s="11">
        <v>74</v>
      </c>
      <c r="F235" s="11">
        <f t="shared" si="7"/>
        <v>74</v>
      </c>
      <c r="G235" s="11" t="s">
        <v>19</v>
      </c>
      <c r="H235" s="11" t="s">
        <v>67</v>
      </c>
      <c r="I235" s="11" t="s">
        <v>21</v>
      </c>
      <c r="J235" s="11">
        <v>11</v>
      </c>
      <c r="K235" s="11">
        <v>22</v>
      </c>
      <c r="L235" s="11" t="s">
        <v>373</v>
      </c>
      <c r="M235" s="11">
        <f t="shared" si="6"/>
        <v>814</v>
      </c>
      <c r="N235" s="11">
        <f>IF(Table1[[#This Row],[Transaction Type]]="Sale",ABS(E235)*K235,0)</f>
        <v>0</v>
      </c>
      <c r="O235" s="29">
        <f>IF(Table1[[#This Row],[Transaction Type]]="Purchase",E235*J235,0)</f>
        <v>814</v>
      </c>
    </row>
    <row r="236" spans="1:15" x14ac:dyDescent="0.35">
      <c r="A236" s="27" t="s">
        <v>374</v>
      </c>
      <c r="B236" s="12">
        <v>45730</v>
      </c>
      <c r="C236" s="11" t="s">
        <v>109</v>
      </c>
      <c r="D236" s="11" t="s">
        <v>13</v>
      </c>
      <c r="E236" s="11">
        <v>-4</v>
      </c>
      <c r="F236" s="11">
        <f t="shared" si="7"/>
        <v>-4</v>
      </c>
      <c r="G236" s="11" t="s">
        <v>24</v>
      </c>
      <c r="H236" s="11" t="s">
        <v>110</v>
      </c>
      <c r="I236" s="11" t="s">
        <v>26</v>
      </c>
      <c r="J236" s="11">
        <v>105</v>
      </c>
      <c r="K236" s="11">
        <v>165</v>
      </c>
      <c r="L236" s="11"/>
      <c r="M236" s="11">
        <f t="shared" si="6"/>
        <v>420</v>
      </c>
      <c r="N236" s="11">
        <f>IF(Table1[[#This Row],[Transaction Type]]="Sale",ABS(E236)*K236,0)</f>
        <v>660</v>
      </c>
      <c r="O236" s="29">
        <f>IF(Table1[[#This Row],[Transaction Type]]="Purchase",E236*J236,0)</f>
        <v>0</v>
      </c>
    </row>
    <row r="237" spans="1:15" x14ac:dyDescent="0.35">
      <c r="A237" s="27" t="s">
        <v>375</v>
      </c>
      <c r="B237" s="12">
        <v>45730</v>
      </c>
      <c r="C237" s="11" t="s">
        <v>52</v>
      </c>
      <c r="D237" s="11" t="s">
        <v>13</v>
      </c>
      <c r="E237" s="11">
        <v>-7</v>
      </c>
      <c r="F237" s="11">
        <f t="shared" si="7"/>
        <v>-7</v>
      </c>
      <c r="G237" s="11" t="s">
        <v>14</v>
      </c>
      <c r="H237" s="11" t="s">
        <v>20</v>
      </c>
      <c r="I237" s="11" t="s">
        <v>21</v>
      </c>
      <c r="J237" s="11">
        <v>5.5</v>
      </c>
      <c r="K237" s="11">
        <v>12</v>
      </c>
      <c r="L237" s="11"/>
      <c r="M237" s="11">
        <f t="shared" si="6"/>
        <v>38.5</v>
      </c>
      <c r="N237" s="11">
        <f>IF(Table1[[#This Row],[Transaction Type]]="Sale",ABS(E237)*K237,0)</f>
        <v>84</v>
      </c>
      <c r="O237" s="29">
        <f>IF(Table1[[#This Row],[Transaction Type]]="Purchase",E237*J237,0)</f>
        <v>0</v>
      </c>
    </row>
    <row r="238" spans="1:15" x14ac:dyDescent="0.35">
      <c r="A238" s="27" t="s">
        <v>376</v>
      </c>
      <c r="B238" s="12">
        <v>45730</v>
      </c>
      <c r="C238" s="11" t="s">
        <v>136</v>
      </c>
      <c r="D238" s="11" t="s">
        <v>13</v>
      </c>
      <c r="E238" s="11">
        <v>-4</v>
      </c>
      <c r="F238" s="11">
        <f t="shared" si="7"/>
        <v>-4</v>
      </c>
      <c r="G238" s="11" t="s">
        <v>24</v>
      </c>
      <c r="H238" s="11" t="s">
        <v>33</v>
      </c>
      <c r="I238" s="11" t="s">
        <v>34</v>
      </c>
      <c r="J238" s="11">
        <v>34</v>
      </c>
      <c r="K238" s="11">
        <v>55</v>
      </c>
      <c r="L238" s="11"/>
      <c r="M238" s="11">
        <f t="shared" si="6"/>
        <v>136</v>
      </c>
      <c r="N238" s="11">
        <f>IF(Table1[[#This Row],[Transaction Type]]="Sale",ABS(E238)*K238,0)</f>
        <v>220</v>
      </c>
      <c r="O238" s="29">
        <f>IF(Table1[[#This Row],[Transaction Type]]="Purchase",E238*J238,0)</f>
        <v>0</v>
      </c>
    </row>
    <row r="239" spans="1:15" x14ac:dyDescent="0.35">
      <c r="A239" s="27" t="s">
        <v>377</v>
      </c>
      <c r="B239" s="12">
        <v>45730</v>
      </c>
      <c r="C239" s="11" t="s">
        <v>98</v>
      </c>
      <c r="D239" s="11" t="s">
        <v>13</v>
      </c>
      <c r="E239" s="11">
        <v>-9</v>
      </c>
      <c r="F239" s="11">
        <f t="shared" si="7"/>
        <v>-9</v>
      </c>
      <c r="G239" s="11" t="s">
        <v>24</v>
      </c>
      <c r="H239" s="11" t="s">
        <v>30</v>
      </c>
      <c r="I239" s="11" t="s">
        <v>16</v>
      </c>
      <c r="J239" s="11">
        <v>16</v>
      </c>
      <c r="K239" s="11">
        <v>29</v>
      </c>
      <c r="L239" s="11"/>
      <c r="M239" s="11">
        <f t="shared" si="6"/>
        <v>144</v>
      </c>
      <c r="N239" s="11">
        <f>IF(Table1[[#This Row],[Transaction Type]]="Sale",ABS(E239)*K239,0)</f>
        <v>261</v>
      </c>
      <c r="O239" s="29">
        <f>IF(Table1[[#This Row],[Transaction Type]]="Purchase",E239*J239,0)</f>
        <v>0</v>
      </c>
    </row>
    <row r="240" spans="1:15" x14ac:dyDescent="0.35">
      <c r="A240" s="27" t="s">
        <v>378</v>
      </c>
      <c r="B240" s="12">
        <v>45731</v>
      </c>
      <c r="C240" s="11" t="s">
        <v>139</v>
      </c>
      <c r="D240" s="11" t="s">
        <v>13</v>
      </c>
      <c r="E240" s="11">
        <v>-15</v>
      </c>
      <c r="F240" s="11">
        <f t="shared" si="7"/>
        <v>-15</v>
      </c>
      <c r="G240" s="11" t="s">
        <v>14</v>
      </c>
      <c r="H240" s="11" t="s">
        <v>379</v>
      </c>
      <c r="I240" s="11" t="s">
        <v>16</v>
      </c>
      <c r="J240" s="11">
        <v>16.5</v>
      </c>
      <c r="K240" s="11">
        <v>28</v>
      </c>
      <c r="L240" s="11"/>
      <c r="M240" s="11">
        <f t="shared" si="6"/>
        <v>247.5</v>
      </c>
      <c r="N240" s="11">
        <f>IF(Table1[[#This Row],[Transaction Type]]="Sale",ABS(E240)*K240,0)</f>
        <v>420</v>
      </c>
      <c r="O240" s="29">
        <f>IF(Table1[[#This Row],[Transaction Type]]="Purchase",E240*J240,0)</f>
        <v>0</v>
      </c>
    </row>
    <row r="241" spans="1:15" x14ac:dyDescent="0.35">
      <c r="A241" s="27" t="s">
        <v>380</v>
      </c>
      <c r="B241" s="12">
        <v>45731</v>
      </c>
      <c r="C241" s="11" t="s">
        <v>60</v>
      </c>
      <c r="D241" s="11" t="s">
        <v>13</v>
      </c>
      <c r="E241" s="11">
        <v>-10</v>
      </c>
      <c r="F241" s="11">
        <f t="shared" si="7"/>
        <v>-10</v>
      </c>
      <c r="G241" s="11" t="s">
        <v>14</v>
      </c>
      <c r="H241" s="11" t="s">
        <v>61</v>
      </c>
      <c r="I241" s="11" t="s">
        <v>62</v>
      </c>
      <c r="J241" s="11">
        <v>3.4</v>
      </c>
      <c r="K241" s="11">
        <v>8</v>
      </c>
      <c r="L241" s="11"/>
      <c r="M241" s="11">
        <f t="shared" si="6"/>
        <v>34</v>
      </c>
      <c r="N241" s="11">
        <f>IF(Table1[[#This Row],[Transaction Type]]="Sale",ABS(E241)*K241,0)</f>
        <v>80</v>
      </c>
      <c r="O241" s="29">
        <f>IF(Table1[[#This Row],[Transaction Type]]="Purchase",E241*J241,0)</f>
        <v>0</v>
      </c>
    </row>
    <row r="242" spans="1:15" x14ac:dyDescent="0.35">
      <c r="A242" s="27" t="s">
        <v>381</v>
      </c>
      <c r="B242" s="12">
        <v>45731</v>
      </c>
      <c r="C242" s="11" t="s">
        <v>81</v>
      </c>
      <c r="D242" s="11" t="s">
        <v>13</v>
      </c>
      <c r="E242" s="11">
        <v>-12</v>
      </c>
      <c r="F242" s="11">
        <f t="shared" si="7"/>
        <v>-12</v>
      </c>
      <c r="G242" s="11" t="s">
        <v>14</v>
      </c>
      <c r="H242" s="11" t="s">
        <v>30</v>
      </c>
      <c r="I242" s="11" t="s">
        <v>16</v>
      </c>
      <c r="J242" s="11">
        <v>8</v>
      </c>
      <c r="K242" s="11">
        <v>15</v>
      </c>
      <c r="L242" s="11"/>
      <c r="M242" s="11">
        <f t="shared" si="6"/>
        <v>96</v>
      </c>
      <c r="N242" s="11">
        <f>IF(Table1[[#This Row],[Transaction Type]]="Sale",ABS(E242)*K242,0)</f>
        <v>180</v>
      </c>
      <c r="O242" s="29">
        <f>IF(Table1[[#This Row],[Transaction Type]]="Purchase",E242*J242,0)</f>
        <v>0</v>
      </c>
    </row>
    <row r="243" spans="1:15" x14ac:dyDescent="0.35">
      <c r="A243" s="27" t="s">
        <v>382</v>
      </c>
      <c r="B243" s="12">
        <v>45731</v>
      </c>
      <c r="C243" s="11" t="s">
        <v>141</v>
      </c>
      <c r="D243" s="11" t="s">
        <v>13</v>
      </c>
      <c r="E243" s="11">
        <v>-1</v>
      </c>
      <c r="F243" s="11">
        <f t="shared" si="7"/>
        <v>-1</v>
      </c>
      <c r="G243" s="11" t="s">
        <v>14</v>
      </c>
      <c r="H243" s="11" t="s">
        <v>25</v>
      </c>
      <c r="I243" s="11" t="s">
        <v>26</v>
      </c>
      <c r="J243" s="11">
        <v>4</v>
      </c>
      <c r="K243" s="11">
        <v>9</v>
      </c>
      <c r="L243" s="11"/>
      <c r="M243" s="11">
        <f t="shared" si="6"/>
        <v>4</v>
      </c>
      <c r="N243" s="11">
        <f>IF(Table1[[#This Row],[Transaction Type]]="Sale",ABS(E243)*K243,0)</f>
        <v>9</v>
      </c>
      <c r="O243" s="29">
        <f>IF(Table1[[#This Row],[Transaction Type]]="Purchase",E243*J243,0)</f>
        <v>0</v>
      </c>
    </row>
    <row r="244" spans="1:15" x14ac:dyDescent="0.35">
      <c r="A244" s="27" t="s">
        <v>383</v>
      </c>
      <c r="B244" s="12">
        <v>45731</v>
      </c>
      <c r="C244" s="11" t="s">
        <v>12</v>
      </c>
      <c r="D244" s="11" t="s">
        <v>13</v>
      </c>
      <c r="E244" s="11">
        <v>-8</v>
      </c>
      <c r="F244" s="11">
        <f t="shared" si="7"/>
        <v>-8</v>
      </c>
      <c r="G244" s="11" t="s">
        <v>24</v>
      </c>
      <c r="H244" s="11" t="s">
        <v>15</v>
      </c>
      <c r="I244" s="11" t="s">
        <v>16</v>
      </c>
      <c r="J244" s="11">
        <v>13.5</v>
      </c>
      <c r="K244" s="11">
        <v>24</v>
      </c>
      <c r="L244" s="11"/>
      <c r="M244" s="11">
        <f t="shared" si="6"/>
        <v>108</v>
      </c>
      <c r="N244" s="11">
        <f>IF(Table1[[#This Row],[Transaction Type]]="Sale",ABS(E244)*K244,0)</f>
        <v>192</v>
      </c>
      <c r="O244" s="29">
        <f>IF(Table1[[#This Row],[Transaction Type]]="Purchase",E244*J244,0)</f>
        <v>0</v>
      </c>
    </row>
    <row r="245" spans="1:15" x14ac:dyDescent="0.35">
      <c r="A245" s="27" t="s">
        <v>384</v>
      </c>
      <c r="B245" s="12">
        <v>45732</v>
      </c>
      <c r="C245" s="11" t="s">
        <v>170</v>
      </c>
      <c r="D245" s="11" t="s">
        <v>13</v>
      </c>
      <c r="E245" s="11">
        <v>-4</v>
      </c>
      <c r="F245" s="11">
        <f t="shared" si="7"/>
        <v>-4</v>
      </c>
      <c r="G245" s="11" t="s">
        <v>14</v>
      </c>
      <c r="H245" s="11" t="s">
        <v>171</v>
      </c>
      <c r="I245" s="11" t="s">
        <v>34</v>
      </c>
      <c r="J245" s="11">
        <v>25</v>
      </c>
      <c r="K245" s="11">
        <v>45</v>
      </c>
      <c r="L245" s="11"/>
      <c r="M245" s="11">
        <f t="shared" si="6"/>
        <v>100</v>
      </c>
      <c r="N245" s="11">
        <f>IF(Table1[[#This Row],[Transaction Type]]="Sale",ABS(E245)*K245,0)</f>
        <v>180</v>
      </c>
      <c r="O245" s="29">
        <f>IF(Table1[[#This Row],[Transaction Type]]="Purchase",E245*J245,0)</f>
        <v>0</v>
      </c>
    </row>
    <row r="246" spans="1:15" x14ac:dyDescent="0.35">
      <c r="A246" s="27" t="s">
        <v>385</v>
      </c>
      <c r="B246" s="12">
        <v>45732</v>
      </c>
      <c r="C246" s="11" t="s">
        <v>23</v>
      </c>
      <c r="D246" s="11" t="s">
        <v>40</v>
      </c>
      <c r="E246" s="11">
        <v>88</v>
      </c>
      <c r="F246" s="11">
        <f t="shared" si="7"/>
        <v>88</v>
      </c>
      <c r="G246" s="11" t="s">
        <v>19</v>
      </c>
      <c r="H246" s="11" t="s">
        <v>25</v>
      </c>
      <c r="I246" s="11" t="s">
        <v>26</v>
      </c>
      <c r="J246" s="11">
        <v>3</v>
      </c>
      <c r="K246" s="11">
        <v>7</v>
      </c>
      <c r="L246" s="11" t="s">
        <v>386</v>
      </c>
      <c r="M246" s="11">
        <f t="shared" si="6"/>
        <v>264</v>
      </c>
      <c r="N246" s="11">
        <f>IF(Table1[[#This Row],[Transaction Type]]="Sale",ABS(E246)*K246,0)</f>
        <v>0</v>
      </c>
      <c r="O246" s="29">
        <f>IF(Table1[[#This Row],[Transaction Type]]="Purchase",E246*J246,0)</f>
        <v>264</v>
      </c>
    </row>
    <row r="247" spans="1:15" x14ac:dyDescent="0.35">
      <c r="A247" s="27" t="s">
        <v>387</v>
      </c>
      <c r="B247" s="12">
        <v>45732</v>
      </c>
      <c r="C247" s="11" t="s">
        <v>12</v>
      </c>
      <c r="D247" s="11" t="s">
        <v>13</v>
      </c>
      <c r="E247" s="11">
        <v>-8</v>
      </c>
      <c r="F247" s="11">
        <f t="shared" si="7"/>
        <v>-8</v>
      </c>
      <c r="G247" s="11" t="s">
        <v>14</v>
      </c>
      <c r="H247" s="11" t="s">
        <v>15</v>
      </c>
      <c r="I247" s="11" t="s">
        <v>16</v>
      </c>
      <c r="J247" s="11">
        <v>13.5</v>
      </c>
      <c r="K247" s="11">
        <v>24</v>
      </c>
      <c r="L247" s="11"/>
      <c r="M247" s="11">
        <f t="shared" si="6"/>
        <v>108</v>
      </c>
      <c r="N247" s="11">
        <f>IF(Table1[[#This Row],[Transaction Type]]="Sale",ABS(E247)*K247,0)</f>
        <v>192</v>
      </c>
      <c r="O247" s="29">
        <f>IF(Table1[[#This Row],[Transaction Type]]="Purchase",E247*J247,0)</f>
        <v>0</v>
      </c>
    </row>
    <row r="248" spans="1:15" x14ac:dyDescent="0.35">
      <c r="A248" s="27" t="s">
        <v>388</v>
      </c>
      <c r="B248" s="12">
        <v>45732</v>
      </c>
      <c r="C248" s="11" t="s">
        <v>227</v>
      </c>
      <c r="D248" s="11" t="s">
        <v>40</v>
      </c>
      <c r="E248" s="11">
        <v>48</v>
      </c>
      <c r="F248" s="11">
        <f t="shared" si="7"/>
        <v>48</v>
      </c>
      <c r="G248" s="11" t="s">
        <v>19</v>
      </c>
      <c r="H248" s="11" t="s">
        <v>228</v>
      </c>
      <c r="I248" s="11" t="s">
        <v>16</v>
      </c>
      <c r="J248" s="11">
        <v>78</v>
      </c>
      <c r="K248" s="11">
        <v>125</v>
      </c>
      <c r="L248" s="11" t="s">
        <v>389</v>
      </c>
      <c r="M248" s="11">
        <f t="shared" si="6"/>
        <v>3744</v>
      </c>
      <c r="N248" s="11">
        <f>IF(Table1[[#This Row],[Transaction Type]]="Sale",ABS(E248)*K248,0)</f>
        <v>0</v>
      </c>
      <c r="O248" s="29">
        <f>IF(Table1[[#This Row],[Transaction Type]]="Purchase",E248*J248,0)</f>
        <v>3744</v>
      </c>
    </row>
    <row r="249" spans="1:15" x14ac:dyDescent="0.35">
      <c r="A249" s="27" t="s">
        <v>390</v>
      </c>
      <c r="B249" s="12">
        <v>45733</v>
      </c>
      <c r="C249" s="11" t="s">
        <v>52</v>
      </c>
      <c r="D249" s="11" t="s">
        <v>40</v>
      </c>
      <c r="E249" s="11">
        <v>44</v>
      </c>
      <c r="F249" s="11">
        <f t="shared" si="7"/>
        <v>44</v>
      </c>
      <c r="G249" s="11" t="s">
        <v>14</v>
      </c>
      <c r="H249" s="11" t="s">
        <v>20</v>
      </c>
      <c r="I249" s="11" t="s">
        <v>21</v>
      </c>
      <c r="J249" s="11">
        <v>5.5</v>
      </c>
      <c r="K249" s="11">
        <v>12</v>
      </c>
      <c r="L249" s="11" t="s">
        <v>391</v>
      </c>
      <c r="M249" s="11">
        <f t="shared" si="6"/>
        <v>242</v>
      </c>
      <c r="N249" s="11">
        <f>IF(Table1[[#This Row],[Transaction Type]]="Sale",ABS(E249)*K249,0)</f>
        <v>0</v>
      </c>
      <c r="O249" s="29">
        <f>IF(Table1[[#This Row],[Transaction Type]]="Purchase",E249*J249,0)</f>
        <v>242</v>
      </c>
    </row>
    <row r="250" spans="1:15" x14ac:dyDescent="0.35">
      <c r="A250" s="27" t="s">
        <v>392</v>
      </c>
      <c r="B250" s="12">
        <v>45733</v>
      </c>
      <c r="C250" s="11" t="s">
        <v>194</v>
      </c>
      <c r="D250" s="11" t="s">
        <v>13</v>
      </c>
      <c r="E250" s="11">
        <v>-4</v>
      </c>
      <c r="F250" s="11">
        <f t="shared" si="7"/>
        <v>-4</v>
      </c>
      <c r="G250" s="11" t="s">
        <v>19</v>
      </c>
      <c r="H250" s="11" t="s">
        <v>195</v>
      </c>
      <c r="I250" s="11" t="s">
        <v>21</v>
      </c>
      <c r="J250" s="11">
        <v>220</v>
      </c>
      <c r="K250" s="11">
        <v>320</v>
      </c>
      <c r="L250" s="11"/>
      <c r="M250" s="11">
        <f t="shared" si="6"/>
        <v>880</v>
      </c>
      <c r="N250" s="11">
        <f>IF(Table1[[#This Row],[Transaction Type]]="Sale",ABS(E250)*K250,0)</f>
        <v>1280</v>
      </c>
      <c r="O250" s="29">
        <f>IF(Table1[[#This Row],[Transaction Type]]="Purchase",E250*J250,0)</f>
        <v>0</v>
      </c>
    </row>
    <row r="251" spans="1:15" x14ac:dyDescent="0.35">
      <c r="A251" s="27" t="s">
        <v>393</v>
      </c>
      <c r="B251" s="12">
        <v>45733</v>
      </c>
      <c r="C251" s="11" t="s">
        <v>65</v>
      </c>
      <c r="D251" s="11" t="s">
        <v>40</v>
      </c>
      <c r="E251" s="11">
        <v>110</v>
      </c>
      <c r="F251" s="11">
        <f t="shared" si="7"/>
        <v>110</v>
      </c>
      <c r="G251" s="11" t="s">
        <v>14</v>
      </c>
      <c r="H251" s="11" t="s">
        <v>67</v>
      </c>
      <c r="I251" s="11" t="s">
        <v>21</v>
      </c>
      <c r="J251" s="11">
        <v>11</v>
      </c>
      <c r="K251" s="11">
        <v>22</v>
      </c>
      <c r="L251" s="11" t="s">
        <v>394</v>
      </c>
      <c r="M251" s="11">
        <f t="shared" si="6"/>
        <v>1210</v>
      </c>
      <c r="N251" s="11">
        <f>IF(Table1[[#This Row],[Transaction Type]]="Sale",ABS(E251)*K251,0)</f>
        <v>0</v>
      </c>
      <c r="O251" s="29">
        <f>IF(Table1[[#This Row],[Transaction Type]]="Purchase",E251*J251,0)</f>
        <v>1210</v>
      </c>
    </row>
    <row r="252" spans="1:15" x14ac:dyDescent="0.35">
      <c r="A252" s="27" t="s">
        <v>395</v>
      </c>
      <c r="B252" s="12">
        <v>45735</v>
      </c>
      <c r="C252" s="11" t="s">
        <v>36</v>
      </c>
      <c r="D252" s="11" t="s">
        <v>13</v>
      </c>
      <c r="E252" s="11">
        <v>-10</v>
      </c>
      <c r="F252" s="11">
        <f t="shared" si="7"/>
        <v>-10</v>
      </c>
      <c r="G252" s="11" t="s">
        <v>14</v>
      </c>
      <c r="H252" s="11" t="s">
        <v>37</v>
      </c>
      <c r="I252" s="11" t="s">
        <v>16</v>
      </c>
      <c r="J252" s="11">
        <v>7.2</v>
      </c>
      <c r="K252" s="11">
        <v>12.5</v>
      </c>
      <c r="L252" s="11"/>
      <c r="M252" s="11">
        <f t="shared" si="6"/>
        <v>72</v>
      </c>
      <c r="N252" s="11">
        <f>IF(Table1[[#This Row],[Transaction Type]]="Sale",ABS(E252)*K252,0)</f>
        <v>125</v>
      </c>
      <c r="O252" s="29">
        <f>IF(Table1[[#This Row],[Transaction Type]]="Purchase",E252*J252,0)</f>
        <v>0</v>
      </c>
    </row>
    <row r="253" spans="1:15" x14ac:dyDescent="0.35">
      <c r="A253" s="27" t="s">
        <v>396</v>
      </c>
      <c r="B253" s="12">
        <v>45735</v>
      </c>
      <c r="C253" s="11" t="s">
        <v>23</v>
      </c>
      <c r="D253" s="11" t="s">
        <v>40</v>
      </c>
      <c r="E253" s="11">
        <v>94</v>
      </c>
      <c r="F253" s="11">
        <f t="shared" si="7"/>
        <v>94</v>
      </c>
      <c r="G253" s="11" t="s">
        <v>14</v>
      </c>
      <c r="H253" s="11" t="s">
        <v>25</v>
      </c>
      <c r="I253" s="11" t="s">
        <v>26</v>
      </c>
      <c r="J253" s="11">
        <v>3</v>
      </c>
      <c r="K253" s="11">
        <v>7</v>
      </c>
      <c r="L253" s="11" t="s">
        <v>397</v>
      </c>
      <c r="M253" s="11">
        <f t="shared" si="6"/>
        <v>282</v>
      </c>
      <c r="N253" s="11">
        <f>IF(Table1[[#This Row],[Transaction Type]]="Sale",ABS(E253)*K253,0)</f>
        <v>0</v>
      </c>
      <c r="O253" s="29">
        <f>IF(Table1[[#This Row],[Transaction Type]]="Purchase",E253*J253,0)</f>
        <v>282</v>
      </c>
    </row>
    <row r="254" spans="1:15" x14ac:dyDescent="0.35">
      <c r="A254" s="27" t="s">
        <v>398</v>
      </c>
      <c r="B254" s="12">
        <v>45735</v>
      </c>
      <c r="C254" s="11" t="s">
        <v>48</v>
      </c>
      <c r="D254" s="11" t="s">
        <v>40</v>
      </c>
      <c r="E254" s="11">
        <v>68</v>
      </c>
      <c r="F254" s="11">
        <f t="shared" si="7"/>
        <v>68</v>
      </c>
      <c r="G254" s="11" t="s">
        <v>14</v>
      </c>
      <c r="H254" s="11" t="s">
        <v>49</v>
      </c>
      <c r="I254" s="11" t="s">
        <v>21</v>
      </c>
      <c r="J254" s="11">
        <v>8.5</v>
      </c>
      <c r="K254" s="11">
        <v>18</v>
      </c>
      <c r="L254" s="11" t="s">
        <v>399</v>
      </c>
      <c r="M254" s="11">
        <f t="shared" si="6"/>
        <v>578</v>
      </c>
      <c r="N254" s="11">
        <f>IF(Table1[[#This Row],[Transaction Type]]="Sale",ABS(E254)*K254,0)</f>
        <v>0</v>
      </c>
      <c r="O254" s="29">
        <f>IF(Table1[[#This Row],[Transaction Type]]="Purchase",E254*J254,0)</f>
        <v>578</v>
      </c>
    </row>
    <row r="255" spans="1:15" x14ac:dyDescent="0.35">
      <c r="A255" s="27" t="s">
        <v>400</v>
      </c>
      <c r="B255" s="12">
        <v>45736</v>
      </c>
      <c r="C255" s="11" t="s">
        <v>52</v>
      </c>
      <c r="D255" s="11" t="s">
        <v>40</v>
      </c>
      <c r="E255" s="11">
        <v>102</v>
      </c>
      <c r="F255" s="11">
        <f t="shared" si="7"/>
        <v>102</v>
      </c>
      <c r="G255" s="11" t="s">
        <v>19</v>
      </c>
      <c r="H255" s="11" t="s">
        <v>20</v>
      </c>
      <c r="I255" s="11" t="s">
        <v>21</v>
      </c>
      <c r="J255" s="11">
        <v>5.5</v>
      </c>
      <c r="K255" s="11">
        <v>12</v>
      </c>
      <c r="L255" s="11" t="s">
        <v>401</v>
      </c>
      <c r="M255" s="11">
        <f t="shared" si="6"/>
        <v>561</v>
      </c>
      <c r="N255" s="11">
        <f>IF(Table1[[#This Row],[Transaction Type]]="Sale",ABS(E255)*K255,0)</f>
        <v>0</v>
      </c>
      <c r="O255" s="29">
        <f>IF(Table1[[#This Row],[Transaction Type]]="Purchase",E255*J255,0)</f>
        <v>561</v>
      </c>
    </row>
    <row r="256" spans="1:15" x14ac:dyDescent="0.35">
      <c r="A256" s="27" t="s">
        <v>402</v>
      </c>
      <c r="B256" s="12">
        <v>45736</v>
      </c>
      <c r="C256" s="11" t="s">
        <v>94</v>
      </c>
      <c r="D256" s="11" t="s">
        <v>13</v>
      </c>
      <c r="E256" s="11">
        <v>-7</v>
      </c>
      <c r="F256" s="11">
        <f t="shared" si="7"/>
        <v>-7</v>
      </c>
      <c r="G256" s="11" t="s">
        <v>19</v>
      </c>
      <c r="H256" s="11" t="s">
        <v>95</v>
      </c>
      <c r="I256" s="11" t="s">
        <v>16</v>
      </c>
      <c r="J256" s="11">
        <v>18.5</v>
      </c>
      <c r="K256" s="11">
        <v>31</v>
      </c>
      <c r="L256" s="11"/>
      <c r="M256" s="11">
        <f t="shared" si="6"/>
        <v>129.5</v>
      </c>
      <c r="N256" s="11">
        <f>IF(Table1[[#This Row],[Transaction Type]]="Sale",ABS(E256)*K256,0)</f>
        <v>217</v>
      </c>
      <c r="O256" s="29">
        <f>IF(Table1[[#This Row],[Transaction Type]]="Purchase",E256*J256,0)</f>
        <v>0</v>
      </c>
    </row>
    <row r="257" spans="1:15" x14ac:dyDescent="0.35">
      <c r="A257" s="27" t="s">
        <v>403</v>
      </c>
      <c r="B257" s="12">
        <v>45736</v>
      </c>
      <c r="C257" s="11" t="s">
        <v>23</v>
      </c>
      <c r="D257" s="11" t="s">
        <v>13</v>
      </c>
      <c r="E257" s="11">
        <v>-15</v>
      </c>
      <c r="F257" s="11">
        <f t="shared" si="7"/>
        <v>-15</v>
      </c>
      <c r="G257" s="11" t="s">
        <v>24</v>
      </c>
      <c r="H257" s="11" t="s">
        <v>25</v>
      </c>
      <c r="I257" s="11" t="s">
        <v>26</v>
      </c>
      <c r="J257" s="11">
        <v>3</v>
      </c>
      <c r="K257" s="11">
        <v>7</v>
      </c>
      <c r="L257" s="11"/>
      <c r="M257" s="11">
        <f t="shared" si="6"/>
        <v>45</v>
      </c>
      <c r="N257" s="11">
        <f>IF(Table1[[#This Row],[Transaction Type]]="Sale",ABS(E257)*K257,0)</f>
        <v>105</v>
      </c>
      <c r="O257" s="29">
        <f>IF(Table1[[#This Row],[Transaction Type]]="Purchase",E257*J257,0)</f>
        <v>0</v>
      </c>
    </row>
    <row r="258" spans="1:15" x14ac:dyDescent="0.35">
      <c r="A258" s="27" t="s">
        <v>404</v>
      </c>
      <c r="B258" s="12">
        <v>45736</v>
      </c>
      <c r="C258" s="11" t="s">
        <v>23</v>
      </c>
      <c r="D258" s="11" t="s">
        <v>13</v>
      </c>
      <c r="E258" s="11">
        <v>-8</v>
      </c>
      <c r="F258" s="11">
        <f t="shared" si="7"/>
        <v>-8</v>
      </c>
      <c r="G258" s="11" t="s">
        <v>24</v>
      </c>
      <c r="H258" s="11" t="s">
        <v>25</v>
      </c>
      <c r="I258" s="11" t="s">
        <v>26</v>
      </c>
      <c r="J258" s="11">
        <v>3</v>
      </c>
      <c r="K258" s="11">
        <v>7</v>
      </c>
      <c r="L258" s="11"/>
      <c r="M258" s="11">
        <f t="shared" ref="M258:M321" si="8">ABS(E258)*J258</f>
        <v>24</v>
      </c>
      <c r="N258" s="11">
        <f>IF(Table1[[#This Row],[Transaction Type]]="Sale",ABS(E258)*K258,0)</f>
        <v>56</v>
      </c>
      <c r="O258" s="29">
        <f>IF(Table1[[#This Row],[Transaction Type]]="Purchase",E258*J258,0)</f>
        <v>0</v>
      </c>
    </row>
    <row r="259" spans="1:15" x14ac:dyDescent="0.35">
      <c r="A259" s="27" t="s">
        <v>405</v>
      </c>
      <c r="B259" s="12">
        <v>45736</v>
      </c>
      <c r="C259" s="11" t="s">
        <v>83</v>
      </c>
      <c r="D259" s="11" t="s">
        <v>40</v>
      </c>
      <c r="E259" s="11">
        <v>91</v>
      </c>
      <c r="F259" s="11">
        <f t="shared" ref="F259:F322" si="9">E259</f>
        <v>91</v>
      </c>
      <c r="G259" s="11" t="s">
        <v>14</v>
      </c>
      <c r="H259" s="11" t="s">
        <v>84</v>
      </c>
      <c r="I259" s="11" t="s">
        <v>45</v>
      </c>
      <c r="J259" s="11">
        <v>130</v>
      </c>
      <c r="K259" s="11">
        <v>185</v>
      </c>
      <c r="L259" s="11" t="s">
        <v>406</v>
      </c>
      <c r="M259" s="11">
        <f t="shared" si="8"/>
        <v>11830</v>
      </c>
      <c r="N259" s="11">
        <f>IF(Table1[[#This Row],[Transaction Type]]="Sale",ABS(E259)*K259,0)</f>
        <v>0</v>
      </c>
      <c r="O259" s="29">
        <f>IF(Table1[[#This Row],[Transaction Type]]="Purchase",E259*J259,0)</f>
        <v>11830</v>
      </c>
    </row>
    <row r="260" spans="1:15" x14ac:dyDescent="0.35">
      <c r="A260" s="27" t="s">
        <v>407</v>
      </c>
      <c r="B260" s="12">
        <v>45736</v>
      </c>
      <c r="C260" s="11" t="s">
        <v>52</v>
      </c>
      <c r="D260" s="11" t="s">
        <v>40</v>
      </c>
      <c r="E260" s="11">
        <v>67</v>
      </c>
      <c r="F260" s="11">
        <f t="shared" si="9"/>
        <v>67</v>
      </c>
      <c r="G260" s="11" t="s">
        <v>24</v>
      </c>
      <c r="H260" s="11" t="s">
        <v>20</v>
      </c>
      <c r="I260" s="11" t="s">
        <v>21</v>
      </c>
      <c r="J260" s="11">
        <v>5.5</v>
      </c>
      <c r="K260" s="11">
        <v>12</v>
      </c>
      <c r="L260" s="11" t="s">
        <v>408</v>
      </c>
      <c r="M260" s="11">
        <f t="shared" si="8"/>
        <v>368.5</v>
      </c>
      <c r="N260" s="11">
        <f>IF(Table1[[#This Row],[Transaction Type]]="Sale",ABS(E260)*K260,0)</f>
        <v>0</v>
      </c>
      <c r="O260" s="29">
        <f>IF(Table1[[#This Row],[Transaction Type]]="Purchase",E260*J260,0)</f>
        <v>368.5</v>
      </c>
    </row>
    <row r="261" spans="1:15" x14ac:dyDescent="0.35">
      <c r="A261" s="27" t="s">
        <v>409</v>
      </c>
      <c r="B261" s="12">
        <v>45736</v>
      </c>
      <c r="C261" s="11" t="s">
        <v>23</v>
      </c>
      <c r="D261" s="11" t="s">
        <v>13</v>
      </c>
      <c r="E261" s="11">
        <v>-14</v>
      </c>
      <c r="F261" s="11">
        <f t="shared" si="9"/>
        <v>-14</v>
      </c>
      <c r="G261" s="11" t="s">
        <v>14</v>
      </c>
      <c r="H261" s="11" t="s">
        <v>25</v>
      </c>
      <c r="I261" s="11" t="s">
        <v>26</v>
      </c>
      <c r="J261" s="11">
        <v>3</v>
      </c>
      <c r="K261" s="11">
        <v>7</v>
      </c>
      <c r="L261" s="11"/>
      <c r="M261" s="11">
        <f t="shared" si="8"/>
        <v>42</v>
      </c>
      <c r="N261" s="11">
        <f>IF(Table1[[#This Row],[Transaction Type]]="Sale",ABS(E261)*K261,0)</f>
        <v>98</v>
      </c>
      <c r="O261" s="29">
        <f>IF(Table1[[#This Row],[Transaction Type]]="Purchase",E261*J261,0)</f>
        <v>0</v>
      </c>
    </row>
    <row r="262" spans="1:15" x14ac:dyDescent="0.35">
      <c r="A262" s="27" t="s">
        <v>410</v>
      </c>
      <c r="B262" s="12">
        <v>45737</v>
      </c>
      <c r="C262" s="11" t="s">
        <v>139</v>
      </c>
      <c r="D262" s="11" t="s">
        <v>40</v>
      </c>
      <c r="E262" s="11">
        <v>70</v>
      </c>
      <c r="F262" s="11">
        <f t="shared" si="9"/>
        <v>70</v>
      </c>
      <c r="G262" s="11" t="s">
        <v>14</v>
      </c>
      <c r="H262" s="11" t="s">
        <v>56</v>
      </c>
      <c r="I262" s="11" t="s">
        <v>16</v>
      </c>
      <c r="J262" s="11">
        <v>16.5</v>
      </c>
      <c r="K262" s="11">
        <v>28</v>
      </c>
      <c r="L262" s="11" t="s">
        <v>411</v>
      </c>
      <c r="M262" s="11">
        <f t="shared" si="8"/>
        <v>1155</v>
      </c>
      <c r="N262" s="11">
        <f>IF(Table1[[#This Row],[Transaction Type]]="Sale",ABS(E262)*K262,0)</f>
        <v>0</v>
      </c>
      <c r="O262" s="29">
        <f>IF(Table1[[#This Row],[Transaction Type]]="Purchase",E262*J262,0)</f>
        <v>1155</v>
      </c>
    </row>
    <row r="263" spans="1:15" x14ac:dyDescent="0.35">
      <c r="A263" s="27" t="s">
        <v>412</v>
      </c>
      <c r="B263" s="12">
        <v>45737</v>
      </c>
      <c r="C263" s="11" t="s">
        <v>73</v>
      </c>
      <c r="D263" s="11" t="s">
        <v>58</v>
      </c>
      <c r="E263" s="11">
        <v>10</v>
      </c>
      <c r="F263" s="11">
        <f t="shared" si="9"/>
        <v>10</v>
      </c>
      <c r="G263" s="11" t="s">
        <v>14</v>
      </c>
      <c r="H263" s="11" t="s">
        <v>74</v>
      </c>
      <c r="I263" s="11" t="s">
        <v>75</v>
      </c>
      <c r="J263" s="11">
        <v>30</v>
      </c>
      <c r="K263" s="11">
        <v>48</v>
      </c>
      <c r="L263" s="11"/>
      <c r="M263" s="11">
        <f t="shared" si="8"/>
        <v>300</v>
      </c>
      <c r="N263" s="11">
        <f>IF(Table1[[#This Row],[Transaction Type]]="Sale",ABS(E263)*K263,0)</f>
        <v>0</v>
      </c>
      <c r="O263" s="29">
        <f>IF(Table1[[#This Row],[Transaction Type]]="Purchase",E263*J263,0)</f>
        <v>0</v>
      </c>
    </row>
    <row r="264" spans="1:15" x14ac:dyDescent="0.35">
      <c r="A264" s="27" t="s">
        <v>413</v>
      </c>
      <c r="B264" s="12">
        <v>45737</v>
      </c>
      <c r="C264" s="11" t="s">
        <v>73</v>
      </c>
      <c r="D264" s="11" t="s">
        <v>40</v>
      </c>
      <c r="E264" s="11">
        <v>100</v>
      </c>
      <c r="F264" s="11">
        <f t="shared" si="9"/>
        <v>100</v>
      </c>
      <c r="G264" s="11" t="s">
        <v>19</v>
      </c>
      <c r="H264" s="11" t="s">
        <v>74</v>
      </c>
      <c r="I264" s="11" t="s">
        <v>75</v>
      </c>
      <c r="J264" s="11">
        <v>30</v>
      </c>
      <c r="K264" s="11">
        <v>48</v>
      </c>
      <c r="L264" s="11" t="s">
        <v>414</v>
      </c>
      <c r="M264" s="11">
        <f t="shared" si="8"/>
        <v>3000</v>
      </c>
      <c r="N264" s="11">
        <f>IF(Table1[[#This Row],[Transaction Type]]="Sale",ABS(E264)*K264,0)</f>
        <v>0</v>
      </c>
      <c r="O264" s="29">
        <f>IF(Table1[[#This Row],[Transaction Type]]="Purchase",E264*J264,0)</f>
        <v>3000</v>
      </c>
    </row>
    <row r="265" spans="1:15" x14ac:dyDescent="0.35">
      <c r="A265" s="27" t="s">
        <v>415</v>
      </c>
      <c r="B265" s="12">
        <v>45738</v>
      </c>
      <c r="C265" s="11" t="s">
        <v>87</v>
      </c>
      <c r="D265" s="11" t="s">
        <v>13</v>
      </c>
      <c r="E265" s="11">
        <v>-15</v>
      </c>
      <c r="F265" s="11">
        <f t="shared" si="9"/>
        <v>-15</v>
      </c>
      <c r="G265" s="11" t="s">
        <v>24</v>
      </c>
      <c r="H265" s="11" t="s">
        <v>88</v>
      </c>
      <c r="I265" s="11" t="s">
        <v>16</v>
      </c>
      <c r="J265" s="11">
        <v>6</v>
      </c>
      <c r="K265" s="11">
        <v>14</v>
      </c>
      <c r="L265" s="11"/>
      <c r="M265" s="11">
        <f t="shared" si="8"/>
        <v>90</v>
      </c>
      <c r="N265" s="11">
        <f>IF(Table1[[#This Row],[Transaction Type]]="Sale",ABS(E265)*K265,0)</f>
        <v>210</v>
      </c>
      <c r="O265" s="29">
        <f>IF(Table1[[#This Row],[Transaction Type]]="Purchase",E265*J265,0)</f>
        <v>0</v>
      </c>
    </row>
    <row r="266" spans="1:15" x14ac:dyDescent="0.35">
      <c r="A266" s="27" t="s">
        <v>416</v>
      </c>
      <c r="B266" s="12">
        <v>45738</v>
      </c>
      <c r="C266" s="11" t="s">
        <v>23</v>
      </c>
      <c r="D266" s="11" t="s">
        <v>58</v>
      </c>
      <c r="E266" s="11">
        <v>4</v>
      </c>
      <c r="F266" s="11">
        <f t="shared" si="9"/>
        <v>4</v>
      </c>
      <c r="G266" s="11" t="s">
        <v>14</v>
      </c>
      <c r="H266" s="11" t="s">
        <v>25</v>
      </c>
      <c r="I266" s="11" t="s">
        <v>26</v>
      </c>
      <c r="J266" s="11">
        <v>3</v>
      </c>
      <c r="K266" s="11">
        <v>7</v>
      </c>
      <c r="L266" s="11"/>
      <c r="M266" s="11">
        <f t="shared" si="8"/>
        <v>12</v>
      </c>
      <c r="N266" s="11">
        <f>IF(Table1[[#This Row],[Transaction Type]]="Sale",ABS(E266)*K266,0)</f>
        <v>0</v>
      </c>
      <c r="O266" s="29">
        <f>IF(Table1[[#This Row],[Transaction Type]]="Purchase",E266*J266,0)</f>
        <v>0</v>
      </c>
    </row>
    <row r="267" spans="1:15" x14ac:dyDescent="0.35">
      <c r="A267" s="27" t="s">
        <v>417</v>
      </c>
      <c r="B267" s="12">
        <v>45738</v>
      </c>
      <c r="C267" s="11" t="s">
        <v>43</v>
      </c>
      <c r="D267" s="11" t="s">
        <v>13</v>
      </c>
      <c r="E267" s="11">
        <v>-13</v>
      </c>
      <c r="F267" s="11">
        <f t="shared" si="9"/>
        <v>-13</v>
      </c>
      <c r="G267" s="11" t="s">
        <v>14</v>
      </c>
      <c r="H267" s="11" t="s">
        <v>44</v>
      </c>
      <c r="I267" s="11" t="s">
        <v>45</v>
      </c>
      <c r="J267" s="11">
        <v>5.2</v>
      </c>
      <c r="K267" s="11">
        <v>11</v>
      </c>
      <c r="L267" s="11"/>
      <c r="M267" s="11">
        <f t="shared" si="8"/>
        <v>67.600000000000009</v>
      </c>
      <c r="N267" s="11">
        <f>IF(Table1[[#This Row],[Transaction Type]]="Sale",ABS(E267)*K267,0)</f>
        <v>143</v>
      </c>
      <c r="O267" s="29">
        <f>IF(Table1[[#This Row],[Transaction Type]]="Purchase",E267*J267,0)</f>
        <v>0</v>
      </c>
    </row>
    <row r="268" spans="1:15" x14ac:dyDescent="0.35">
      <c r="A268" s="27" t="s">
        <v>418</v>
      </c>
      <c r="B268" s="12">
        <v>45739</v>
      </c>
      <c r="C268" s="11" t="s">
        <v>12</v>
      </c>
      <c r="D268" s="11" t="s">
        <v>13</v>
      </c>
      <c r="E268" s="11">
        <v>-13</v>
      </c>
      <c r="F268" s="11">
        <f t="shared" si="9"/>
        <v>-13</v>
      </c>
      <c r="G268" s="11" t="s">
        <v>24</v>
      </c>
      <c r="H268" s="11" t="s">
        <v>15</v>
      </c>
      <c r="I268" s="11" t="s">
        <v>16</v>
      </c>
      <c r="J268" s="11">
        <v>13.5</v>
      </c>
      <c r="K268" s="11">
        <v>24</v>
      </c>
      <c r="L268" s="11"/>
      <c r="M268" s="11">
        <f t="shared" si="8"/>
        <v>175.5</v>
      </c>
      <c r="N268" s="11">
        <f>IF(Table1[[#This Row],[Transaction Type]]="Sale",ABS(E268)*K268,0)</f>
        <v>312</v>
      </c>
      <c r="O268" s="29">
        <f>IF(Table1[[#This Row],[Transaction Type]]="Purchase",E268*J268,0)</f>
        <v>0</v>
      </c>
    </row>
    <row r="269" spans="1:15" x14ac:dyDescent="0.35">
      <c r="A269" s="27" t="s">
        <v>419</v>
      </c>
      <c r="B269" s="12">
        <v>45739</v>
      </c>
      <c r="C269" s="11" t="s">
        <v>36</v>
      </c>
      <c r="D269" s="11" t="s">
        <v>40</v>
      </c>
      <c r="E269" s="11">
        <v>61</v>
      </c>
      <c r="F269" s="11">
        <f t="shared" si="9"/>
        <v>61</v>
      </c>
      <c r="G269" s="11" t="s">
        <v>24</v>
      </c>
      <c r="H269" s="11" t="s">
        <v>37</v>
      </c>
      <c r="I269" s="11" t="s">
        <v>16</v>
      </c>
      <c r="J269" s="11">
        <v>7.2</v>
      </c>
      <c r="K269" s="11">
        <v>12.5</v>
      </c>
      <c r="L269" s="11" t="s">
        <v>420</v>
      </c>
      <c r="M269" s="11">
        <f t="shared" si="8"/>
        <v>439.2</v>
      </c>
      <c r="N269" s="11">
        <f>IF(Table1[[#This Row],[Transaction Type]]="Sale",ABS(E269)*K269,0)</f>
        <v>0</v>
      </c>
      <c r="O269" s="29">
        <f>IF(Table1[[#This Row],[Transaction Type]]="Purchase",E269*J269,0)</f>
        <v>439.2</v>
      </c>
    </row>
    <row r="270" spans="1:15" x14ac:dyDescent="0.35">
      <c r="A270" s="27" t="s">
        <v>421</v>
      </c>
      <c r="B270" s="12">
        <v>45739</v>
      </c>
      <c r="C270" s="11" t="s">
        <v>52</v>
      </c>
      <c r="D270" s="11" t="s">
        <v>13</v>
      </c>
      <c r="E270" s="11">
        <v>-1</v>
      </c>
      <c r="F270" s="11">
        <f t="shared" si="9"/>
        <v>-1</v>
      </c>
      <c r="G270" s="11" t="s">
        <v>19</v>
      </c>
      <c r="H270" s="11" t="s">
        <v>20</v>
      </c>
      <c r="I270" s="11" t="s">
        <v>21</v>
      </c>
      <c r="J270" s="11">
        <v>5.5</v>
      </c>
      <c r="K270" s="11">
        <v>12</v>
      </c>
      <c r="L270" s="11"/>
      <c r="M270" s="11">
        <f t="shared" si="8"/>
        <v>5.5</v>
      </c>
      <c r="N270" s="11">
        <f>IF(Table1[[#This Row],[Transaction Type]]="Sale",ABS(E270)*K270,0)</f>
        <v>12</v>
      </c>
      <c r="O270" s="29">
        <f>IF(Table1[[#This Row],[Transaction Type]]="Purchase",E270*J270,0)</f>
        <v>0</v>
      </c>
    </row>
    <row r="271" spans="1:15" x14ac:dyDescent="0.35">
      <c r="A271" s="27" t="s">
        <v>422</v>
      </c>
      <c r="B271" s="12">
        <v>45739</v>
      </c>
      <c r="C271" s="11" t="s">
        <v>83</v>
      </c>
      <c r="D271" s="11" t="s">
        <v>13</v>
      </c>
      <c r="E271" s="11">
        <v>-4</v>
      </c>
      <c r="F271" s="11">
        <f t="shared" si="9"/>
        <v>-4</v>
      </c>
      <c r="G271" s="11" t="s">
        <v>24</v>
      </c>
      <c r="H271" s="11" t="s">
        <v>84</v>
      </c>
      <c r="I271" s="11" t="s">
        <v>45</v>
      </c>
      <c r="J271" s="11">
        <v>130</v>
      </c>
      <c r="K271" s="11">
        <v>185</v>
      </c>
      <c r="L271" s="11"/>
      <c r="M271" s="11">
        <f t="shared" si="8"/>
        <v>520</v>
      </c>
      <c r="N271" s="11">
        <f>IF(Table1[[#This Row],[Transaction Type]]="Sale",ABS(E271)*K271,0)</f>
        <v>740</v>
      </c>
      <c r="O271" s="29">
        <f>IF(Table1[[#This Row],[Transaction Type]]="Purchase",E271*J271,0)</f>
        <v>0</v>
      </c>
    </row>
    <row r="272" spans="1:15" x14ac:dyDescent="0.35">
      <c r="A272" s="27" t="s">
        <v>423</v>
      </c>
      <c r="B272" s="12">
        <v>45739</v>
      </c>
      <c r="C272" s="11" t="s">
        <v>23</v>
      </c>
      <c r="D272" s="11" t="s">
        <v>13</v>
      </c>
      <c r="E272" s="11">
        <v>-11</v>
      </c>
      <c r="F272" s="11">
        <f t="shared" si="9"/>
        <v>-11</v>
      </c>
      <c r="G272" s="11" t="s">
        <v>24</v>
      </c>
      <c r="H272" s="11" t="s">
        <v>25</v>
      </c>
      <c r="I272" s="11" t="s">
        <v>26</v>
      </c>
      <c r="J272" s="11">
        <v>3</v>
      </c>
      <c r="K272" s="11">
        <v>7</v>
      </c>
      <c r="L272" s="11"/>
      <c r="M272" s="11">
        <f t="shared" si="8"/>
        <v>33</v>
      </c>
      <c r="N272" s="11">
        <f>IF(Table1[[#This Row],[Transaction Type]]="Sale",ABS(E272)*K272,0)</f>
        <v>77</v>
      </c>
      <c r="O272" s="29">
        <f>IF(Table1[[#This Row],[Transaction Type]]="Purchase",E272*J272,0)</f>
        <v>0</v>
      </c>
    </row>
    <row r="273" spans="1:15" x14ac:dyDescent="0.35">
      <c r="A273" s="27" t="s">
        <v>424</v>
      </c>
      <c r="B273" s="12">
        <v>45740</v>
      </c>
      <c r="C273" s="11" t="s">
        <v>141</v>
      </c>
      <c r="D273" s="11" t="s">
        <v>40</v>
      </c>
      <c r="E273" s="11">
        <v>101</v>
      </c>
      <c r="F273" s="11">
        <f t="shared" si="9"/>
        <v>101</v>
      </c>
      <c r="G273" s="11" t="s">
        <v>19</v>
      </c>
      <c r="H273" s="11" t="s">
        <v>25</v>
      </c>
      <c r="I273" s="11" t="s">
        <v>26</v>
      </c>
      <c r="J273" s="11">
        <v>4</v>
      </c>
      <c r="K273" s="11">
        <v>9</v>
      </c>
      <c r="L273" s="11" t="s">
        <v>425</v>
      </c>
      <c r="M273" s="11">
        <f t="shared" si="8"/>
        <v>404</v>
      </c>
      <c r="N273" s="11">
        <f>IF(Table1[[#This Row],[Transaction Type]]="Sale",ABS(E273)*K273,0)</f>
        <v>0</v>
      </c>
      <c r="O273" s="29">
        <f>IF(Table1[[#This Row],[Transaction Type]]="Purchase",E273*J273,0)</f>
        <v>404</v>
      </c>
    </row>
    <row r="274" spans="1:15" x14ac:dyDescent="0.35">
      <c r="A274" s="27" t="s">
        <v>426</v>
      </c>
      <c r="B274" s="12">
        <v>45740</v>
      </c>
      <c r="C274" s="11" t="s">
        <v>141</v>
      </c>
      <c r="D274" s="11" t="s">
        <v>13</v>
      </c>
      <c r="E274" s="11">
        <v>-1</v>
      </c>
      <c r="F274" s="11">
        <f t="shared" si="9"/>
        <v>-1</v>
      </c>
      <c r="G274" s="11" t="s">
        <v>14</v>
      </c>
      <c r="H274" s="11" t="s">
        <v>25</v>
      </c>
      <c r="I274" s="11" t="s">
        <v>26</v>
      </c>
      <c r="J274" s="11">
        <v>4</v>
      </c>
      <c r="K274" s="11">
        <v>9</v>
      </c>
      <c r="L274" s="11"/>
      <c r="M274" s="11">
        <f t="shared" si="8"/>
        <v>4</v>
      </c>
      <c r="N274" s="11">
        <f>IF(Table1[[#This Row],[Transaction Type]]="Sale",ABS(E274)*K274,0)</f>
        <v>9</v>
      </c>
      <c r="O274" s="29">
        <f>IF(Table1[[#This Row],[Transaction Type]]="Purchase",E274*J274,0)</f>
        <v>0</v>
      </c>
    </row>
    <row r="275" spans="1:15" x14ac:dyDescent="0.35">
      <c r="A275" s="27" t="s">
        <v>427</v>
      </c>
      <c r="B275" s="12">
        <v>45741</v>
      </c>
      <c r="C275" s="11" t="s">
        <v>43</v>
      </c>
      <c r="D275" s="11" t="s">
        <v>13</v>
      </c>
      <c r="E275" s="11">
        <v>-5</v>
      </c>
      <c r="F275" s="11">
        <f t="shared" si="9"/>
        <v>-5</v>
      </c>
      <c r="G275" s="11" t="s">
        <v>14</v>
      </c>
      <c r="H275" s="11" t="s">
        <v>44</v>
      </c>
      <c r="I275" s="11" t="s">
        <v>45</v>
      </c>
      <c r="J275" s="11">
        <v>5.2</v>
      </c>
      <c r="K275" s="11">
        <v>11</v>
      </c>
      <c r="L275" s="11"/>
      <c r="M275" s="11">
        <f t="shared" si="8"/>
        <v>26</v>
      </c>
      <c r="N275" s="11">
        <f>IF(Table1[[#This Row],[Transaction Type]]="Sale",ABS(E275)*K275,0)</f>
        <v>55</v>
      </c>
      <c r="O275" s="29">
        <f>IF(Table1[[#This Row],[Transaction Type]]="Purchase",E275*J275,0)</f>
        <v>0</v>
      </c>
    </row>
    <row r="276" spans="1:15" x14ac:dyDescent="0.35">
      <c r="A276" s="27" t="s">
        <v>428</v>
      </c>
      <c r="B276" s="12">
        <v>45741</v>
      </c>
      <c r="C276" s="11" t="s">
        <v>52</v>
      </c>
      <c r="D276" s="11" t="s">
        <v>13</v>
      </c>
      <c r="E276" s="11">
        <v>-4</v>
      </c>
      <c r="F276" s="11">
        <f t="shared" si="9"/>
        <v>-4</v>
      </c>
      <c r="G276" s="11" t="s">
        <v>14</v>
      </c>
      <c r="H276" s="11" t="s">
        <v>20</v>
      </c>
      <c r="I276" s="11" t="s">
        <v>21</v>
      </c>
      <c r="J276" s="11">
        <v>5.5</v>
      </c>
      <c r="K276" s="11">
        <v>12</v>
      </c>
      <c r="L276" s="11"/>
      <c r="M276" s="11">
        <f t="shared" si="8"/>
        <v>22</v>
      </c>
      <c r="N276" s="11">
        <f>IF(Table1[[#This Row],[Transaction Type]]="Sale",ABS(E276)*K276,0)</f>
        <v>48</v>
      </c>
      <c r="O276" s="29">
        <f>IF(Table1[[#This Row],[Transaction Type]]="Purchase",E276*J276,0)</f>
        <v>0</v>
      </c>
    </row>
    <row r="277" spans="1:15" x14ac:dyDescent="0.35">
      <c r="A277" s="27" t="s">
        <v>429</v>
      </c>
      <c r="B277" s="12">
        <v>45741</v>
      </c>
      <c r="C277" s="11" t="s">
        <v>73</v>
      </c>
      <c r="D277" s="11" t="s">
        <v>13</v>
      </c>
      <c r="E277" s="11">
        <v>-13</v>
      </c>
      <c r="F277" s="11">
        <f t="shared" si="9"/>
        <v>-13</v>
      </c>
      <c r="G277" s="11" t="s">
        <v>14</v>
      </c>
      <c r="H277" s="11" t="s">
        <v>74</v>
      </c>
      <c r="I277" s="11" t="s">
        <v>75</v>
      </c>
      <c r="J277" s="11">
        <v>30</v>
      </c>
      <c r="K277" s="11">
        <v>48</v>
      </c>
      <c r="L277" s="11"/>
      <c r="M277" s="11">
        <f t="shared" si="8"/>
        <v>390</v>
      </c>
      <c r="N277" s="11">
        <f>IF(Table1[[#This Row],[Transaction Type]]="Sale",ABS(E277)*K277,0)</f>
        <v>624</v>
      </c>
      <c r="O277" s="29">
        <f>IF(Table1[[#This Row],[Transaction Type]]="Purchase",E277*J277,0)</f>
        <v>0</v>
      </c>
    </row>
    <row r="278" spans="1:15" x14ac:dyDescent="0.35">
      <c r="A278" s="27" t="s">
        <v>430</v>
      </c>
      <c r="B278" s="12">
        <v>45741</v>
      </c>
      <c r="C278" s="11" t="s">
        <v>98</v>
      </c>
      <c r="D278" s="11" t="s">
        <v>13</v>
      </c>
      <c r="E278" s="11">
        <v>-7</v>
      </c>
      <c r="F278" s="11">
        <f t="shared" si="9"/>
        <v>-7</v>
      </c>
      <c r="G278" s="11" t="s">
        <v>19</v>
      </c>
      <c r="H278" s="11" t="s">
        <v>30</v>
      </c>
      <c r="I278" s="11" t="s">
        <v>16</v>
      </c>
      <c r="J278" s="11">
        <v>16</v>
      </c>
      <c r="K278" s="11">
        <v>29</v>
      </c>
      <c r="L278" s="11"/>
      <c r="M278" s="11">
        <f t="shared" si="8"/>
        <v>112</v>
      </c>
      <c r="N278" s="11">
        <f>IF(Table1[[#This Row],[Transaction Type]]="Sale",ABS(E278)*K278,0)</f>
        <v>203</v>
      </c>
      <c r="O278" s="29">
        <f>IF(Table1[[#This Row],[Transaction Type]]="Purchase",E278*J278,0)</f>
        <v>0</v>
      </c>
    </row>
    <row r="279" spans="1:15" x14ac:dyDescent="0.35">
      <c r="A279" s="27" t="s">
        <v>431</v>
      </c>
      <c r="B279" s="12">
        <v>45741</v>
      </c>
      <c r="C279" s="11" t="s">
        <v>350</v>
      </c>
      <c r="D279" s="11" t="s">
        <v>40</v>
      </c>
      <c r="E279" s="11">
        <v>23</v>
      </c>
      <c r="F279" s="11">
        <f t="shared" si="9"/>
        <v>23</v>
      </c>
      <c r="G279" s="11" t="s">
        <v>14</v>
      </c>
      <c r="H279" s="11" t="s">
        <v>74</v>
      </c>
      <c r="I279" s="11" t="s">
        <v>75</v>
      </c>
      <c r="J279" s="11">
        <v>145</v>
      </c>
      <c r="K279" s="11">
        <v>210</v>
      </c>
      <c r="L279" s="11" t="s">
        <v>432</v>
      </c>
      <c r="M279" s="11">
        <f t="shared" si="8"/>
        <v>3335</v>
      </c>
      <c r="N279" s="11">
        <f>IF(Table1[[#This Row],[Transaction Type]]="Sale",ABS(E279)*K279,0)</f>
        <v>0</v>
      </c>
      <c r="O279" s="29">
        <f>IF(Table1[[#This Row],[Transaction Type]]="Purchase",E279*J279,0)</f>
        <v>3335</v>
      </c>
    </row>
    <row r="280" spans="1:15" x14ac:dyDescent="0.35">
      <c r="A280" s="27" t="s">
        <v>433</v>
      </c>
      <c r="B280" s="12">
        <v>45742</v>
      </c>
      <c r="C280" s="11" t="s">
        <v>94</v>
      </c>
      <c r="D280" s="11" t="s">
        <v>58</v>
      </c>
      <c r="E280" s="11">
        <v>1</v>
      </c>
      <c r="F280" s="11">
        <f t="shared" si="9"/>
        <v>1</v>
      </c>
      <c r="G280" s="11" t="s">
        <v>24</v>
      </c>
      <c r="H280" s="11" t="s">
        <v>95</v>
      </c>
      <c r="I280" s="11" t="s">
        <v>16</v>
      </c>
      <c r="J280" s="11">
        <v>18.5</v>
      </c>
      <c r="K280" s="11">
        <v>31</v>
      </c>
      <c r="L280" s="11"/>
      <c r="M280" s="11">
        <f t="shared" si="8"/>
        <v>18.5</v>
      </c>
      <c r="N280" s="11">
        <f>IF(Table1[[#This Row],[Transaction Type]]="Sale",ABS(E280)*K280,0)</f>
        <v>0</v>
      </c>
      <c r="O280" s="29">
        <f>IF(Table1[[#This Row],[Transaction Type]]="Purchase",E280*J280,0)</f>
        <v>0</v>
      </c>
    </row>
    <row r="281" spans="1:15" x14ac:dyDescent="0.35">
      <c r="A281" s="27" t="s">
        <v>434</v>
      </c>
      <c r="B281" s="12">
        <v>45742</v>
      </c>
      <c r="C281" s="11" t="s">
        <v>43</v>
      </c>
      <c r="D281" s="11" t="s">
        <v>13</v>
      </c>
      <c r="E281" s="11">
        <v>-3</v>
      </c>
      <c r="F281" s="11">
        <f t="shared" si="9"/>
        <v>-3</v>
      </c>
      <c r="G281" s="11" t="s">
        <v>14</v>
      </c>
      <c r="H281" s="11" t="s">
        <v>44</v>
      </c>
      <c r="I281" s="11" t="s">
        <v>45</v>
      </c>
      <c r="J281" s="11">
        <v>5.2</v>
      </c>
      <c r="K281" s="11">
        <v>11</v>
      </c>
      <c r="L281" s="11"/>
      <c r="M281" s="11">
        <f t="shared" si="8"/>
        <v>15.600000000000001</v>
      </c>
      <c r="N281" s="11">
        <f>IF(Table1[[#This Row],[Transaction Type]]="Sale",ABS(E281)*K281,0)</f>
        <v>33</v>
      </c>
      <c r="O281" s="29">
        <f>IF(Table1[[#This Row],[Transaction Type]]="Purchase",E281*J281,0)</f>
        <v>0</v>
      </c>
    </row>
    <row r="282" spans="1:15" x14ac:dyDescent="0.35">
      <c r="A282" s="27" t="s">
        <v>435</v>
      </c>
      <c r="B282" s="12">
        <v>45742</v>
      </c>
      <c r="C282" s="11" t="s">
        <v>12</v>
      </c>
      <c r="D282" s="11" t="s">
        <v>13</v>
      </c>
      <c r="E282" s="11">
        <v>-3</v>
      </c>
      <c r="F282" s="11">
        <f t="shared" si="9"/>
        <v>-3</v>
      </c>
      <c r="G282" s="11" t="s">
        <v>14</v>
      </c>
      <c r="H282" s="11" t="s">
        <v>15</v>
      </c>
      <c r="I282" s="11" t="s">
        <v>16</v>
      </c>
      <c r="J282" s="11">
        <v>13.5</v>
      </c>
      <c r="K282" s="11">
        <v>24</v>
      </c>
      <c r="L282" s="11"/>
      <c r="M282" s="11">
        <f t="shared" si="8"/>
        <v>40.5</v>
      </c>
      <c r="N282" s="11">
        <f>IF(Table1[[#This Row],[Transaction Type]]="Sale",ABS(E282)*K282,0)</f>
        <v>72</v>
      </c>
      <c r="O282" s="29">
        <f>IF(Table1[[#This Row],[Transaction Type]]="Purchase",E282*J282,0)</f>
        <v>0</v>
      </c>
    </row>
    <row r="283" spans="1:15" x14ac:dyDescent="0.35">
      <c r="A283" s="27" t="s">
        <v>436</v>
      </c>
      <c r="B283" s="12">
        <v>45742</v>
      </c>
      <c r="C283" s="11" t="s">
        <v>170</v>
      </c>
      <c r="D283" s="11" t="s">
        <v>13</v>
      </c>
      <c r="E283" s="11">
        <v>-12</v>
      </c>
      <c r="F283" s="11">
        <f t="shared" si="9"/>
        <v>-12</v>
      </c>
      <c r="G283" s="11" t="s">
        <v>14</v>
      </c>
      <c r="H283" s="11" t="s">
        <v>171</v>
      </c>
      <c r="I283" s="11" t="s">
        <v>34</v>
      </c>
      <c r="J283" s="11">
        <v>25</v>
      </c>
      <c r="K283" s="11">
        <v>45</v>
      </c>
      <c r="L283" s="11"/>
      <c r="M283" s="11">
        <f t="shared" si="8"/>
        <v>300</v>
      </c>
      <c r="N283" s="11">
        <f>IF(Table1[[#This Row],[Transaction Type]]="Sale",ABS(E283)*K283,0)</f>
        <v>540</v>
      </c>
      <c r="O283" s="29">
        <f>IF(Table1[[#This Row],[Transaction Type]]="Purchase",E283*J283,0)</f>
        <v>0</v>
      </c>
    </row>
    <row r="284" spans="1:15" x14ac:dyDescent="0.35">
      <c r="A284" s="27" t="s">
        <v>437</v>
      </c>
      <c r="B284" s="12">
        <v>45742</v>
      </c>
      <c r="C284" s="11" t="s">
        <v>94</v>
      </c>
      <c r="D284" s="11" t="s">
        <v>13</v>
      </c>
      <c r="E284" s="11">
        <v>-12</v>
      </c>
      <c r="F284" s="11">
        <f t="shared" si="9"/>
        <v>-12</v>
      </c>
      <c r="G284" s="11" t="s">
        <v>24</v>
      </c>
      <c r="H284" s="11" t="s">
        <v>95</v>
      </c>
      <c r="I284" s="11" t="s">
        <v>16</v>
      </c>
      <c r="J284" s="11">
        <v>18.5</v>
      </c>
      <c r="K284" s="11">
        <v>31</v>
      </c>
      <c r="L284" s="11"/>
      <c r="M284" s="11">
        <f t="shared" si="8"/>
        <v>222</v>
      </c>
      <c r="N284" s="11">
        <f>IF(Table1[[#This Row],[Transaction Type]]="Sale",ABS(E284)*K284,0)</f>
        <v>372</v>
      </c>
      <c r="O284" s="29">
        <f>IF(Table1[[#This Row],[Transaction Type]]="Purchase",E284*J284,0)</f>
        <v>0</v>
      </c>
    </row>
    <row r="285" spans="1:15" x14ac:dyDescent="0.35">
      <c r="A285" s="27" t="s">
        <v>438</v>
      </c>
      <c r="B285" s="12">
        <v>45743</v>
      </c>
      <c r="C285" s="11" t="s">
        <v>43</v>
      </c>
      <c r="D285" s="11" t="s">
        <v>13</v>
      </c>
      <c r="E285" s="11">
        <v>-15</v>
      </c>
      <c r="F285" s="11">
        <f t="shared" si="9"/>
        <v>-15</v>
      </c>
      <c r="G285" s="11" t="s">
        <v>14</v>
      </c>
      <c r="H285" s="11" t="s">
        <v>44</v>
      </c>
      <c r="I285" s="11" t="s">
        <v>45</v>
      </c>
      <c r="J285" s="11">
        <v>5.2</v>
      </c>
      <c r="K285" s="11">
        <v>11</v>
      </c>
      <c r="L285" s="11"/>
      <c r="M285" s="11">
        <f t="shared" si="8"/>
        <v>78</v>
      </c>
      <c r="N285" s="11">
        <f>IF(Table1[[#This Row],[Transaction Type]]="Sale",ABS(E285)*K285,0)</f>
        <v>165</v>
      </c>
      <c r="O285" s="29">
        <f>IF(Table1[[#This Row],[Transaction Type]]="Purchase",E285*J285,0)</f>
        <v>0</v>
      </c>
    </row>
    <row r="286" spans="1:15" x14ac:dyDescent="0.35">
      <c r="A286" s="27" t="s">
        <v>439</v>
      </c>
      <c r="B286" s="12">
        <v>45743</v>
      </c>
      <c r="C286" s="11" t="s">
        <v>60</v>
      </c>
      <c r="D286" s="11" t="s">
        <v>13</v>
      </c>
      <c r="E286" s="11">
        <v>-9</v>
      </c>
      <c r="F286" s="11">
        <f t="shared" si="9"/>
        <v>-9</v>
      </c>
      <c r="G286" s="11" t="s">
        <v>14</v>
      </c>
      <c r="H286" s="11" t="s">
        <v>61</v>
      </c>
      <c r="I286" s="11" t="s">
        <v>62</v>
      </c>
      <c r="J286" s="11">
        <v>3.4</v>
      </c>
      <c r="K286" s="11">
        <v>8</v>
      </c>
      <c r="L286" s="11"/>
      <c r="M286" s="11">
        <f t="shared" si="8"/>
        <v>30.599999999999998</v>
      </c>
      <c r="N286" s="11">
        <f>IF(Table1[[#This Row],[Transaction Type]]="Sale",ABS(E286)*K286,0)</f>
        <v>72</v>
      </c>
      <c r="O286" s="29">
        <f>IF(Table1[[#This Row],[Transaction Type]]="Purchase",E286*J286,0)</f>
        <v>0</v>
      </c>
    </row>
    <row r="287" spans="1:15" x14ac:dyDescent="0.35">
      <c r="A287" s="27" t="s">
        <v>440</v>
      </c>
      <c r="B287" s="12">
        <v>45743</v>
      </c>
      <c r="C287" s="11" t="s">
        <v>32</v>
      </c>
      <c r="D287" s="11" t="s">
        <v>40</v>
      </c>
      <c r="E287" s="11">
        <v>111</v>
      </c>
      <c r="F287" s="11">
        <f t="shared" si="9"/>
        <v>111</v>
      </c>
      <c r="G287" s="11" t="s">
        <v>24</v>
      </c>
      <c r="H287" s="11" t="s">
        <v>33</v>
      </c>
      <c r="I287" s="11" t="s">
        <v>34</v>
      </c>
      <c r="J287" s="11">
        <v>20</v>
      </c>
      <c r="K287" s="11">
        <v>35</v>
      </c>
      <c r="L287" s="11" t="s">
        <v>441</v>
      </c>
      <c r="M287" s="11">
        <f t="shared" si="8"/>
        <v>2220</v>
      </c>
      <c r="N287" s="11">
        <f>IF(Table1[[#This Row],[Transaction Type]]="Sale",ABS(E287)*K287,0)</f>
        <v>0</v>
      </c>
      <c r="O287" s="29">
        <f>IF(Table1[[#This Row],[Transaction Type]]="Purchase",E287*J287,0)</f>
        <v>2220</v>
      </c>
    </row>
    <row r="288" spans="1:15" x14ac:dyDescent="0.35">
      <c r="A288" s="27" t="s">
        <v>442</v>
      </c>
      <c r="B288" s="12">
        <v>45744</v>
      </c>
      <c r="C288" s="11" t="s">
        <v>18</v>
      </c>
      <c r="D288" s="11" t="s">
        <v>58</v>
      </c>
      <c r="E288" s="11">
        <v>4</v>
      </c>
      <c r="F288" s="11">
        <f t="shared" si="9"/>
        <v>4</v>
      </c>
      <c r="G288" s="11" t="s">
        <v>14</v>
      </c>
      <c r="H288" s="11" t="s">
        <v>20</v>
      </c>
      <c r="I288" s="11" t="s">
        <v>21</v>
      </c>
      <c r="J288" s="11">
        <v>2.6</v>
      </c>
      <c r="K288" s="11">
        <v>5.5</v>
      </c>
      <c r="L288" s="11"/>
      <c r="M288" s="11">
        <f t="shared" si="8"/>
        <v>10.4</v>
      </c>
      <c r="N288" s="11">
        <f>IF(Table1[[#This Row],[Transaction Type]]="Sale",ABS(E288)*K288,0)</f>
        <v>0</v>
      </c>
      <c r="O288" s="29">
        <f>IF(Table1[[#This Row],[Transaction Type]]="Purchase",E288*J288,0)</f>
        <v>0</v>
      </c>
    </row>
    <row r="289" spans="1:15" x14ac:dyDescent="0.35">
      <c r="A289" s="27" t="s">
        <v>443</v>
      </c>
      <c r="B289" s="12">
        <v>45744</v>
      </c>
      <c r="C289" s="11" t="s">
        <v>23</v>
      </c>
      <c r="D289" s="11" t="s">
        <v>13</v>
      </c>
      <c r="E289" s="11">
        <v>-2</v>
      </c>
      <c r="F289" s="11">
        <f t="shared" si="9"/>
        <v>-2</v>
      </c>
      <c r="G289" s="11" t="s">
        <v>14</v>
      </c>
      <c r="H289" s="11" t="s">
        <v>25</v>
      </c>
      <c r="I289" s="11" t="s">
        <v>26</v>
      </c>
      <c r="J289" s="11">
        <v>3</v>
      </c>
      <c r="K289" s="11">
        <v>7</v>
      </c>
      <c r="L289" s="11"/>
      <c r="M289" s="11">
        <f t="shared" si="8"/>
        <v>6</v>
      </c>
      <c r="N289" s="11">
        <f>IF(Table1[[#This Row],[Transaction Type]]="Sale",ABS(E289)*K289,0)</f>
        <v>14</v>
      </c>
      <c r="O289" s="29">
        <f>IF(Table1[[#This Row],[Transaction Type]]="Purchase",E289*J289,0)</f>
        <v>0</v>
      </c>
    </row>
    <row r="290" spans="1:15" x14ac:dyDescent="0.35">
      <c r="A290" s="27" t="s">
        <v>444</v>
      </c>
      <c r="B290" s="12">
        <v>45745</v>
      </c>
      <c r="C290" s="11" t="s">
        <v>139</v>
      </c>
      <c r="D290" s="11" t="s">
        <v>13</v>
      </c>
      <c r="E290" s="11">
        <v>-8</v>
      </c>
      <c r="F290" s="11">
        <f t="shared" si="9"/>
        <v>-8</v>
      </c>
      <c r="G290" s="11" t="s">
        <v>14</v>
      </c>
      <c r="H290" s="11" t="s">
        <v>56</v>
      </c>
      <c r="I290" s="11" t="s">
        <v>16</v>
      </c>
      <c r="J290" s="11">
        <v>16.5</v>
      </c>
      <c r="K290" s="11">
        <v>28</v>
      </c>
      <c r="L290" s="11"/>
      <c r="M290" s="11">
        <f t="shared" si="8"/>
        <v>132</v>
      </c>
      <c r="N290" s="11">
        <f>IF(Table1[[#This Row],[Transaction Type]]="Sale",ABS(E290)*K290,0)</f>
        <v>224</v>
      </c>
      <c r="O290" s="29">
        <f>IF(Table1[[#This Row],[Transaction Type]]="Purchase",E290*J290,0)</f>
        <v>0</v>
      </c>
    </row>
    <row r="291" spans="1:15" x14ac:dyDescent="0.35">
      <c r="A291" s="27" t="s">
        <v>445</v>
      </c>
      <c r="B291" s="12">
        <v>45745</v>
      </c>
      <c r="C291" s="11" t="s">
        <v>23</v>
      </c>
      <c r="D291" s="11" t="s">
        <v>13</v>
      </c>
      <c r="E291" s="11">
        <v>-1</v>
      </c>
      <c r="F291" s="11">
        <f t="shared" si="9"/>
        <v>-1</v>
      </c>
      <c r="G291" s="11" t="s">
        <v>24</v>
      </c>
      <c r="H291" s="11" t="s">
        <v>25</v>
      </c>
      <c r="I291" s="11" t="s">
        <v>26</v>
      </c>
      <c r="J291" s="11">
        <v>3</v>
      </c>
      <c r="K291" s="11">
        <v>7</v>
      </c>
      <c r="L291" s="11"/>
      <c r="M291" s="11">
        <f t="shared" si="8"/>
        <v>3</v>
      </c>
      <c r="N291" s="11">
        <f>IF(Table1[[#This Row],[Transaction Type]]="Sale",ABS(E291)*K291,0)</f>
        <v>7</v>
      </c>
      <c r="O291" s="29">
        <f>IF(Table1[[#This Row],[Transaction Type]]="Purchase",E291*J291,0)</f>
        <v>0</v>
      </c>
    </row>
    <row r="292" spans="1:15" x14ac:dyDescent="0.35">
      <c r="A292" s="27" t="s">
        <v>446</v>
      </c>
      <c r="B292" s="12">
        <v>45745</v>
      </c>
      <c r="C292" s="11" t="s">
        <v>60</v>
      </c>
      <c r="D292" s="11" t="s">
        <v>13</v>
      </c>
      <c r="E292" s="11">
        <v>-15</v>
      </c>
      <c r="F292" s="11">
        <f t="shared" si="9"/>
        <v>-15</v>
      </c>
      <c r="G292" s="11" t="s">
        <v>14</v>
      </c>
      <c r="H292" s="11" t="s">
        <v>61</v>
      </c>
      <c r="I292" s="11" t="s">
        <v>62</v>
      </c>
      <c r="J292" s="11">
        <v>3.4</v>
      </c>
      <c r="K292" s="11">
        <v>8</v>
      </c>
      <c r="L292" s="11"/>
      <c r="M292" s="11">
        <f t="shared" si="8"/>
        <v>51</v>
      </c>
      <c r="N292" s="11">
        <f>IF(Table1[[#This Row],[Transaction Type]]="Sale",ABS(E292)*K292,0)</f>
        <v>120</v>
      </c>
      <c r="O292" s="29">
        <f>IF(Table1[[#This Row],[Transaction Type]]="Purchase",E292*J292,0)</f>
        <v>0</v>
      </c>
    </row>
    <row r="293" spans="1:15" x14ac:dyDescent="0.35">
      <c r="A293" s="27" t="s">
        <v>447</v>
      </c>
      <c r="B293" s="12">
        <v>45747</v>
      </c>
      <c r="C293" s="11" t="s">
        <v>36</v>
      </c>
      <c r="D293" s="11" t="s">
        <v>40</v>
      </c>
      <c r="E293" s="11">
        <v>99</v>
      </c>
      <c r="F293" s="11">
        <f t="shared" si="9"/>
        <v>99</v>
      </c>
      <c r="G293" s="11" t="s">
        <v>14</v>
      </c>
      <c r="H293" s="11" t="s">
        <v>37</v>
      </c>
      <c r="I293" s="11" t="s">
        <v>16</v>
      </c>
      <c r="J293" s="11">
        <v>7.2</v>
      </c>
      <c r="K293" s="11">
        <v>12.5</v>
      </c>
      <c r="L293" s="11" t="s">
        <v>448</v>
      </c>
      <c r="M293" s="11">
        <f t="shared" si="8"/>
        <v>712.80000000000007</v>
      </c>
      <c r="N293" s="11">
        <f>IF(Table1[[#This Row],[Transaction Type]]="Sale",ABS(E293)*K293,0)</f>
        <v>0</v>
      </c>
      <c r="O293" s="29">
        <f>IF(Table1[[#This Row],[Transaction Type]]="Purchase",E293*J293,0)</f>
        <v>712.80000000000007</v>
      </c>
    </row>
    <row r="294" spans="1:15" x14ac:dyDescent="0.35">
      <c r="A294" s="27" t="s">
        <v>449</v>
      </c>
      <c r="B294" s="12">
        <v>45747</v>
      </c>
      <c r="C294" s="11" t="s">
        <v>18</v>
      </c>
      <c r="D294" s="11" t="s">
        <v>13</v>
      </c>
      <c r="E294" s="11">
        <v>-7</v>
      </c>
      <c r="F294" s="11">
        <f t="shared" si="9"/>
        <v>-7</v>
      </c>
      <c r="G294" s="11" t="s">
        <v>24</v>
      </c>
      <c r="H294" s="11" t="s">
        <v>20</v>
      </c>
      <c r="I294" s="11" t="s">
        <v>21</v>
      </c>
      <c r="J294" s="11">
        <v>2.6</v>
      </c>
      <c r="K294" s="11">
        <v>5.5</v>
      </c>
      <c r="L294" s="11"/>
      <c r="M294" s="11">
        <f t="shared" si="8"/>
        <v>18.2</v>
      </c>
      <c r="N294" s="11">
        <f>IF(Table1[[#This Row],[Transaction Type]]="Sale",ABS(E294)*K294,0)</f>
        <v>38.5</v>
      </c>
      <c r="O294" s="29">
        <f>IF(Table1[[#This Row],[Transaction Type]]="Purchase",E294*J294,0)</f>
        <v>0</v>
      </c>
    </row>
    <row r="295" spans="1:15" x14ac:dyDescent="0.35">
      <c r="A295" s="27" t="s">
        <v>450</v>
      </c>
      <c r="B295" s="12">
        <v>45747</v>
      </c>
      <c r="C295" s="11" t="s">
        <v>23</v>
      </c>
      <c r="D295" s="11" t="s">
        <v>13</v>
      </c>
      <c r="E295" s="11">
        <v>-4</v>
      </c>
      <c r="F295" s="11">
        <f t="shared" si="9"/>
        <v>-4</v>
      </c>
      <c r="G295" s="11" t="s">
        <v>24</v>
      </c>
      <c r="H295" s="11" t="s">
        <v>25</v>
      </c>
      <c r="I295" s="11" t="s">
        <v>26</v>
      </c>
      <c r="J295" s="11">
        <v>3</v>
      </c>
      <c r="K295" s="11">
        <v>7</v>
      </c>
      <c r="L295" s="11"/>
      <c r="M295" s="11">
        <f t="shared" si="8"/>
        <v>12</v>
      </c>
      <c r="N295" s="11">
        <f>IF(Table1[[#This Row],[Transaction Type]]="Sale",ABS(E295)*K295,0)</f>
        <v>28</v>
      </c>
      <c r="O295" s="29">
        <f>IF(Table1[[#This Row],[Transaction Type]]="Purchase",E295*J295,0)</f>
        <v>0</v>
      </c>
    </row>
    <row r="296" spans="1:15" x14ac:dyDescent="0.35">
      <c r="A296" s="27" t="s">
        <v>451</v>
      </c>
      <c r="B296" s="12">
        <v>45747</v>
      </c>
      <c r="C296" s="11" t="s">
        <v>185</v>
      </c>
      <c r="D296" s="11" t="s">
        <v>13</v>
      </c>
      <c r="E296" s="11">
        <v>-3</v>
      </c>
      <c r="F296" s="11">
        <f t="shared" si="9"/>
        <v>-3</v>
      </c>
      <c r="G296" s="11" t="s">
        <v>24</v>
      </c>
      <c r="H296" s="11" t="s">
        <v>44</v>
      </c>
      <c r="I296" s="11" t="s">
        <v>45</v>
      </c>
      <c r="J296" s="11">
        <v>63</v>
      </c>
      <c r="K296" s="11">
        <v>95</v>
      </c>
      <c r="L296" s="11"/>
      <c r="M296" s="11">
        <f t="shared" si="8"/>
        <v>189</v>
      </c>
      <c r="N296" s="11">
        <f>IF(Table1[[#This Row],[Transaction Type]]="Sale",ABS(E296)*K296,0)</f>
        <v>285</v>
      </c>
      <c r="O296" s="29">
        <f>IF(Table1[[#This Row],[Transaction Type]]="Purchase",E296*J296,0)</f>
        <v>0</v>
      </c>
    </row>
    <row r="297" spans="1:15" x14ac:dyDescent="0.35">
      <c r="A297" s="27" t="s">
        <v>452</v>
      </c>
      <c r="B297" s="12">
        <v>45747</v>
      </c>
      <c r="C297" s="11" t="s">
        <v>94</v>
      </c>
      <c r="D297" s="11" t="s">
        <v>13</v>
      </c>
      <c r="E297" s="11">
        <v>-1</v>
      </c>
      <c r="F297" s="11">
        <f t="shared" si="9"/>
        <v>-1</v>
      </c>
      <c r="G297" s="11" t="s">
        <v>24</v>
      </c>
      <c r="H297" s="11" t="s">
        <v>95</v>
      </c>
      <c r="I297" s="11" t="s">
        <v>16</v>
      </c>
      <c r="J297" s="11">
        <v>18.5</v>
      </c>
      <c r="K297" s="11">
        <v>31</v>
      </c>
      <c r="L297" s="11"/>
      <c r="M297" s="11">
        <f t="shared" si="8"/>
        <v>18.5</v>
      </c>
      <c r="N297" s="11">
        <f>IF(Table1[[#This Row],[Transaction Type]]="Sale",ABS(E297)*K297,0)</f>
        <v>31</v>
      </c>
      <c r="O297" s="29">
        <f>IF(Table1[[#This Row],[Transaction Type]]="Purchase",E297*J297,0)</f>
        <v>0</v>
      </c>
    </row>
    <row r="298" spans="1:15" x14ac:dyDescent="0.35">
      <c r="A298" s="27" t="s">
        <v>453</v>
      </c>
      <c r="B298" s="12">
        <v>45747</v>
      </c>
      <c r="C298" s="11" t="s">
        <v>94</v>
      </c>
      <c r="D298" s="11" t="s">
        <v>13</v>
      </c>
      <c r="E298" s="11">
        <v>-13</v>
      </c>
      <c r="F298" s="11">
        <f t="shared" si="9"/>
        <v>-13</v>
      </c>
      <c r="G298" s="11" t="s">
        <v>14</v>
      </c>
      <c r="H298" s="11" t="s">
        <v>95</v>
      </c>
      <c r="I298" s="11" t="s">
        <v>16</v>
      </c>
      <c r="J298" s="11">
        <v>18.5</v>
      </c>
      <c r="K298" s="11">
        <v>31</v>
      </c>
      <c r="L298" s="11"/>
      <c r="M298" s="11">
        <f t="shared" si="8"/>
        <v>240.5</v>
      </c>
      <c r="N298" s="11">
        <f>IF(Table1[[#This Row],[Transaction Type]]="Sale",ABS(E298)*K298,0)</f>
        <v>403</v>
      </c>
      <c r="O298" s="29">
        <f>IF(Table1[[#This Row],[Transaction Type]]="Purchase",E298*J298,0)</f>
        <v>0</v>
      </c>
    </row>
    <row r="299" spans="1:15" x14ac:dyDescent="0.35">
      <c r="A299" s="27" t="s">
        <v>454</v>
      </c>
      <c r="B299" s="12">
        <v>45747</v>
      </c>
      <c r="C299" s="11" t="s">
        <v>32</v>
      </c>
      <c r="D299" s="11" t="s">
        <v>40</v>
      </c>
      <c r="E299" s="11">
        <v>87</v>
      </c>
      <c r="F299" s="11">
        <f t="shared" si="9"/>
        <v>87</v>
      </c>
      <c r="G299" s="11" t="s">
        <v>14</v>
      </c>
      <c r="H299" s="11" t="s">
        <v>33</v>
      </c>
      <c r="I299" s="11" t="s">
        <v>34</v>
      </c>
      <c r="J299" s="11">
        <v>20</v>
      </c>
      <c r="K299" s="11">
        <v>35</v>
      </c>
      <c r="L299" s="11" t="s">
        <v>455</v>
      </c>
      <c r="M299" s="11">
        <f t="shared" si="8"/>
        <v>1740</v>
      </c>
      <c r="N299" s="11">
        <f>IF(Table1[[#This Row],[Transaction Type]]="Sale",ABS(E299)*K299,0)</f>
        <v>0</v>
      </c>
      <c r="O299" s="29">
        <f>IF(Table1[[#This Row],[Transaction Type]]="Purchase",E299*J299,0)</f>
        <v>1740</v>
      </c>
    </row>
    <row r="300" spans="1:15" x14ac:dyDescent="0.35">
      <c r="A300" s="27" t="s">
        <v>456</v>
      </c>
      <c r="B300" s="12">
        <v>45748</v>
      </c>
      <c r="C300" s="11" t="s">
        <v>29</v>
      </c>
      <c r="D300" s="11" t="s">
        <v>13</v>
      </c>
      <c r="E300" s="11">
        <v>-5</v>
      </c>
      <c r="F300" s="11">
        <f t="shared" si="9"/>
        <v>-5</v>
      </c>
      <c r="G300" s="11" t="s">
        <v>24</v>
      </c>
      <c r="H300" s="11" t="s">
        <v>30</v>
      </c>
      <c r="I300" s="11" t="s">
        <v>16</v>
      </c>
      <c r="J300" s="11">
        <v>8.8000000000000007</v>
      </c>
      <c r="K300" s="11">
        <v>17</v>
      </c>
      <c r="L300" s="11"/>
      <c r="M300" s="11">
        <f t="shared" si="8"/>
        <v>44</v>
      </c>
      <c r="N300" s="11">
        <f>IF(Table1[[#This Row],[Transaction Type]]="Sale",ABS(E300)*K300,0)</f>
        <v>85</v>
      </c>
      <c r="O300" s="29">
        <f>IF(Table1[[#This Row],[Transaction Type]]="Purchase",E300*J300,0)</f>
        <v>0</v>
      </c>
    </row>
    <row r="301" spans="1:15" x14ac:dyDescent="0.35">
      <c r="A301" s="27" t="s">
        <v>457</v>
      </c>
      <c r="B301" s="12">
        <v>45748</v>
      </c>
      <c r="C301" s="11" t="s">
        <v>77</v>
      </c>
      <c r="D301" s="11" t="s">
        <v>40</v>
      </c>
      <c r="E301" s="11">
        <v>77</v>
      </c>
      <c r="F301" s="11">
        <f t="shared" si="9"/>
        <v>77</v>
      </c>
      <c r="G301" s="11" t="s">
        <v>14</v>
      </c>
      <c r="H301" s="11" t="s">
        <v>78</v>
      </c>
      <c r="I301" s="11" t="s">
        <v>16</v>
      </c>
      <c r="J301" s="11">
        <v>25</v>
      </c>
      <c r="K301" s="11">
        <v>42</v>
      </c>
      <c r="L301" s="11" t="s">
        <v>458</v>
      </c>
      <c r="M301" s="11">
        <f t="shared" si="8"/>
        <v>1925</v>
      </c>
      <c r="N301" s="11">
        <f>IF(Table1[[#This Row],[Transaction Type]]="Sale",ABS(E301)*K301,0)</f>
        <v>0</v>
      </c>
      <c r="O301" s="29">
        <f>IF(Table1[[#This Row],[Transaction Type]]="Purchase",E301*J301,0)</f>
        <v>1925</v>
      </c>
    </row>
    <row r="302" spans="1:15" x14ac:dyDescent="0.35">
      <c r="A302" s="27" t="s">
        <v>459</v>
      </c>
      <c r="B302" s="12">
        <v>45749</v>
      </c>
      <c r="C302" s="11" t="s">
        <v>60</v>
      </c>
      <c r="D302" s="11" t="s">
        <v>13</v>
      </c>
      <c r="E302" s="11">
        <v>-15</v>
      </c>
      <c r="F302" s="11">
        <f t="shared" si="9"/>
        <v>-15</v>
      </c>
      <c r="G302" s="11" t="s">
        <v>19</v>
      </c>
      <c r="H302" s="11" t="s">
        <v>61</v>
      </c>
      <c r="I302" s="11" t="s">
        <v>62</v>
      </c>
      <c r="J302" s="11">
        <v>3.4</v>
      </c>
      <c r="K302" s="11">
        <v>8</v>
      </c>
      <c r="L302" s="11"/>
      <c r="M302" s="11">
        <f t="shared" si="8"/>
        <v>51</v>
      </c>
      <c r="N302" s="11">
        <f>IF(Table1[[#This Row],[Transaction Type]]="Sale",ABS(E302)*K302,0)</f>
        <v>120</v>
      </c>
      <c r="O302" s="29">
        <f>IF(Table1[[#This Row],[Transaction Type]]="Purchase",E302*J302,0)</f>
        <v>0</v>
      </c>
    </row>
    <row r="303" spans="1:15" x14ac:dyDescent="0.35">
      <c r="A303" s="27" t="s">
        <v>460</v>
      </c>
      <c r="B303" s="12">
        <v>45749</v>
      </c>
      <c r="C303" s="11" t="s">
        <v>139</v>
      </c>
      <c r="D303" s="11" t="s">
        <v>13</v>
      </c>
      <c r="E303" s="11">
        <v>-4</v>
      </c>
      <c r="F303" s="11">
        <f t="shared" si="9"/>
        <v>-4</v>
      </c>
      <c r="G303" s="11" t="s">
        <v>14</v>
      </c>
      <c r="H303" s="11" t="s">
        <v>56</v>
      </c>
      <c r="I303" s="11" t="s">
        <v>16</v>
      </c>
      <c r="J303" s="11">
        <v>16.5</v>
      </c>
      <c r="K303" s="11">
        <v>28</v>
      </c>
      <c r="L303" s="11"/>
      <c r="M303" s="11">
        <f t="shared" si="8"/>
        <v>66</v>
      </c>
      <c r="N303" s="11">
        <f>IF(Table1[[#This Row],[Transaction Type]]="Sale",ABS(E303)*K303,0)</f>
        <v>112</v>
      </c>
      <c r="O303" s="29">
        <f>IF(Table1[[#This Row],[Transaction Type]]="Purchase",E303*J303,0)</f>
        <v>0</v>
      </c>
    </row>
    <row r="304" spans="1:15" x14ac:dyDescent="0.35">
      <c r="A304" s="27" t="s">
        <v>461</v>
      </c>
      <c r="B304" s="12">
        <v>45749</v>
      </c>
      <c r="C304" s="11" t="s">
        <v>48</v>
      </c>
      <c r="D304" s="11" t="s">
        <v>40</v>
      </c>
      <c r="E304" s="11">
        <v>40</v>
      </c>
      <c r="F304" s="11">
        <f t="shared" si="9"/>
        <v>40</v>
      </c>
      <c r="G304" s="11" t="s">
        <v>14</v>
      </c>
      <c r="H304" s="11" t="s">
        <v>49</v>
      </c>
      <c r="I304" s="11" t="s">
        <v>21</v>
      </c>
      <c r="J304" s="11">
        <v>8.5</v>
      </c>
      <c r="K304" s="11">
        <v>18</v>
      </c>
      <c r="L304" s="11" t="s">
        <v>462</v>
      </c>
      <c r="M304" s="11">
        <f t="shared" si="8"/>
        <v>340</v>
      </c>
      <c r="N304" s="11">
        <f>IF(Table1[[#This Row],[Transaction Type]]="Sale",ABS(E304)*K304,0)</f>
        <v>0</v>
      </c>
      <c r="O304" s="29">
        <f>IF(Table1[[#This Row],[Transaction Type]]="Purchase",E304*J304,0)</f>
        <v>340</v>
      </c>
    </row>
    <row r="305" spans="1:15" x14ac:dyDescent="0.35">
      <c r="A305" s="27" t="s">
        <v>463</v>
      </c>
      <c r="B305" s="12">
        <v>45749</v>
      </c>
      <c r="C305" s="11" t="s">
        <v>32</v>
      </c>
      <c r="D305" s="11" t="s">
        <v>13</v>
      </c>
      <c r="E305" s="11">
        <v>-8</v>
      </c>
      <c r="F305" s="11">
        <f t="shared" si="9"/>
        <v>-8</v>
      </c>
      <c r="G305" s="11" t="s">
        <v>14</v>
      </c>
      <c r="H305" s="11" t="s">
        <v>33</v>
      </c>
      <c r="I305" s="11" t="s">
        <v>34</v>
      </c>
      <c r="J305" s="11">
        <v>20</v>
      </c>
      <c r="K305" s="11">
        <v>35</v>
      </c>
      <c r="L305" s="11"/>
      <c r="M305" s="11">
        <f t="shared" si="8"/>
        <v>160</v>
      </c>
      <c r="N305" s="11">
        <f>IF(Table1[[#This Row],[Transaction Type]]="Sale",ABS(E305)*K305,0)</f>
        <v>280</v>
      </c>
      <c r="O305" s="29">
        <f>IF(Table1[[#This Row],[Transaction Type]]="Purchase",E305*J305,0)</f>
        <v>0</v>
      </c>
    </row>
    <row r="306" spans="1:15" x14ac:dyDescent="0.35">
      <c r="A306" s="27" t="s">
        <v>464</v>
      </c>
      <c r="B306" s="12">
        <v>45749</v>
      </c>
      <c r="C306" s="11" t="s">
        <v>48</v>
      </c>
      <c r="D306" s="11" t="s">
        <v>13</v>
      </c>
      <c r="E306" s="11">
        <v>-4</v>
      </c>
      <c r="F306" s="11">
        <f t="shared" si="9"/>
        <v>-4</v>
      </c>
      <c r="G306" s="11" t="s">
        <v>14</v>
      </c>
      <c r="H306" s="11" t="s">
        <v>49</v>
      </c>
      <c r="I306" s="11" t="s">
        <v>21</v>
      </c>
      <c r="J306" s="11">
        <v>8.5</v>
      </c>
      <c r="K306" s="11">
        <v>18</v>
      </c>
      <c r="L306" s="11"/>
      <c r="M306" s="11">
        <f t="shared" si="8"/>
        <v>34</v>
      </c>
      <c r="N306" s="11">
        <f>IF(Table1[[#This Row],[Transaction Type]]="Sale",ABS(E306)*K306,0)</f>
        <v>72</v>
      </c>
      <c r="O306" s="29">
        <f>IF(Table1[[#This Row],[Transaction Type]]="Purchase",E306*J306,0)</f>
        <v>0</v>
      </c>
    </row>
    <row r="307" spans="1:15" x14ac:dyDescent="0.35">
      <c r="A307" s="27" t="s">
        <v>465</v>
      </c>
      <c r="B307" s="12">
        <v>45750</v>
      </c>
      <c r="C307" s="11" t="s">
        <v>12</v>
      </c>
      <c r="D307" s="11" t="s">
        <v>58</v>
      </c>
      <c r="E307" s="11">
        <v>17</v>
      </c>
      <c r="F307" s="11">
        <f t="shared" si="9"/>
        <v>17</v>
      </c>
      <c r="G307" s="11" t="s">
        <v>14</v>
      </c>
      <c r="H307" s="11" t="s">
        <v>15</v>
      </c>
      <c r="I307" s="11" t="s">
        <v>16</v>
      </c>
      <c r="J307" s="11">
        <v>13.5</v>
      </c>
      <c r="K307" s="11">
        <v>24</v>
      </c>
      <c r="L307" s="11"/>
      <c r="M307" s="11">
        <f t="shared" si="8"/>
        <v>229.5</v>
      </c>
      <c r="N307" s="11">
        <f>IF(Table1[[#This Row],[Transaction Type]]="Sale",ABS(E307)*K307,0)</f>
        <v>0</v>
      </c>
      <c r="O307" s="29">
        <f>IF(Table1[[#This Row],[Transaction Type]]="Purchase",E307*J307,0)</f>
        <v>0</v>
      </c>
    </row>
    <row r="308" spans="1:15" x14ac:dyDescent="0.35">
      <c r="A308" s="27" t="s">
        <v>466</v>
      </c>
      <c r="B308" s="12">
        <v>45750</v>
      </c>
      <c r="C308" s="11" t="s">
        <v>87</v>
      </c>
      <c r="D308" s="11" t="s">
        <v>40</v>
      </c>
      <c r="E308" s="11">
        <v>94</v>
      </c>
      <c r="F308" s="11">
        <f t="shared" si="9"/>
        <v>94</v>
      </c>
      <c r="G308" s="11" t="s">
        <v>14</v>
      </c>
      <c r="H308" s="11" t="s">
        <v>88</v>
      </c>
      <c r="I308" s="11" t="s">
        <v>16</v>
      </c>
      <c r="J308" s="11">
        <v>6</v>
      </c>
      <c r="K308" s="11">
        <v>14</v>
      </c>
      <c r="L308" s="11" t="s">
        <v>467</v>
      </c>
      <c r="M308" s="11">
        <f t="shared" si="8"/>
        <v>564</v>
      </c>
      <c r="N308" s="11">
        <f>IF(Table1[[#This Row],[Transaction Type]]="Sale",ABS(E308)*K308,0)</f>
        <v>0</v>
      </c>
      <c r="O308" s="29">
        <f>IF(Table1[[#This Row],[Transaction Type]]="Purchase",E308*J308,0)</f>
        <v>564</v>
      </c>
    </row>
    <row r="309" spans="1:15" x14ac:dyDescent="0.35">
      <c r="A309" s="27" t="s">
        <v>468</v>
      </c>
      <c r="B309" s="12">
        <v>45750</v>
      </c>
      <c r="C309" s="11" t="s">
        <v>65</v>
      </c>
      <c r="D309" s="11" t="s">
        <v>13</v>
      </c>
      <c r="E309" s="11">
        <v>-9</v>
      </c>
      <c r="F309" s="11">
        <f t="shared" si="9"/>
        <v>-9</v>
      </c>
      <c r="G309" s="11" t="s">
        <v>19</v>
      </c>
      <c r="H309" s="11" t="s">
        <v>67</v>
      </c>
      <c r="I309" s="11" t="s">
        <v>21</v>
      </c>
      <c r="J309" s="11">
        <v>11</v>
      </c>
      <c r="K309" s="11">
        <v>22</v>
      </c>
      <c r="L309" s="11"/>
      <c r="M309" s="11">
        <f t="shared" si="8"/>
        <v>99</v>
      </c>
      <c r="N309" s="11">
        <f>IF(Table1[[#This Row],[Transaction Type]]="Sale",ABS(E309)*K309,0)</f>
        <v>198</v>
      </c>
      <c r="O309" s="29">
        <f>IF(Table1[[#This Row],[Transaction Type]]="Purchase",E309*J309,0)</f>
        <v>0</v>
      </c>
    </row>
    <row r="310" spans="1:15" x14ac:dyDescent="0.35">
      <c r="A310" s="27" t="s">
        <v>469</v>
      </c>
      <c r="B310" s="12">
        <v>45750</v>
      </c>
      <c r="C310" s="11" t="s">
        <v>29</v>
      </c>
      <c r="D310" s="11" t="s">
        <v>13</v>
      </c>
      <c r="E310" s="11">
        <v>-13</v>
      </c>
      <c r="F310" s="11">
        <f t="shared" si="9"/>
        <v>-13</v>
      </c>
      <c r="G310" s="11" t="s">
        <v>14</v>
      </c>
      <c r="H310" s="11" t="s">
        <v>30</v>
      </c>
      <c r="I310" s="11" t="s">
        <v>16</v>
      </c>
      <c r="J310" s="11">
        <v>8.8000000000000007</v>
      </c>
      <c r="K310" s="11">
        <v>17</v>
      </c>
      <c r="L310" s="11"/>
      <c r="M310" s="11">
        <f t="shared" si="8"/>
        <v>114.4</v>
      </c>
      <c r="N310" s="11">
        <f>IF(Table1[[#This Row],[Transaction Type]]="Sale",ABS(E310)*K310,0)</f>
        <v>221</v>
      </c>
      <c r="O310" s="29">
        <f>IF(Table1[[#This Row],[Transaction Type]]="Purchase",E310*J310,0)</f>
        <v>0</v>
      </c>
    </row>
    <row r="311" spans="1:15" x14ac:dyDescent="0.35">
      <c r="A311" s="27" t="s">
        <v>470</v>
      </c>
      <c r="B311" s="12">
        <v>45750</v>
      </c>
      <c r="C311" s="11" t="s">
        <v>139</v>
      </c>
      <c r="D311" s="11" t="s">
        <v>13</v>
      </c>
      <c r="E311" s="11">
        <v>-9</v>
      </c>
      <c r="F311" s="11">
        <f t="shared" si="9"/>
        <v>-9</v>
      </c>
      <c r="G311" s="11" t="s">
        <v>14</v>
      </c>
      <c r="H311" s="11" t="s">
        <v>56</v>
      </c>
      <c r="I311" s="11" t="s">
        <v>16</v>
      </c>
      <c r="J311" s="11">
        <v>16.5</v>
      </c>
      <c r="K311" s="11">
        <v>28</v>
      </c>
      <c r="L311" s="11"/>
      <c r="M311" s="11">
        <f t="shared" si="8"/>
        <v>148.5</v>
      </c>
      <c r="N311" s="11">
        <f>IF(Table1[[#This Row],[Transaction Type]]="Sale",ABS(E311)*K311,0)</f>
        <v>252</v>
      </c>
      <c r="O311" s="29">
        <f>IF(Table1[[#This Row],[Transaction Type]]="Purchase",E311*J311,0)</f>
        <v>0</v>
      </c>
    </row>
    <row r="312" spans="1:15" x14ac:dyDescent="0.35">
      <c r="A312" s="27" t="s">
        <v>471</v>
      </c>
      <c r="B312" s="12">
        <v>45751</v>
      </c>
      <c r="C312" s="11" t="s">
        <v>32</v>
      </c>
      <c r="D312" s="11" t="s">
        <v>13</v>
      </c>
      <c r="E312" s="11">
        <v>-1</v>
      </c>
      <c r="F312" s="11">
        <f t="shared" si="9"/>
        <v>-1</v>
      </c>
      <c r="G312" s="11" t="s">
        <v>24</v>
      </c>
      <c r="H312" s="11" t="s">
        <v>33</v>
      </c>
      <c r="I312" s="11" t="s">
        <v>34</v>
      </c>
      <c r="J312" s="11">
        <v>20</v>
      </c>
      <c r="K312" s="11">
        <v>35</v>
      </c>
      <c r="L312" s="11"/>
      <c r="M312" s="11">
        <f t="shared" si="8"/>
        <v>20</v>
      </c>
      <c r="N312" s="11">
        <f>IF(Table1[[#This Row],[Transaction Type]]="Sale",ABS(E312)*K312,0)</f>
        <v>35</v>
      </c>
      <c r="O312" s="29">
        <f>IF(Table1[[#This Row],[Transaction Type]]="Purchase",E312*J312,0)</f>
        <v>0</v>
      </c>
    </row>
    <row r="313" spans="1:15" x14ac:dyDescent="0.35">
      <c r="A313" s="27" t="s">
        <v>472</v>
      </c>
      <c r="B313" s="12">
        <v>45752</v>
      </c>
      <c r="C313" s="11" t="s">
        <v>109</v>
      </c>
      <c r="D313" s="11" t="s">
        <v>40</v>
      </c>
      <c r="E313" s="11">
        <v>31</v>
      </c>
      <c r="F313" s="11">
        <f t="shared" si="9"/>
        <v>31</v>
      </c>
      <c r="G313" s="11" t="s">
        <v>14</v>
      </c>
      <c r="H313" s="11" t="s">
        <v>110</v>
      </c>
      <c r="I313" s="11" t="s">
        <v>26</v>
      </c>
      <c r="J313" s="11">
        <v>105</v>
      </c>
      <c r="K313" s="11">
        <v>165</v>
      </c>
      <c r="L313" s="11" t="s">
        <v>473</v>
      </c>
      <c r="M313" s="11">
        <f t="shared" si="8"/>
        <v>3255</v>
      </c>
      <c r="N313" s="11">
        <f>IF(Table1[[#This Row],[Transaction Type]]="Sale",ABS(E313)*K313,0)</f>
        <v>0</v>
      </c>
      <c r="O313" s="29">
        <f>IF(Table1[[#This Row],[Transaction Type]]="Purchase",E313*J313,0)</f>
        <v>3255</v>
      </c>
    </row>
    <row r="314" spans="1:15" x14ac:dyDescent="0.35">
      <c r="A314" s="27" t="s">
        <v>474</v>
      </c>
      <c r="B314" s="12">
        <v>45752</v>
      </c>
      <c r="C314" s="11" t="s">
        <v>83</v>
      </c>
      <c r="D314" s="11" t="s">
        <v>66</v>
      </c>
      <c r="E314" s="11">
        <v>2</v>
      </c>
      <c r="F314" s="11">
        <f t="shared" si="9"/>
        <v>2</v>
      </c>
      <c r="G314" s="11" t="s">
        <v>24</v>
      </c>
      <c r="H314" s="11" t="s">
        <v>84</v>
      </c>
      <c r="I314" s="11" t="s">
        <v>45</v>
      </c>
      <c r="J314" s="11">
        <v>130</v>
      </c>
      <c r="K314" s="11">
        <v>185</v>
      </c>
      <c r="L314" s="11"/>
      <c r="M314" s="11">
        <f t="shared" si="8"/>
        <v>260</v>
      </c>
      <c r="N314" s="11">
        <f>IF(Table1[[#This Row],[Transaction Type]]="Sale",ABS(E314)*K314,0)</f>
        <v>0</v>
      </c>
      <c r="O314" s="29">
        <f>IF(Table1[[#This Row],[Transaction Type]]="Purchase",E314*J314,0)</f>
        <v>0</v>
      </c>
    </row>
    <row r="315" spans="1:15" x14ac:dyDescent="0.35">
      <c r="A315" s="27" t="s">
        <v>475</v>
      </c>
      <c r="B315" s="12">
        <v>45753</v>
      </c>
      <c r="C315" s="11" t="s">
        <v>32</v>
      </c>
      <c r="D315" s="11" t="s">
        <v>58</v>
      </c>
      <c r="E315" s="11">
        <v>11</v>
      </c>
      <c r="F315" s="11">
        <f t="shared" si="9"/>
        <v>11</v>
      </c>
      <c r="G315" s="11" t="s">
        <v>14</v>
      </c>
      <c r="H315" s="11" t="s">
        <v>33</v>
      </c>
      <c r="I315" s="11" t="s">
        <v>34</v>
      </c>
      <c r="J315" s="11">
        <v>20</v>
      </c>
      <c r="K315" s="11">
        <v>35</v>
      </c>
      <c r="L315" s="11"/>
      <c r="M315" s="11">
        <f t="shared" si="8"/>
        <v>220</v>
      </c>
      <c r="N315" s="11">
        <f>IF(Table1[[#This Row],[Transaction Type]]="Sale",ABS(E315)*K315,0)</f>
        <v>0</v>
      </c>
      <c r="O315" s="29">
        <f>IF(Table1[[#This Row],[Transaction Type]]="Purchase",E315*J315,0)</f>
        <v>0</v>
      </c>
    </row>
    <row r="316" spans="1:15" x14ac:dyDescent="0.35">
      <c r="A316" s="27" t="s">
        <v>476</v>
      </c>
      <c r="B316" s="12">
        <v>45754</v>
      </c>
      <c r="C316" s="11" t="s">
        <v>83</v>
      </c>
      <c r="D316" s="11" t="s">
        <v>40</v>
      </c>
      <c r="E316" s="11">
        <v>106</v>
      </c>
      <c r="F316" s="11">
        <f t="shared" si="9"/>
        <v>106</v>
      </c>
      <c r="G316" s="11" t="s">
        <v>24</v>
      </c>
      <c r="H316" s="11" t="s">
        <v>84</v>
      </c>
      <c r="I316" s="11" t="s">
        <v>45</v>
      </c>
      <c r="J316" s="11">
        <v>130</v>
      </c>
      <c r="K316" s="11">
        <v>185</v>
      </c>
      <c r="L316" s="11" t="s">
        <v>477</v>
      </c>
      <c r="M316" s="11">
        <f t="shared" si="8"/>
        <v>13780</v>
      </c>
      <c r="N316" s="11">
        <f>IF(Table1[[#This Row],[Transaction Type]]="Sale",ABS(E316)*K316,0)</f>
        <v>0</v>
      </c>
      <c r="O316" s="29">
        <f>IF(Table1[[#This Row],[Transaction Type]]="Purchase",E316*J316,0)</f>
        <v>13780</v>
      </c>
    </row>
    <row r="317" spans="1:15" x14ac:dyDescent="0.35">
      <c r="A317" s="27" t="s">
        <v>478</v>
      </c>
      <c r="B317" s="12">
        <v>45754</v>
      </c>
      <c r="C317" s="11" t="s">
        <v>94</v>
      </c>
      <c r="D317" s="11" t="s">
        <v>13</v>
      </c>
      <c r="E317" s="11">
        <v>-2</v>
      </c>
      <c r="F317" s="11">
        <f t="shared" si="9"/>
        <v>-2</v>
      </c>
      <c r="G317" s="11" t="s">
        <v>24</v>
      </c>
      <c r="H317" s="11" t="s">
        <v>95</v>
      </c>
      <c r="I317" s="11" t="s">
        <v>16</v>
      </c>
      <c r="J317" s="11">
        <v>18.5</v>
      </c>
      <c r="K317" s="11">
        <v>31</v>
      </c>
      <c r="L317" s="11"/>
      <c r="M317" s="11">
        <f t="shared" si="8"/>
        <v>37</v>
      </c>
      <c r="N317" s="11">
        <f>IF(Table1[[#This Row],[Transaction Type]]="Sale",ABS(E317)*K317,0)</f>
        <v>62</v>
      </c>
      <c r="O317" s="29">
        <f>IF(Table1[[#This Row],[Transaction Type]]="Purchase",E317*J317,0)</f>
        <v>0</v>
      </c>
    </row>
    <row r="318" spans="1:15" x14ac:dyDescent="0.35">
      <c r="A318" s="27" t="s">
        <v>479</v>
      </c>
      <c r="B318" s="12">
        <v>45754</v>
      </c>
      <c r="C318" s="11" t="s">
        <v>29</v>
      </c>
      <c r="D318" s="11" t="s">
        <v>13</v>
      </c>
      <c r="E318" s="11">
        <v>-1</v>
      </c>
      <c r="F318" s="11">
        <f t="shared" si="9"/>
        <v>-1</v>
      </c>
      <c r="G318" s="11" t="s">
        <v>24</v>
      </c>
      <c r="H318" s="11" t="s">
        <v>30</v>
      </c>
      <c r="I318" s="11" t="s">
        <v>16</v>
      </c>
      <c r="J318" s="11">
        <v>8.8000000000000007</v>
      </c>
      <c r="K318" s="11">
        <v>17</v>
      </c>
      <c r="L318" s="11"/>
      <c r="M318" s="11">
        <f t="shared" si="8"/>
        <v>8.8000000000000007</v>
      </c>
      <c r="N318" s="11">
        <f>IF(Table1[[#This Row],[Transaction Type]]="Sale",ABS(E318)*K318,0)</f>
        <v>17</v>
      </c>
      <c r="O318" s="29">
        <f>IF(Table1[[#This Row],[Transaction Type]]="Purchase",E318*J318,0)</f>
        <v>0</v>
      </c>
    </row>
    <row r="319" spans="1:15" x14ac:dyDescent="0.35">
      <c r="A319" s="27" t="s">
        <v>480</v>
      </c>
      <c r="B319" s="12">
        <v>45754</v>
      </c>
      <c r="C319" s="11" t="s">
        <v>55</v>
      </c>
      <c r="D319" s="11" t="s">
        <v>40</v>
      </c>
      <c r="E319" s="11">
        <v>76</v>
      </c>
      <c r="F319" s="11">
        <f t="shared" si="9"/>
        <v>76</v>
      </c>
      <c r="G319" s="11" t="s">
        <v>24</v>
      </c>
      <c r="H319" s="11" t="s">
        <v>56</v>
      </c>
      <c r="I319" s="11" t="s">
        <v>16</v>
      </c>
      <c r="J319" s="11">
        <v>4.2</v>
      </c>
      <c r="K319" s="11">
        <v>10</v>
      </c>
      <c r="L319" s="11" t="s">
        <v>481</v>
      </c>
      <c r="M319" s="11">
        <f t="shared" si="8"/>
        <v>319.2</v>
      </c>
      <c r="N319" s="11">
        <f>IF(Table1[[#This Row],[Transaction Type]]="Sale",ABS(E319)*K319,0)</f>
        <v>0</v>
      </c>
      <c r="O319" s="29">
        <f>IF(Table1[[#This Row],[Transaction Type]]="Purchase",E319*J319,0)</f>
        <v>319.2</v>
      </c>
    </row>
    <row r="320" spans="1:15" x14ac:dyDescent="0.35">
      <c r="A320" s="27" t="s">
        <v>482</v>
      </c>
      <c r="B320" s="12">
        <v>45755</v>
      </c>
      <c r="C320" s="11" t="s">
        <v>87</v>
      </c>
      <c r="D320" s="11" t="s">
        <v>13</v>
      </c>
      <c r="E320" s="11">
        <v>-2</v>
      </c>
      <c r="F320" s="11">
        <f t="shared" si="9"/>
        <v>-2</v>
      </c>
      <c r="G320" s="11" t="s">
        <v>14</v>
      </c>
      <c r="H320" s="11" t="s">
        <v>88</v>
      </c>
      <c r="I320" s="11" t="s">
        <v>16</v>
      </c>
      <c r="J320" s="11">
        <v>6</v>
      </c>
      <c r="K320" s="11">
        <v>14</v>
      </c>
      <c r="L320" s="11"/>
      <c r="M320" s="11">
        <f t="shared" si="8"/>
        <v>12</v>
      </c>
      <c r="N320" s="11">
        <f>IF(Table1[[#This Row],[Transaction Type]]="Sale",ABS(E320)*K320,0)</f>
        <v>28</v>
      </c>
      <c r="O320" s="29">
        <f>IF(Table1[[#This Row],[Transaction Type]]="Purchase",E320*J320,0)</f>
        <v>0</v>
      </c>
    </row>
    <row r="321" spans="1:15" x14ac:dyDescent="0.35">
      <c r="A321" s="27" t="s">
        <v>483</v>
      </c>
      <c r="B321" s="12">
        <v>45756</v>
      </c>
      <c r="C321" s="11" t="s">
        <v>141</v>
      </c>
      <c r="D321" s="11" t="s">
        <v>13</v>
      </c>
      <c r="E321" s="11">
        <v>-10</v>
      </c>
      <c r="F321" s="11">
        <f t="shared" si="9"/>
        <v>-10</v>
      </c>
      <c r="G321" s="11" t="s">
        <v>14</v>
      </c>
      <c r="H321" s="11" t="s">
        <v>25</v>
      </c>
      <c r="I321" s="11" t="s">
        <v>26</v>
      </c>
      <c r="J321" s="11">
        <v>4</v>
      </c>
      <c r="K321" s="11">
        <v>9</v>
      </c>
      <c r="L321" s="11"/>
      <c r="M321" s="11">
        <f t="shared" si="8"/>
        <v>40</v>
      </c>
      <c r="N321" s="11">
        <f>IF(Table1[[#This Row],[Transaction Type]]="Sale",ABS(E321)*K321,0)</f>
        <v>90</v>
      </c>
      <c r="O321" s="29">
        <f>IF(Table1[[#This Row],[Transaction Type]]="Purchase",E321*J321,0)</f>
        <v>0</v>
      </c>
    </row>
    <row r="322" spans="1:15" x14ac:dyDescent="0.35">
      <c r="A322" s="27" t="s">
        <v>484</v>
      </c>
      <c r="B322" s="12">
        <v>45756</v>
      </c>
      <c r="C322" s="11" t="s">
        <v>87</v>
      </c>
      <c r="D322" s="11" t="s">
        <v>13</v>
      </c>
      <c r="E322" s="11">
        <v>-14</v>
      </c>
      <c r="F322" s="11">
        <f t="shared" si="9"/>
        <v>-14</v>
      </c>
      <c r="G322" s="11" t="s">
        <v>14</v>
      </c>
      <c r="H322" s="11" t="s">
        <v>88</v>
      </c>
      <c r="I322" s="11" t="s">
        <v>16</v>
      </c>
      <c r="J322" s="11">
        <v>6</v>
      </c>
      <c r="K322" s="11">
        <v>14</v>
      </c>
      <c r="L322" s="11"/>
      <c r="M322" s="11">
        <f t="shared" ref="M322:M385" si="10">ABS(E322)*J322</f>
        <v>84</v>
      </c>
      <c r="N322" s="11">
        <f>IF(Table1[[#This Row],[Transaction Type]]="Sale",ABS(E322)*K322,0)</f>
        <v>196</v>
      </c>
      <c r="O322" s="29">
        <f>IF(Table1[[#This Row],[Transaction Type]]="Purchase",E322*J322,0)</f>
        <v>0</v>
      </c>
    </row>
    <row r="323" spans="1:15" x14ac:dyDescent="0.35">
      <c r="A323" s="27" t="s">
        <v>485</v>
      </c>
      <c r="B323" s="12">
        <v>45756</v>
      </c>
      <c r="C323" s="11" t="s">
        <v>136</v>
      </c>
      <c r="D323" s="11" t="s">
        <v>40</v>
      </c>
      <c r="E323" s="11">
        <v>76</v>
      </c>
      <c r="F323" s="11">
        <f t="shared" ref="F323:F386" si="11">E323</f>
        <v>76</v>
      </c>
      <c r="G323" s="11" t="s">
        <v>14</v>
      </c>
      <c r="H323" s="11" t="s">
        <v>33</v>
      </c>
      <c r="I323" s="11" t="s">
        <v>34</v>
      </c>
      <c r="J323" s="11">
        <v>34</v>
      </c>
      <c r="K323" s="11">
        <v>55</v>
      </c>
      <c r="L323" s="11" t="s">
        <v>486</v>
      </c>
      <c r="M323" s="11">
        <f t="shared" si="10"/>
        <v>2584</v>
      </c>
      <c r="N323" s="11">
        <f>IF(Table1[[#This Row],[Transaction Type]]="Sale",ABS(E323)*K323,0)</f>
        <v>0</v>
      </c>
      <c r="O323" s="29">
        <f>IF(Table1[[#This Row],[Transaction Type]]="Purchase",E323*J323,0)</f>
        <v>2584</v>
      </c>
    </row>
    <row r="324" spans="1:15" x14ac:dyDescent="0.35">
      <c r="A324" s="27" t="s">
        <v>488</v>
      </c>
      <c r="B324" s="12">
        <v>45756</v>
      </c>
      <c r="C324" s="11" t="s">
        <v>32</v>
      </c>
      <c r="D324" s="11" t="s">
        <v>40</v>
      </c>
      <c r="E324" s="11">
        <v>115</v>
      </c>
      <c r="F324" s="11">
        <f t="shared" si="11"/>
        <v>115</v>
      </c>
      <c r="G324" s="11" t="s">
        <v>24</v>
      </c>
      <c r="H324" s="11" t="s">
        <v>33</v>
      </c>
      <c r="I324" s="11" t="s">
        <v>34</v>
      </c>
      <c r="J324" s="11">
        <v>20</v>
      </c>
      <c r="K324" s="11">
        <v>35</v>
      </c>
      <c r="L324" s="11" t="s">
        <v>489</v>
      </c>
      <c r="M324" s="11">
        <f t="shared" si="10"/>
        <v>2300</v>
      </c>
      <c r="N324" s="11">
        <f>IF(Table1[[#This Row],[Transaction Type]]="Sale",ABS(E324)*K324,0)</f>
        <v>0</v>
      </c>
      <c r="O324" s="29">
        <f>IF(Table1[[#This Row],[Transaction Type]]="Purchase",E324*J324,0)</f>
        <v>2300</v>
      </c>
    </row>
    <row r="325" spans="1:15" x14ac:dyDescent="0.35">
      <c r="A325" s="27" t="s">
        <v>490</v>
      </c>
      <c r="B325" s="12">
        <v>45757</v>
      </c>
      <c r="C325" s="11" t="s">
        <v>48</v>
      </c>
      <c r="D325" s="11" t="s">
        <v>13</v>
      </c>
      <c r="E325" s="11">
        <v>-10</v>
      </c>
      <c r="F325" s="11">
        <f t="shared" si="11"/>
        <v>-10</v>
      </c>
      <c r="G325" s="11" t="s">
        <v>14</v>
      </c>
      <c r="H325" s="11" t="s">
        <v>49</v>
      </c>
      <c r="I325" s="11" t="s">
        <v>21</v>
      </c>
      <c r="J325" s="11">
        <v>8.5</v>
      </c>
      <c r="K325" s="11">
        <v>18</v>
      </c>
      <c r="L325" s="11"/>
      <c r="M325" s="11">
        <f t="shared" si="10"/>
        <v>85</v>
      </c>
      <c r="N325" s="11">
        <f>IF(Table1[[#This Row],[Transaction Type]]="Sale",ABS(E325)*K325,0)</f>
        <v>180</v>
      </c>
      <c r="O325" s="29">
        <f>IF(Table1[[#This Row],[Transaction Type]]="Purchase",E325*J325,0)</f>
        <v>0</v>
      </c>
    </row>
    <row r="326" spans="1:15" x14ac:dyDescent="0.35">
      <c r="A326" s="27" t="s">
        <v>491</v>
      </c>
      <c r="B326" s="12">
        <v>45757</v>
      </c>
      <c r="C326" s="11" t="s">
        <v>12</v>
      </c>
      <c r="D326" s="11" t="s">
        <v>13</v>
      </c>
      <c r="E326" s="11">
        <v>-2</v>
      </c>
      <c r="F326" s="11">
        <f t="shared" si="11"/>
        <v>-2</v>
      </c>
      <c r="G326" s="11" t="s">
        <v>24</v>
      </c>
      <c r="H326" s="11" t="s">
        <v>15</v>
      </c>
      <c r="I326" s="11" t="s">
        <v>16</v>
      </c>
      <c r="J326" s="11">
        <v>13.5</v>
      </c>
      <c r="K326" s="11">
        <v>24</v>
      </c>
      <c r="L326" s="11"/>
      <c r="M326" s="11">
        <f t="shared" si="10"/>
        <v>27</v>
      </c>
      <c r="N326" s="11">
        <f>IF(Table1[[#This Row],[Transaction Type]]="Sale",ABS(E326)*K326,0)</f>
        <v>48</v>
      </c>
      <c r="O326" s="29">
        <f>IF(Table1[[#This Row],[Transaction Type]]="Purchase",E326*J326,0)</f>
        <v>0</v>
      </c>
    </row>
    <row r="327" spans="1:15" x14ac:dyDescent="0.35">
      <c r="A327" s="27" t="s">
        <v>492</v>
      </c>
      <c r="B327" s="12">
        <v>45757</v>
      </c>
      <c r="C327" s="11" t="s">
        <v>139</v>
      </c>
      <c r="D327" s="11" t="s">
        <v>13</v>
      </c>
      <c r="E327" s="11">
        <v>-13</v>
      </c>
      <c r="F327" s="11">
        <f t="shared" si="11"/>
        <v>-13</v>
      </c>
      <c r="G327" s="11" t="s">
        <v>19</v>
      </c>
      <c r="H327" s="11" t="s">
        <v>56</v>
      </c>
      <c r="I327" s="11" t="s">
        <v>16</v>
      </c>
      <c r="J327" s="11">
        <v>16.5</v>
      </c>
      <c r="K327" s="11">
        <v>28</v>
      </c>
      <c r="L327" s="11"/>
      <c r="M327" s="11">
        <f t="shared" si="10"/>
        <v>214.5</v>
      </c>
      <c r="N327" s="11">
        <f>IF(Table1[[#This Row],[Transaction Type]]="Sale",ABS(E327)*K327,0)</f>
        <v>364</v>
      </c>
      <c r="O327" s="29">
        <f>IF(Table1[[#This Row],[Transaction Type]]="Purchase",E327*J327,0)</f>
        <v>0</v>
      </c>
    </row>
    <row r="328" spans="1:15" x14ac:dyDescent="0.35">
      <c r="A328" s="27" t="s">
        <v>493</v>
      </c>
      <c r="B328" s="12">
        <v>45757</v>
      </c>
      <c r="C328" s="11" t="s">
        <v>18</v>
      </c>
      <c r="D328" s="11" t="s">
        <v>13</v>
      </c>
      <c r="E328" s="11">
        <v>-6</v>
      </c>
      <c r="F328" s="11">
        <f t="shared" si="11"/>
        <v>-6</v>
      </c>
      <c r="G328" s="11" t="s">
        <v>24</v>
      </c>
      <c r="H328" s="11" t="s">
        <v>20</v>
      </c>
      <c r="I328" s="11" t="s">
        <v>21</v>
      </c>
      <c r="J328" s="11">
        <v>2.6</v>
      </c>
      <c r="K328" s="11">
        <v>5.5</v>
      </c>
      <c r="L328" s="11"/>
      <c r="M328" s="11">
        <f t="shared" si="10"/>
        <v>15.600000000000001</v>
      </c>
      <c r="N328" s="11">
        <f>IF(Table1[[#This Row],[Transaction Type]]="Sale",ABS(E328)*K328,0)</f>
        <v>33</v>
      </c>
      <c r="O328" s="29">
        <f>IF(Table1[[#This Row],[Transaction Type]]="Purchase",E328*J328,0)</f>
        <v>0</v>
      </c>
    </row>
    <row r="329" spans="1:15" x14ac:dyDescent="0.35">
      <c r="A329" s="27" t="s">
        <v>494</v>
      </c>
      <c r="B329" s="12">
        <v>45758</v>
      </c>
      <c r="C329" s="11" t="s">
        <v>83</v>
      </c>
      <c r="D329" s="11" t="s">
        <v>13</v>
      </c>
      <c r="E329" s="11">
        <v>-5</v>
      </c>
      <c r="F329" s="11">
        <f t="shared" si="11"/>
        <v>-5</v>
      </c>
      <c r="G329" s="11" t="s">
        <v>14</v>
      </c>
      <c r="H329" s="11" t="s">
        <v>84</v>
      </c>
      <c r="I329" s="11" t="s">
        <v>45</v>
      </c>
      <c r="J329" s="11">
        <v>130</v>
      </c>
      <c r="K329" s="11">
        <v>185</v>
      </c>
      <c r="L329" s="11"/>
      <c r="M329" s="11">
        <f t="shared" si="10"/>
        <v>650</v>
      </c>
      <c r="N329" s="11">
        <f>IF(Table1[[#This Row],[Transaction Type]]="Sale",ABS(E329)*K329,0)</f>
        <v>925</v>
      </c>
      <c r="O329" s="29">
        <f>IF(Table1[[#This Row],[Transaction Type]]="Purchase",E329*J329,0)</f>
        <v>0</v>
      </c>
    </row>
    <row r="330" spans="1:15" x14ac:dyDescent="0.35">
      <c r="A330" s="27" t="s">
        <v>495</v>
      </c>
      <c r="B330" s="12">
        <v>45758</v>
      </c>
      <c r="C330" s="11" t="s">
        <v>48</v>
      </c>
      <c r="D330" s="11" t="s">
        <v>40</v>
      </c>
      <c r="E330" s="11">
        <v>77</v>
      </c>
      <c r="F330" s="11">
        <f t="shared" si="11"/>
        <v>77</v>
      </c>
      <c r="G330" s="11" t="s">
        <v>24</v>
      </c>
      <c r="H330" s="11" t="s">
        <v>49</v>
      </c>
      <c r="I330" s="11" t="s">
        <v>21</v>
      </c>
      <c r="J330" s="11">
        <v>8.5</v>
      </c>
      <c r="K330" s="11">
        <v>18</v>
      </c>
      <c r="L330" s="11" t="s">
        <v>496</v>
      </c>
      <c r="M330" s="11">
        <f t="shared" si="10"/>
        <v>654.5</v>
      </c>
      <c r="N330" s="11">
        <f>IF(Table1[[#This Row],[Transaction Type]]="Sale",ABS(E330)*K330,0)</f>
        <v>0</v>
      </c>
      <c r="O330" s="29">
        <f>IF(Table1[[#This Row],[Transaction Type]]="Purchase",E330*J330,0)</f>
        <v>654.5</v>
      </c>
    </row>
    <row r="331" spans="1:15" x14ac:dyDescent="0.35">
      <c r="A331" s="27" t="s">
        <v>497</v>
      </c>
      <c r="B331" s="12">
        <v>45758</v>
      </c>
      <c r="C331" s="11" t="s">
        <v>23</v>
      </c>
      <c r="D331" s="11" t="s">
        <v>13</v>
      </c>
      <c r="E331" s="11">
        <v>-9</v>
      </c>
      <c r="F331" s="11">
        <f t="shared" si="11"/>
        <v>-9</v>
      </c>
      <c r="G331" s="11" t="s">
        <v>19</v>
      </c>
      <c r="H331" s="11" t="s">
        <v>25</v>
      </c>
      <c r="I331" s="11" t="s">
        <v>26</v>
      </c>
      <c r="J331" s="11">
        <v>3</v>
      </c>
      <c r="K331" s="11">
        <v>7</v>
      </c>
      <c r="L331" s="11"/>
      <c r="M331" s="11">
        <f t="shared" si="10"/>
        <v>27</v>
      </c>
      <c r="N331" s="11">
        <f>IF(Table1[[#This Row],[Transaction Type]]="Sale",ABS(E331)*K331,0)</f>
        <v>63</v>
      </c>
      <c r="O331" s="29">
        <f>IF(Table1[[#This Row],[Transaction Type]]="Purchase",E331*J331,0)</f>
        <v>0</v>
      </c>
    </row>
    <row r="332" spans="1:15" x14ac:dyDescent="0.35">
      <c r="A332" s="27" t="s">
        <v>498</v>
      </c>
      <c r="B332" s="12">
        <v>45758</v>
      </c>
      <c r="C332" s="11" t="s">
        <v>23</v>
      </c>
      <c r="D332" s="11" t="s">
        <v>13</v>
      </c>
      <c r="E332" s="11">
        <v>-13</v>
      </c>
      <c r="F332" s="11">
        <f t="shared" si="11"/>
        <v>-13</v>
      </c>
      <c r="G332" s="11" t="s">
        <v>14</v>
      </c>
      <c r="H332" s="11" t="s">
        <v>25</v>
      </c>
      <c r="I332" s="11" t="s">
        <v>26</v>
      </c>
      <c r="J332" s="11">
        <v>3</v>
      </c>
      <c r="K332" s="11">
        <v>7</v>
      </c>
      <c r="L332" s="11"/>
      <c r="M332" s="11">
        <f t="shared" si="10"/>
        <v>39</v>
      </c>
      <c r="N332" s="11">
        <f>IF(Table1[[#This Row],[Transaction Type]]="Sale",ABS(E332)*K332,0)</f>
        <v>91</v>
      </c>
      <c r="O332" s="29">
        <f>IF(Table1[[#This Row],[Transaction Type]]="Purchase",E332*J332,0)</f>
        <v>0</v>
      </c>
    </row>
    <row r="333" spans="1:15" x14ac:dyDescent="0.35">
      <c r="A333" s="27" t="s">
        <v>499</v>
      </c>
      <c r="B333" s="12">
        <v>45758</v>
      </c>
      <c r="C333" s="11" t="s">
        <v>60</v>
      </c>
      <c r="D333" s="11" t="s">
        <v>40</v>
      </c>
      <c r="E333" s="11">
        <v>40</v>
      </c>
      <c r="F333" s="11">
        <f t="shared" si="11"/>
        <v>40</v>
      </c>
      <c r="G333" s="11" t="s">
        <v>14</v>
      </c>
      <c r="H333" s="11" t="s">
        <v>61</v>
      </c>
      <c r="I333" s="11" t="s">
        <v>62</v>
      </c>
      <c r="J333" s="11">
        <v>3.4</v>
      </c>
      <c r="K333" s="11">
        <v>8</v>
      </c>
      <c r="L333" s="11" t="s">
        <v>500</v>
      </c>
      <c r="M333" s="11">
        <f t="shared" si="10"/>
        <v>136</v>
      </c>
      <c r="N333" s="11">
        <f>IF(Table1[[#This Row],[Transaction Type]]="Sale",ABS(E333)*K333,0)</f>
        <v>0</v>
      </c>
      <c r="O333" s="29">
        <f>IF(Table1[[#This Row],[Transaction Type]]="Purchase",E333*J333,0)</f>
        <v>136</v>
      </c>
    </row>
    <row r="334" spans="1:15" x14ac:dyDescent="0.35">
      <c r="A334" s="27" t="s">
        <v>501</v>
      </c>
      <c r="B334" s="12">
        <v>45758</v>
      </c>
      <c r="C334" s="11" t="s">
        <v>109</v>
      </c>
      <c r="D334" s="11" t="s">
        <v>40</v>
      </c>
      <c r="E334" s="11">
        <v>61</v>
      </c>
      <c r="F334" s="11">
        <f t="shared" si="11"/>
        <v>61</v>
      </c>
      <c r="G334" s="11" t="s">
        <v>19</v>
      </c>
      <c r="H334" s="11" t="s">
        <v>110</v>
      </c>
      <c r="I334" s="11" t="s">
        <v>26</v>
      </c>
      <c r="J334" s="11">
        <v>105</v>
      </c>
      <c r="K334" s="11">
        <v>165</v>
      </c>
      <c r="L334" s="11" t="s">
        <v>502</v>
      </c>
      <c r="M334" s="11">
        <f t="shared" si="10"/>
        <v>6405</v>
      </c>
      <c r="N334" s="11">
        <f>IF(Table1[[#This Row],[Transaction Type]]="Sale",ABS(E334)*K334,0)</f>
        <v>0</v>
      </c>
      <c r="O334" s="29">
        <f>IF(Table1[[#This Row],[Transaction Type]]="Purchase",E334*J334,0)</f>
        <v>6405</v>
      </c>
    </row>
    <row r="335" spans="1:15" x14ac:dyDescent="0.35">
      <c r="A335" s="27" t="s">
        <v>503</v>
      </c>
      <c r="B335" s="12">
        <v>45758</v>
      </c>
      <c r="C335" s="11" t="s">
        <v>141</v>
      </c>
      <c r="D335" s="11" t="s">
        <v>40</v>
      </c>
      <c r="E335" s="11">
        <v>120</v>
      </c>
      <c r="F335" s="11">
        <f t="shared" si="11"/>
        <v>120</v>
      </c>
      <c r="G335" s="11" t="s">
        <v>14</v>
      </c>
      <c r="H335" s="11" t="s">
        <v>25</v>
      </c>
      <c r="I335" s="11" t="s">
        <v>26</v>
      </c>
      <c r="J335" s="11">
        <v>4</v>
      </c>
      <c r="K335" s="11">
        <v>9</v>
      </c>
      <c r="L335" s="11" t="s">
        <v>504</v>
      </c>
      <c r="M335" s="11">
        <f t="shared" si="10"/>
        <v>480</v>
      </c>
      <c r="N335" s="11">
        <f>IF(Table1[[#This Row],[Transaction Type]]="Sale",ABS(E335)*K335,0)</f>
        <v>0</v>
      </c>
      <c r="O335" s="29">
        <f>IF(Table1[[#This Row],[Transaction Type]]="Purchase",E335*J335,0)</f>
        <v>480</v>
      </c>
    </row>
    <row r="336" spans="1:15" x14ac:dyDescent="0.35">
      <c r="A336" s="27" t="s">
        <v>505</v>
      </c>
      <c r="B336" s="12">
        <v>45758</v>
      </c>
      <c r="C336" s="11" t="s">
        <v>52</v>
      </c>
      <c r="D336" s="11" t="s">
        <v>13</v>
      </c>
      <c r="E336" s="11">
        <v>-6</v>
      </c>
      <c r="F336" s="11">
        <f t="shared" si="11"/>
        <v>-6</v>
      </c>
      <c r="G336" s="11" t="s">
        <v>14</v>
      </c>
      <c r="H336" s="11" t="s">
        <v>20</v>
      </c>
      <c r="I336" s="11" t="s">
        <v>21</v>
      </c>
      <c r="J336" s="11">
        <v>5.5</v>
      </c>
      <c r="K336" s="11">
        <v>12</v>
      </c>
      <c r="L336" s="11"/>
      <c r="M336" s="11">
        <f t="shared" si="10"/>
        <v>33</v>
      </c>
      <c r="N336" s="11">
        <f>IF(Table1[[#This Row],[Transaction Type]]="Sale",ABS(E336)*K336,0)</f>
        <v>72</v>
      </c>
      <c r="O336" s="29">
        <f>IF(Table1[[#This Row],[Transaction Type]]="Purchase",E336*J336,0)</f>
        <v>0</v>
      </c>
    </row>
    <row r="337" spans="1:15" x14ac:dyDescent="0.35">
      <c r="A337" s="27" t="s">
        <v>506</v>
      </c>
      <c r="B337" s="12">
        <v>45759</v>
      </c>
      <c r="C337" s="11" t="s">
        <v>109</v>
      </c>
      <c r="D337" s="11" t="s">
        <v>13</v>
      </c>
      <c r="E337" s="11">
        <v>-11</v>
      </c>
      <c r="F337" s="11">
        <f t="shared" si="11"/>
        <v>-11</v>
      </c>
      <c r="G337" s="11" t="s">
        <v>24</v>
      </c>
      <c r="H337" s="11" t="s">
        <v>110</v>
      </c>
      <c r="I337" s="11" t="s">
        <v>26</v>
      </c>
      <c r="J337" s="11">
        <v>105</v>
      </c>
      <c r="K337" s="11">
        <v>165</v>
      </c>
      <c r="L337" s="11"/>
      <c r="M337" s="11">
        <f t="shared" si="10"/>
        <v>1155</v>
      </c>
      <c r="N337" s="11">
        <f>IF(Table1[[#This Row],[Transaction Type]]="Sale",ABS(E337)*K337,0)</f>
        <v>1815</v>
      </c>
      <c r="O337" s="29">
        <f>IF(Table1[[#This Row],[Transaction Type]]="Purchase",E337*J337,0)</f>
        <v>0</v>
      </c>
    </row>
    <row r="338" spans="1:15" x14ac:dyDescent="0.35">
      <c r="A338" s="27" t="s">
        <v>507</v>
      </c>
      <c r="B338" s="12">
        <v>45759</v>
      </c>
      <c r="C338" s="11" t="s">
        <v>60</v>
      </c>
      <c r="D338" s="11" t="s">
        <v>40</v>
      </c>
      <c r="E338" s="11">
        <v>50</v>
      </c>
      <c r="F338" s="11">
        <f t="shared" si="11"/>
        <v>50</v>
      </c>
      <c r="G338" s="11" t="s">
        <v>19</v>
      </c>
      <c r="H338" s="11" t="s">
        <v>61</v>
      </c>
      <c r="I338" s="11" t="s">
        <v>62</v>
      </c>
      <c r="J338" s="11">
        <v>3.4</v>
      </c>
      <c r="K338" s="11">
        <v>8</v>
      </c>
      <c r="L338" s="11" t="s">
        <v>508</v>
      </c>
      <c r="M338" s="11">
        <f t="shared" si="10"/>
        <v>170</v>
      </c>
      <c r="N338" s="11">
        <f>IF(Table1[[#This Row],[Transaction Type]]="Sale",ABS(E338)*K338,0)</f>
        <v>0</v>
      </c>
      <c r="O338" s="29">
        <f>IF(Table1[[#This Row],[Transaction Type]]="Purchase",E338*J338,0)</f>
        <v>170</v>
      </c>
    </row>
    <row r="339" spans="1:15" x14ac:dyDescent="0.35">
      <c r="A339" s="27" t="s">
        <v>509</v>
      </c>
      <c r="B339" s="12">
        <v>45760</v>
      </c>
      <c r="C339" s="11" t="s">
        <v>43</v>
      </c>
      <c r="D339" s="11" t="s">
        <v>40</v>
      </c>
      <c r="E339" s="11">
        <v>117</v>
      </c>
      <c r="F339" s="11">
        <f t="shared" si="11"/>
        <v>117</v>
      </c>
      <c r="G339" s="11" t="s">
        <v>24</v>
      </c>
      <c r="H339" s="11" t="s">
        <v>44</v>
      </c>
      <c r="I339" s="11" t="s">
        <v>45</v>
      </c>
      <c r="J339" s="11">
        <v>5.2</v>
      </c>
      <c r="K339" s="11">
        <v>11</v>
      </c>
      <c r="L339" s="11" t="s">
        <v>510</v>
      </c>
      <c r="M339" s="11">
        <f t="shared" si="10"/>
        <v>608.4</v>
      </c>
      <c r="N339" s="11">
        <f>IF(Table1[[#This Row],[Transaction Type]]="Sale",ABS(E339)*K339,0)</f>
        <v>0</v>
      </c>
      <c r="O339" s="29">
        <f>IF(Table1[[#This Row],[Transaction Type]]="Purchase",E339*J339,0)</f>
        <v>608.4</v>
      </c>
    </row>
    <row r="340" spans="1:15" x14ac:dyDescent="0.35">
      <c r="A340" s="27" t="s">
        <v>511</v>
      </c>
      <c r="B340" s="12">
        <v>45760</v>
      </c>
      <c r="C340" s="11" t="s">
        <v>77</v>
      </c>
      <c r="D340" s="11" t="s">
        <v>40</v>
      </c>
      <c r="E340" s="11">
        <v>56</v>
      </c>
      <c r="F340" s="11">
        <f t="shared" si="11"/>
        <v>56</v>
      </c>
      <c r="G340" s="11" t="s">
        <v>14</v>
      </c>
      <c r="H340" s="11" t="s">
        <v>78</v>
      </c>
      <c r="I340" s="11" t="s">
        <v>16</v>
      </c>
      <c r="J340" s="11">
        <v>25</v>
      </c>
      <c r="K340" s="11">
        <v>42</v>
      </c>
      <c r="L340" s="11" t="s">
        <v>512</v>
      </c>
      <c r="M340" s="11">
        <f t="shared" si="10"/>
        <v>1400</v>
      </c>
      <c r="N340" s="11">
        <f>IF(Table1[[#This Row],[Transaction Type]]="Sale",ABS(E340)*K340,0)</f>
        <v>0</v>
      </c>
      <c r="O340" s="29">
        <f>IF(Table1[[#This Row],[Transaction Type]]="Purchase",E340*J340,0)</f>
        <v>1400</v>
      </c>
    </row>
    <row r="341" spans="1:15" x14ac:dyDescent="0.35">
      <c r="A341" s="27" t="s">
        <v>513</v>
      </c>
      <c r="B341" s="12">
        <v>45760</v>
      </c>
      <c r="C341" s="11" t="s">
        <v>73</v>
      </c>
      <c r="D341" s="11" t="s">
        <v>13</v>
      </c>
      <c r="E341" s="11">
        <v>-1</v>
      </c>
      <c r="F341" s="11">
        <f t="shared" si="11"/>
        <v>-1</v>
      </c>
      <c r="G341" s="11" t="s">
        <v>14</v>
      </c>
      <c r="H341" s="11" t="s">
        <v>74</v>
      </c>
      <c r="I341" s="11" t="s">
        <v>75</v>
      </c>
      <c r="J341" s="11">
        <v>30</v>
      </c>
      <c r="K341" s="11">
        <v>48</v>
      </c>
      <c r="L341" s="11"/>
      <c r="M341" s="11">
        <f t="shared" si="10"/>
        <v>30</v>
      </c>
      <c r="N341" s="11">
        <f>IF(Table1[[#This Row],[Transaction Type]]="Sale",ABS(E341)*K341,0)</f>
        <v>48</v>
      </c>
      <c r="O341" s="29">
        <f>IF(Table1[[#This Row],[Transaction Type]]="Purchase",E341*J341,0)</f>
        <v>0</v>
      </c>
    </row>
    <row r="342" spans="1:15" x14ac:dyDescent="0.35">
      <c r="A342" s="27" t="s">
        <v>514</v>
      </c>
      <c r="B342" s="12">
        <v>45760</v>
      </c>
      <c r="C342" s="11" t="s">
        <v>98</v>
      </c>
      <c r="D342" s="11" t="s">
        <v>13</v>
      </c>
      <c r="E342" s="11">
        <v>-3</v>
      </c>
      <c r="F342" s="11">
        <f t="shared" si="11"/>
        <v>-3</v>
      </c>
      <c r="G342" s="11" t="s">
        <v>24</v>
      </c>
      <c r="H342" s="11" t="s">
        <v>30</v>
      </c>
      <c r="I342" s="11" t="s">
        <v>16</v>
      </c>
      <c r="J342" s="11">
        <v>16</v>
      </c>
      <c r="K342" s="11">
        <v>29</v>
      </c>
      <c r="L342" s="11"/>
      <c r="M342" s="11">
        <f t="shared" si="10"/>
        <v>48</v>
      </c>
      <c r="N342" s="11">
        <f>IF(Table1[[#This Row],[Transaction Type]]="Sale",ABS(E342)*K342,0)</f>
        <v>87</v>
      </c>
      <c r="O342" s="29">
        <f>IF(Table1[[#This Row],[Transaction Type]]="Purchase",E342*J342,0)</f>
        <v>0</v>
      </c>
    </row>
    <row r="343" spans="1:15" x14ac:dyDescent="0.35">
      <c r="A343" s="27" t="s">
        <v>515</v>
      </c>
      <c r="B343" s="12">
        <v>45760</v>
      </c>
      <c r="C343" s="11" t="s">
        <v>48</v>
      </c>
      <c r="D343" s="11" t="s">
        <v>40</v>
      </c>
      <c r="E343" s="11">
        <v>61</v>
      </c>
      <c r="F343" s="11">
        <f t="shared" si="11"/>
        <v>61</v>
      </c>
      <c r="G343" s="11" t="s">
        <v>24</v>
      </c>
      <c r="H343" s="11" t="s">
        <v>49</v>
      </c>
      <c r="I343" s="11" t="s">
        <v>21</v>
      </c>
      <c r="J343" s="11">
        <v>8.5</v>
      </c>
      <c r="K343" s="11">
        <v>18</v>
      </c>
      <c r="L343" s="11" t="s">
        <v>516</v>
      </c>
      <c r="M343" s="11">
        <f t="shared" si="10"/>
        <v>518.5</v>
      </c>
      <c r="N343" s="11">
        <f>IF(Table1[[#This Row],[Transaction Type]]="Sale",ABS(E343)*K343,0)</f>
        <v>0</v>
      </c>
      <c r="O343" s="29">
        <f>IF(Table1[[#This Row],[Transaction Type]]="Purchase",E343*J343,0)</f>
        <v>518.5</v>
      </c>
    </row>
    <row r="344" spans="1:15" x14ac:dyDescent="0.35">
      <c r="A344" s="27" t="s">
        <v>517</v>
      </c>
      <c r="B344" s="12">
        <v>45760</v>
      </c>
      <c r="C344" s="11" t="s">
        <v>73</v>
      </c>
      <c r="D344" s="11" t="s">
        <v>40</v>
      </c>
      <c r="E344" s="11">
        <v>110</v>
      </c>
      <c r="F344" s="11">
        <f t="shared" si="11"/>
        <v>110</v>
      </c>
      <c r="G344" s="11" t="s">
        <v>14</v>
      </c>
      <c r="H344" s="11" t="s">
        <v>74</v>
      </c>
      <c r="I344" s="11" t="s">
        <v>75</v>
      </c>
      <c r="J344" s="11">
        <v>30</v>
      </c>
      <c r="K344" s="11">
        <v>48</v>
      </c>
      <c r="L344" s="11" t="s">
        <v>518</v>
      </c>
      <c r="M344" s="11">
        <f t="shared" si="10"/>
        <v>3300</v>
      </c>
      <c r="N344" s="11">
        <f>IF(Table1[[#This Row],[Transaction Type]]="Sale",ABS(E344)*K344,0)</f>
        <v>0</v>
      </c>
      <c r="O344" s="29">
        <f>IF(Table1[[#This Row],[Transaction Type]]="Purchase",E344*J344,0)</f>
        <v>3300</v>
      </c>
    </row>
    <row r="345" spans="1:15" x14ac:dyDescent="0.35">
      <c r="A345" s="27" t="s">
        <v>519</v>
      </c>
      <c r="B345" s="12">
        <v>45760</v>
      </c>
      <c r="C345" s="11" t="s">
        <v>23</v>
      </c>
      <c r="D345" s="11" t="s">
        <v>13</v>
      </c>
      <c r="E345" s="11">
        <v>-9</v>
      </c>
      <c r="F345" s="11">
        <f t="shared" si="11"/>
        <v>-9</v>
      </c>
      <c r="G345" s="11" t="s">
        <v>19</v>
      </c>
      <c r="H345" s="11" t="s">
        <v>25</v>
      </c>
      <c r="I345" s="11" t="s">
        <v>26</v>
      </c>
      <c r="J345" s="11">
        <v>3</v>
      </c>
      <c r="K345" s="11">
        <v>7</v>
      </c>
      <c r="L345" s="11"/>
      <c r="M345" s="11">
        <f t="shared" si="10"/>
        <v>27</v>
      </c>
      <c r="N345" s="11">
        <f>IF(Table1[[#This Row],[Transaction Type]]="Sale",ABS(E345)*K345,0)</f>
        <v>63</v>
      </c>
      <c r="O345" s="29">
        <f>IF(Table1[[#This Row],[Transaction Type]]="Purchase",E345*J345,0)</f>
        <v>0</v>
      </c>
    </row>
    <row r="346" spans="1:15" x14ac:dyDescent="0.35">
      <c r="A346" s="27" t="s">
        <v>520</v>
      </c>
      <c r="B346" s="12">
        <v>45761</v>
      </c>
      <c r="C346" s="11" t="s">
        <v>69</v>
      </c>
      <c r="D346" s="11" t="s">
        <v>13</v>
      </c>
      <c r="E346" s="11">
        <v>-7</v>
      </c>
      <c r="F346" s="11">
        <f t="shared" si="11"/>
        <v>-7</v>
      </c>
      <c r="G346" s="11" t="s">
        <v>24</v>
      </c>
      <c r="H346" s="11" t="s">
        <v>70</v>
      </c>
      <c r="I346" s="11" t="s">
        <v>16</v>
      </c>
      <c r="J346" s="11">
        <v>23</v>
      </c>
      <c r="K346" s="11">
        <v>38</v>
      </c>
      <c r="L346" s="11"/>
      <c r="M346" s="11">
        <f t="shared" si="10"/>
        <v>161</v>
      </c>
      <c r="N346" s="11">
        <f>IF(Table1[[#This Row],[Transaction Type]]="Sale",ABS(E346)*K346,0)</f>
        <v>266</v>
      </c>
      <c r="O346" s="29">
        <f>IF(Table1[[#This Row],[Transaction Type]]="Purchase",E346*J346,0)</f>
        <v>0</v>
      </c>
    </row>
    <row r="347" spans="1:15" x14ac:dyDescent="0.35">
      <c r="A347" s="27" t="s">
        <v>521</v>
      </c>
      <c r="B347" s="12">
        <v>45761</v>
      </c>
      <c r="C347" s="11" t="s">
        <v>185</v>
      </c>
      <c r="D347" s="11" t="s">
        <v>58</v>
      </c>
      <c r="E347" s="11">
        <v>7</v>
      </c>
      <c r="F347" s="11">
        <f t="shared" si="11"/>
        <v>7</v>
      </c>
      <c r="G347" s="11" t="s">
        <v>19</v>
      </c>
      <c r="H347" s="11" t="s">
        <v>44</v>
      </c>
      <c r="I347" s="11" t="s">
        <v>45</v>
      </c>
      <c r="J347" s="11">
        <v>63</v>
      </c>
      <c r="K347" s="11">
        <v>95</v>
      </c>
      <c r="L347" s="11"/>
      <c r="M347" s="11">
        <f t="shared" si="10"/>
        <v>441</v>
      </c>
      <c r="N347" s="11">
        <f>IF(Table1[[#This Row],[Transaction Type]]="Sale",ABS(E347)*K347,0)</f>
        <v>0</v>
      </c>
      <c r="O347" s="29">
        <f>IF(Table1[[#This Row],[Transaction Type]]="Purchase",E347*J347,0)</f>
        <v>0</v>
      </c>
    </row>
    <row r="348" spans="1:15" x14ac:dyDescent="0.35">
      <c r="A348" s="27" t="s">
        <v>522</v>
      </c>
      <c r="B348" s="12">
        <v>45761</v>
      </c>
      <c r="C348" s="11" t="s">
        <v>139</v>
      </c>
      <c r="D348" s="11" t="s">
        <v>58</v>
      </c>
      <c r="E348" s="11">
        <v>-19</v>
      </c>
      <c r="F348" s="11">
        <f t="shared" si="11"/>
        <v>-19</v>
      </c>
      <c r="G348" s="11" t="s">
        <v>14</v>
      </c>
      <c r="H348" s="11" t="s">
        <v>56</v>
      </c>
      <c r="I348" s="11" t="s">
        <v>16</v>
      </c>
      <c r="J348" s="11">
        <v>16.5</v>
      </c>
      <c r="K348" s="11">
        <v>28</v>
      </c>
      <c r="L348" s="11"/>
      <c r="M348" s="11">
        <f t="shared" si="10"/>
        <v>313.5</v>
      </c>
      <c r="N348" s="11">
        <f>IF(Table1[[#This Row],[Transaction Type]]="Sale",ABS(E348)*K348,0)</f>
        <v>0</v>
      </c>
      <c r="O348" s="29">
        <f>IF(Table1[[#This Row],[Transaction Type]]="Purchase",E348*J348,0)</f>
        <v>0</v>
      </c>
    </row>
    <row r="349" spans="1:15" x14ac:dyDescent="0.35">
      <c r="A349" s="27" t="s">
        <v>523</v>
      </c>
      <c r="B349" s="12">
        <v>45762</v>
      </c>
      <c r="C349" s="11" t="s">
        <v>73</v>
      </c>
      <c r="D349" s="11" t="s">
        <v>40</v>
      </c>
      <c r="E349" s="11">
        <v>64</v>
      </c>
      <c r="F349" s="11">
        <f t="shared" si="11"/>
        <v>64</v>
      </c>
      <c r="G349" s="11" t="s">
        <v>24</v>
      </c>
      <c r="H349" s="11" t="s">
        <v>74</v>
      </c>
      <c r="I349" s="11" t="s">
        <v>75</v>
      </c>
      <c r="J349" s="11">
        <v>30</v>
      </c>
      <c r="K349" s="11">
        <v>48</v>
      </c>
      <c r="L349" s="11" t="s">
        <v>524</v>
      </c>
      <c r="M349" s="11">
        <f t="shared" si="10"/>
        <v>1920</v>
      </c>
      <c r="N349" s="11">
        <f>IF(Table1[[#This Row],[Transaction Type]]="Sale",ABS(E349)*K349,0)</f>
        <v>0</v>
      </c>
      <c r="O349" s="29">
        <f>IF(Table1[[#This Row],[Transaction Type]]="Purchase",E349*J349,0)</f>
        <v>1920</v>
      </c>
    </row>
    <row r="350" spans="1:15" x14ac:dyDescent="0.35">
      <c r="A350" s="27" t="s">
        <v>525</v>
      </c>
      <c r="B350" s="12">
        <v>45762</v>
      </c>
      <c r="C350" s="11" t="s">
        <v>94</v>
      </c>
      <c r="D350" s="11" t="s">
        <v>13</v>
      </c>
      <c r="E350" s="11">
        <v>-13</v>
      </c>
      <c r="F350" s="11">
        <f t="shared" si="11"/>
        <v>-13</v>
      </c>
      <c r="G350" s="11" t="s">
        <v>14</v>
      </c>
      <c r="H350" s="11" t="s">
        <v>95</v>
      </c>
      <c r="I350" s="11" t="s">
        <v>16</v>
      </c>
      <c r="J350" s="11">
        <v>18.5</v>
      </c>
      <c r="K350" s="11">
        <v>31</v>
      </c>
      <c r="L350" s="11"/>
      <c r="M350" s="11">
        <f t="shared" si="10"/>
        <v>240.5</v>
      </c>
      <c r="N350" s="11">
        <f>IF(Table1[[#This Row],[Transaction Type]]="Sale",ABS(E350)*K350,0)</f>
        <v>403</v>
      </c>
      <c r="O350" s="29">
        <f>IF(Table1[[#This Row],[Transaction Type]]="Purchase",E350*J350,0)</f>
        <v>0</v>
      </c>
    </row>
    <row r="351" spans="1:15" x14ac:dyDescent="0.35">
      <c r="A351" s="27" t="s">
        <v>526</v>
      </c>
      <c r="B351" s="12">
        <v>45762</v>
      </c>
      <c r="C351" s="11" t="s">
        <v>141</v>
      </c>
      <c r="D351" s="11" t="s">
        <v>13</v>
      </c>
      <c r="E351" s="11">
        <v>-15</v>
      </c>
      <c r="F351" s="11">
        <f t="shared" si="11"/>
        <v>-15</v>
      </c>
      <c r="G351" s="11" t="s">
        <v>24</v>
      </c>
      <c r="H351" s="11" t="s">
        <v>25</v>
      </c>
      <c r="I351" s="11" t="s">
        <v>26</v>
      </c>
      <c r="J351" s="11">
        <v>4</v>
      </c>
      <c r="K351" s="11">
        <v>9</v>
      </c>
      <c r="L351" s="11"/>
      <c r="M351" s="11">
        <f t="shared" si="10"/>
        <v>60</v>
      </c>
      <c r="N351" s="11">
        <f>IF(Table1[[#This Row],[Transaction Type]]="Sale",ABS(E351)*K351,0)</f>
        <v>135</v>
      </c>
      <c r="O351" s="29">
        <f>IF(Table1[[#This Row],[Transaction Type]]="Purchase",E351*J351,0)</f>
        <v>0</v>
      </c>
    </row>
    <row r="352" spans="1:15" x14ac:dyDescent="0.35">
      <c r="A352" s="27" t="s">
        <v>527</v>
      </c>
      <c r="B352" s="12">
        <v>45762</v>
      </c>
      <c r="C352" s="11" t="s">
        <v>141</v>
      </c>
      <c r="D352" s="11" t="s">
        <v>40</v>
      </c>
      <c r="E352" s="11">
        <v>118</v>
      </c>
      <c r="F352" s="11">
        <f t="shared" si="11"/>
        <v>118</v>
      </c>
      <c r="G352" s="11" t="s">
        <v>19</v>
      </c>
      <c r="H352" s="11" t="s">
        <v>25</v>
      </c>
      <c r="I352" s="11" t="s">
        <v>26</v>
      </c>
      <c r="J352" s="11">
        <v>4</v>
      </c>
      <c r="K352" s="11">
        <v>9</v>
      </c>
      <c r="L352" s="11" t="s">
        <v>528</v>
      </c>
      <c r="M352" s="11">
        <f t="shared" si="10"/>
        <v>472</v>
      </c>
      <c r="N352" s="11">
        <f>IF(Table1[[#This Row],[Transaction Type]]="Sale",ABS(E352)*K352,0)</f>
        <v>0</v>
      </c>
      <c r="O352" s="29">
        <f>IF(Table1[[#This Row],[Transaction Type]]="Purchase",E352*J352,0)</f>
        <v>472</v>
      </c>
    </row>
    <row r="353" spans="1:15" x14ac:dyDescent="0.35">
      <c r="A353" s="27" t="s">
        <v>529</v>
      </c>
      <c r="B353" s="12">
        <v>45763</v>
      </c>
      <c r="C353" s="11" t="s">
        <v>23</v>
      </c>
      <c r="D353" s="11" t="s">
        <v>40</v>
      </c>
      <c r="E353" s="11">
        <v>61</v>
      </c>
      <c r="F353" s="11">
        <f t="shared" si="11"/>
        <v>61</v>
      </c>
      <c r="G353" s="11" t="s">
        <v>14</v>
      </c>
      <c r="H353" s="11" t="s">
        <v>25</v>
      </c>
      <c r="I353" s="11" t="s">
        <v>26</v>
      </c>
      <c r="J353" s="11">
        <v>3</v>
      </c>
      <c r="K353" s="11">
        <v>7</v>
      </c>
      <c r="L353" s="11" t="s">
        <v>530</v>
      </c>
      <c r="M353" s="11">
        <f t="shared" si="10"/>
        <v>183</v>
      </c>
      <c r="N353" s="11">
        <f>IF(Table1[[#This Row],[Transaction Type]]="Sale",ABS(E353)*K353,0)</f>
        <v>0</v>
      </c>
      <c r="O353" s="29">
        <f>IF(Table1[[#This Row],[Transaction Type]]="Purchase",E353*J353,0)</f>
        <v>183</v>
      </c>
    </row>
    <row r="354" spans="1:15" x14ac:dyDescent="0.35">
      <c r="A354" s="27" t="s">
        <v>531</v>
      </c>
      <c r="B354" s="12">
        <v>45763</v>
      </c>
      <c r="C354" s="11" t="s">
        <v>87</v>
      </c>
      <c r="D354" s="11" t="s">
        <v>40</v>
      </c>
      <c r="E354" s="11">
        <v>68</v>
      </c>
      <c r="F354" s="11">
        <f t="shared" si="11"/>
        <v>68</v>
      </c>
      <c r="G354" s="11" t="s">
        <v>19</v>
      </c>
      <c r="H354" s="11" t="s">
        <v>88</v>
      </c>
      <c r="I354" s="11" t="s">
        <v>16</v>
      </c>
      <c r="J354" s="11">
        <v>6</v>
      </c>
      <c r="K354" s="11">
        <v>14</v>
      </c>
      <c r="L354" s="11" t="s">
        <v>532</v>
      </c>
      <c r="M354" s="11">
        <f t="shared" si="10"/>
        <v>408</v>
      </c>
      <c r="N354" s="11">
        <f>IF(Table1[[#This Row],[Transaction Type]]="Sale",ABS(E354)*K354,0)</f>
        <v>0</v>
      </c>
      <c r="O354" s="29">
        <f>IF(Table1[[#This Row],[Transaction Type]]="Purchase",E354*J354,0)</f>
        <v>408</v>
      </c>
    </row>
    <row r="355" spans="1:15" x14ac:dyDescent="0.35">
      <c r="A355" s="27" t="s">
        <v>533</v>
      </c>
      <c r="B355" s="12">
        <v>45763</v>
      </c>
      <c r="C355" s="11" t="s">
        <v>94</v>
      </c>
      <c r="D355" s="11" t="s">
        <v>40</v>
      </c>
      <c r="E355" s="11">
        <v>79</v>
      </c>
      <c r="F355" s="11">
        <f t="shared" si="11"/>
        <v>79</v>
      </c>
      <c r="G355" s="11" t="s">
        <v>14</v>
      </c>
      <c r="H355" s="11" t="s">
        <v>95</v>
      </c>
      <c r="I355" s="11" t="s">
        <v>16</v>
      </c>
      <c r="J355" s="11">
        <v>18.5</v>
      </c>
      <c r="K355" s="11">
        <v>31</v>
      </c>
      <c r="L355" s="11" t="s">
        <v>534</v>
      </c>
      <c r="M355" s="11">
        <f t="shared" si="10"/>
        <v>1461.5</v>
      </c>
      <c r="N355" s="11">
        <f>IF(Table1[[#This Row],[Transaction Type]]="Sale",ABS(E355)*K355,0)</f>
        <v>0</v>
      </c>
      <c r="O355" s="29">
        <f>IF(Table1[[#This Row],[Transaction Type]]="Purchase",E355*J355,0)</f>
        <v>1461.5</v>
      </c>
    </row>
    <row r="356" spans="1:15" x14ac:dyDescent="0.35">
      <c r="A356" s="27" t="s">
        <v>535</v>
      </c>
      <c r="B356" s="12">
        <v>45763</v>
      </c>
      <c r="C356" s="11" t="s">
        <v>32</v>
      </c>
      <c r="D356" s="11" t="s">
        <v>40</v>
      </c>
      <c r="E356" s="11">
        <v>109</v>
      </c>
      <c r="F356" s="11">
        <f t="shared" si="11"/>
        <v>109</v>
      </c>
      <c r="G356" s="11" t="s">
        <v>19</v>
      </c>
      <c r="H356" s="11" t="s">
        <v>33</v>
      </c>
      <c r="I356" s="11" t="s">
        <v>34</v>
      </c>
      <c r="J356" s="11">
        <v>20</v>
      </c>
      <c r="K356" s="11">
        <v>35</v>
      </c>
      <c r="L356" s="11" t="s">
        <v>536</v>
      </c>
      <c r="M356" s="11">
        <f t="shared" si="10"/>
        <v>2180</v>
      </c>
      <c r="N356" s="11">
        <f>IF(Table1[[#This Row],[Transaction Type]]="Sale",ABS(E356)*K356,0)</f>
        <v>0</v>
      </c>
      <c r="O356" s="29">
        <f>IF(Table1[[#This Row],[Transaction Type]]="Purchase",E356*J356,0)</f>
        <v>2180</v>
      </c>
    </row>
    <row r="357" spans="1:15" x14ac:dyDescent="0.35">
      <c r="A357" s="27" t="s">
        <v>537</v>
      </c>
      <c r="B357" s="12">
        <v>45763</v>
      </c>
      <c r="C357" s="11" t="s">
        <v>139</v>
      </c>
      <c r="D357" s="11" t="s">
        <v>13</v>
      </c>
      <c r="E357" s="11">
        <v>-5</v>
      </c>
      <c r="F357" s="11">
        <f t="shared" si="11"/>
        <v>-5</v>
      </c>
      <c r="G357" s="11" t="s">
        <v>14</v>
      </c>
      <c r="H357" s="11" t="s">
        <v>56</v>
      </c>
      <c r="I357" s="11" t="s">
        <v>16</v>
      </c>
      <c r="J357" s="11">
        <v>16.5</v>
      </c>
      <c r="K357" s="11">
        <v>28</v>
      </c>
      <c r="L357" s="11"/>
      <c r="M357" s="11">
        <f t="shared" si="10"/>
        <v>82.5</v>
      </c>
      <c r="N357" s="11">
        <f>IF(Table1[[#This Row],[Transaction Type]]="Sale",ABS(E357)*K357,0)</f>
        <v>140</v>
      </c>
      <c r="O357" s="29">
        <f>IF(Table1[[#This Row],[Transaction Type]]="Purchase",E357*J357,0)</f>
        <v>0</v>
      </c>
    </row>
    <row r="358" spans="1:15" x14ac:dyDescent="0.35">
      <c r="A358" s="27" t="s">
        <v>538</v>
      </c>
      <c r="B358" s="12">
        <v>45764</v>
      </c>
      <c r="C358" s="11" t="s">
        <v>23</v>
      </c>
      <c r="D358" s="11" t="s">
        <v>40</v>
      </c>
      <c r="E358" s="11">
        <v>95</v>
      </c>
      <c r="F358" s="11">
        <f t="shared" si="11"/>
        <v>95</v>
      </c>
      <c r="G358" s="11" t="s">
        <v>24</v>
      </c>
      <c r="H358" s="11" t="s">
        <v>25</v>
      </c>
      <c r="I358" s="11" t="s">
        <v>26</v>
      </c>
      <c r="J358" s="11">
        <v>3</v>
      </c>
      <c r="K358" s="11">
        <v>7</v>
      </c>
      <c r="L358" s="11" t="s">
        <v>539</v>
      </c>
      <c r="M358" s="11">
        <f t="shared" si="10"/>
        <v>285</v>
      </c>
      <c r="N358" s="11">
        <f>IF(Table1[[#This Row],[Transaction Type]]="Sale",ABS(E358)*K358,0)</f>
        <v>0</v>
      </c>
      <c r="O358" s="29">
        <f>IF(Table1[[#This Row],[Transaction Type]]="Purchase",E358*J358,0)</f>
        <v>285</v>
      </c>
    </row>
    <row r="359" spans="1:15" x14ac:dyDescent="0.35">
      <c r="A359" s="27" t="s">
        <v>540</v>
      </c>
      <c r="B359" s="12">
        <v>45764</v>
      </c>
      <c r="C359" s="11" t="s">
        <v>29</v>
      </c>
      <c r="D359" s="11" t="s">
        <v>58</v>
      </c>
      <c r="E359" s="11">
        <v>1</v>
      </c>
      <c r="F359" s="11">
        <f t="shared" si="11"/>
        <v>1</v>
      </c>
      <c r="G359" s="11" t="s">
        <v>24</v>
      </c>
      <c r="H359" s="11" t="s">
        <v>30</v>
      </c>
      <c r="I359" s="11" t="s">
        <v>16</v>
      </c>
      <c r="J359" s="11">
        <v>8.8000000000000007</v>
      </c>
      <c r="K359" s="11">
        <v>17</v>
      </c>
      <c r="L359" s="11"/>
      <c r="M359" s="11">
        <f t="shared" si="10"/>
        <v>8.8000000000000007</v>
      </c>
      <c r="N359" s="11">
        <f>IF(Table1[[#This Row],[Transaction Type]]="Sale",ABS(E359)*K359,0)</f>
        <v>0</v>
      </c>
      <c r="O359" s="29">
        <f>IF(Table1[[#This Row],[Transaction Type]]="Purchase",E359*J359,0)</f>
        <v>0</v>
      </c>
    </row>
    <row r="360" spans="1:15" x14ac:dyDescent="0.35">
      <c r="A360" s="27" t="s">
        <v>541</v>
      </c>
      <c r="B360" s="12">
        <v>45765</v>
      </c>
      <c r="C360" s="11" t="s">
        <v>141</v>
      </c>
      <c r="D360" s="11" t="s">
        <v>40</v>
      </c>
      <c r="E360" s="11">
        <v>114</v>
      </c>
      <c r="F360" s="11">
        <f t="shared" si="11"/>
        <v>114</v>
      </c>
      <c r="G360" s="11" t="s">
        <v>14</v>
      </c>
      <c r="H360" s="11" t="s">
        <v>25</v>
      </c>
      <c r="I360" s="11" t="s">
        <v>26</v>
      </c>
      <c r="J360" s="11">
        <v>4</v>
      </c>
      <c r="K360" s="11">
        <v>9</v>
      </c>
      <c r="L360" s="11" t="s">
        <v>542</v>
      </c>
      <c r="M360" s="11">
        <f t="shared" si="10"/>
        <v>456</v>
      </c>
      <c r="N360" s="11">
        <f>IF(Table1[[#This Row],[Transaction Type]]="Sale",ABS(E360)*K360,0)</f>
        <v>0</v>
      </c>
      <c r="O360" s="29">
        <f>IF(Table1[[#This Row],[Transaction Type]]="Purchase",E360*J360,0)</f>
        <v>456</v>
      </c>
    </row>
    <row r="361" spans="1:15" x14ac:dyDescent="0.35">
      <c r="A361" s="27" t="s">
        <v>543</v>
      </c>
      <c r="B361" s="12">
        <v>45765</v>
      </c>
      <c r="C361" s="11" t="s">
        <v>18</v>
      </c>
      <c r="D361" s="11" t="s">
        <v>13</v>
      </c>
      <c r="E361" s="11">
        <v>-13</v>
      </c>
      <c r="F361" s="11">
        <f t="shared" si="11"/>
        <v>-13</v>
      </c>
      <c r="G361" s="11" t="s">
        <v>14</v>
      </c>
      <c r="H361" s="11" t="s">
        <v>20</v>
      </c>
      <c r="I361" s="11" t="s">
        <v>21</v>
      </c>
      <c r="J361" s="11">
        <v>2.6</v>
      </c>
      <c r="K361" s="11">
        <v>5.5</v>
      </c>
      <c r="L361" s="11"/>
      <c r="M361" s="11">
        <f t="shared" si="10"/>
        <v>33.800000000000004</v>
      </c>
      <c r="N361" s="11">
        <f>IF(Table1[[#This Row],[Transaction Type]]="Sale",ABS(E361)*K361,0)</f>
        <v>71.5</v>
      </c>
      <c r="O361" s="29">
        <f>IF(Table1[[#This Row],[Transaction Type]]="Purchase",E361*J361,0)</f>
        <v>0</v>
      </c>
    </row>
    <row r="362" spans="1:15" x14ac:dyDescent="0.35">
      <c r="A362" s="27" t="s">
        <v>544</v>
      </c>
      <c r="B362" s="12">
        <v>45765</v>
      </c>
      <c r="C362" s="11" t="s">
        <v>32</v>
      </c>
      <c r="D362" s="11" t="s">
        <v>13</v>
      </c>
      <c r="E362" s="11">
        <v>-10</v>
      </c>
      <c r="F362" s="11">
        <f t="shared" si="11"/>
        <v>-10</v>
      </c>
      <c r="G362" s="11" t="s">
        <v>24</v>
      </c>
      <c r="H362" s="11" t="s">
        <v>33</v>
      </c>
      <c r="I362" s="11" t="s">
        <v>34</v>
      </c>
      <c r="J362" s="11">
        <v>20</v>
      </c>
      <c r="K362" s="11">
        <v>35</v>
      </c>
      <c r="L362" s="11"/>
      <c r="M362" s="11">
        <f t="shared" si="10"/>
        <v>200</v>
      </c>
      <c r="N362" s="11">
        <f>IF(Table1[[#This Row],[Transaction Type]]="Sale",ABS(E362)*K362,0)</f>
        <v>350</v>
      </c>
      <c r="O362" s="29">
        <f>IF(Table1[[#This Row],[Transaction Type]]="Purchase",E362*J362,0)</f>
        <v>0</v>
      </c>
    </row>
    <row r="363" spans="1:15" x14ac:dyDescent="0.35">
      <c r="A363" s="27" t="s">
        <v>545</v>
      </c>
      <c r="B363" s="12">
        <v>45766</v>
      </c>
      <c r="C363" s="11" t="s">
        <v>55</v>
      </c>
      <c r="D363" s="11" t="s">
        <v>13</v>
      </c>
      <c r="E363" s="11">
        <v>-2</v>
      </c>
      <c r="F363" s="11">
        <f t="shared" si="11"/>
        <v>-2</v>
      </c>
      <c r="G363" s="11" t="s">
        <v>14</v>
      </c>
      <c r="H363" s="11" t="s">
        <v>56</v>
      </c>
      <c r="I363" s="11" t="s">
        <v>16</v>
      </c>
      <c r="J363" s="11">
        <v>4.2</v>
      </c>
      <c r="K363" s="11">
        <v>10</v>
      </c>
      <c r="L363" s="11"/>
      <c r="M363" s="11">
        <f t="shared" si="10"/>
        <v>8.4</v>
      </c>
      <c r="N363" s="11">
        <f>IF(Table1[[#This Row],[Transaction Type]]="Sale",ABS(E363)*K363,0)</f>
        <v>20</v>
      </c>
      <c r="O363" s="29">
        <f>IF(Table1[[#This Row],[Transaction Type]]="Purchase",E363*J363,0)</f>
        <v>0</v>
      </c>
    </row>
    <row r="364" spans="1:15" x14ac:dyDescent="0.35">
      <c r="A364" s="27" t="s">
        <v>546</v>
      </c>
      <c r="B364" s="12">
        <v>45766</v>
      </c>
      <c r="C364" s="11" t="s">
        <v>350</v>
      </c>
      <c r="D364" s="11" t="s">
        <v>40</v>
      </c>
      <c r="E364" s="11">
        <v>86</v>
      </c>
      <c r="F364" s="11">
        <f t="shared" si="11"/>
        <v>86</v>
      </c>
      <c r="G364" s="11" t="s">
        <v>14</v>
      </c>
      <c r="H364" s="11" t="s">
        <v>74</v>
      </c>
      <c r="I364" s="11" t="s">
        <v>75</v>
      </c>
      <c r="J364" s="11">
        <v>145</v>
      </c>
      <c r="K364" s="11">
        <v>210</v>
      </c>
      <c r="L364" s="11" t="s">
        <v>547</v>
      </c>
      <c r="M364" s="11">
        <f t="shared" si="10"/>
        <v>12470</v>
      </c>
      <c r="N364" s="11">
        <f>IF(Table1[[#This Row],[Transaction Type]]="Sale",ABS(E364)*K364,0)</f>
        <v>0</v>
      </c>
      <c r="O364" s="29">
        <f>IF(Table1[[#This Row],[Transaction Type]]="Purchase",E364*J364,0)</f>
        <v>12470</v>
      </c>
    </row>
    <row r="365" spans="1:15" x14ac:dyDescent="0.35">
      <c r="A365" s="27" t="s">
        <v>548</v>
      </c>
      <c r="B365" s="12">
        <v>45766</v>
      </c>
      <c r="C365" s="11" t="s">
        <v>52</v>
      </c>
      <c r="D365" s="11" t="s">
        <v>13</v>
      </c>
      <c r="E365" s="11">
        <v>-5</v>
      </c>
      <c r="F365" s="11">
        <f t="shared" si="11"/>
        <v>-5</v>
      </c>
      <c r="G365" s="11" t="s">
        <v>14</v>
      </c>
      <c r="H365" s="11" t="s">
        <v>20</v>
      </c>
      <c r="I365" s="11" t="s">
        <v>21</v>
      </c>
      <c r="J365" s="11">
        <v>5.5</v>
      </c>
      <c r="K365" s="11">
        <v>12</v>
      </c>
      <c r="L365" s="11"/>
      <c r="M365" s="11">
        <f t="shared" si="10"/>
        <v>27.5</v>
      </c>
      <c r="N365" s="11">
        <f>IF(Table1[[#This Row],[Transaction Type]]="Sale",ABS(E365)*K365,0)</f>
        <v>60</v>
      </c>
      <c r="O365" s="29">
        <f>IF(Table1[[#This Row],[Transaction Type]]="Purchase",E365*J365,0)</f>
        <v>0</v>
      </c>
    </row>
    <row r="366" spans="1:15" x14ac:dyDescent="0.35">
      <c r="A366" s="27" t="s">
        <v>549</v>
      </c>
      <c r="B366" s="12">
        <v>45766</v>
      </c>
      <c r="C366" s="11" t="s">
        <v>52</v>
      </c>
      <c r="D366" s="11" t="s">
        <v>13</v>
      </c>
      <c r="E366" s="11">
        <v>-13</v>
      </c>
      <c r="F366" s="11">
        <f t="shared" si="11"/>
        <v>-13</v>
      </c>
      <c r="G366" s="11" t="s">
        <v>14</v>
      </c>
      <c r="H366" s="11" t="s">
        <v>20</v>
      </c>
      <c r="I366" s="11" t="s">
        <v>21</v>
      </c>
      <c r="J366" s="11">
        <v>5.5</v>
      </c>
      <c r="K366" s="11">
        <v>12</v>
      </c>
      <c r="L366" s="11"/>
      <c r="M366" s="11">
        <f t="shared" si="10"/>
        <v>71.5</v>
      </c>
      <c r="N366" s="11">
        <f>IF(Table1[[#This Row],[Transaction Type]]="Sale",ABS(E366)*K366,0)</f>
        <v>156</v>
      </c>
      <c r="O366" s="29">
        <f>IF(Table1[[#This Row],[Transaction Type]]="Purchase",E366*J366,0)</f>
        <v>0</v>
      </c>
    </row>
    <row r="367" spans="1:15" x14ac:dyDescent="0.35">
      <c r="A367" s="27" t="s">
        <v>550</v>
      </c>
      <c r="B367" s="12">
        <v>45766</v>
      </c>
      <c r="C367" s="11" t="s">
        <v>81</v>
      </c>
      <c r="D367" s="11" t="s">
        <v>13</v>
      </c>
      <c r="E367" s="11">
        <v>-3</v>
      </c>
      <c r="F367" s="11">
        <f t="shared" si="11"/>
        <v>-3</v>
      </c>
      <c r="G367" s="11" t="s">
        <v>19</v>
      </c>
      <c r="H367" s="11" t="s">
        <v>30</v>
      </c>
      <c r="I367" s="11" t="s">
        <v>16</v>
      </c>
      <c r="J367" s="11">
        <v>8</v>
      </c>
      <c r="K367" s="11">
        <v>15</v>
      </c>
      <c r="L367" s="11"/>
      <c r="M367" s="11">
        <f t="shared" si="10"/>
        <v>24</v>
      </c>
      <c r="N367" s="11">
        <f>IF(Table1[[#This Row],[Transaction Type]]="Sale",ABS(E367)*K367,0)</f>
        <v>45</v>
      </c>
      <c r="O367" s="29">
        <f>IF(Table1[[#This Row],[Transaction Type]]="Purchase",E367*J367,0)</f>
        <v>0</v>
      </c>
    </row>
    <row r="368" spans="1:15" x14ac:dyDescent="0.35">
      <c r="A368" s="27" t="s">
        <v>551</v>
      </c>
      <c r="B368" s="12">
        <v>45767</v>
      </c>
      <c r="C368" s="11" t="s">
        <v>227</v>
      </c>
      <c r="D368" s="11" t="s">
        <v>40</v>
      </c>
      <c r="E368" s="11">
        <v>78</v>
      </c>
      <c r="F368" s="11">
        <f t="shared" si="11"/>
        <v>78</v>
      </c>
      <c r="G368" s="11" t="s">
        <v>24</v>
      </c>
      <c r="H368" s="11" t="s">
        <v>228</v>
      </c>
      <c r="I368" s="11" t="s">
        <v>16</v>
      </c>
      <c r="J368" s="11">
        <v>78</v>
      </c>
      <c r="K368" s="11">
        <v>125</v>
      </c>
      <c r="L368" s="11" t="s">
        <v>552</v>
      </c>
      <c r="M368" s="11">
        <f t="shared" si="10"/>
        <v>6084</v>
      </c>
      <c r="N368" s="11">
        <f>IF(Table1[[#This Row],[Transaction Type]]="Sale",ABS(E368)*K368,0)</f>
        <v>0</v>
      </c>
      <c r="O368" s="29">
        <f>IF(Table1[[#This Row],[Transaction Type]]="Purchase",E368*J368,0)</f>
        <v>6084</v>
      </c>
    </row>
    <row r="369" spans="1:15" x14ac:dyDescent="0.35">
      <c r="A369" s="27" t="s">
        <v>553</v>
      </c>
      <c r="B369" s="12">
        <v>45767</v>
      </c>
      <c r="C369" s="11" t="s">
        <v>36</v>
      </c>
      <c r="D369" s="11" t="s">
        <v>13</v>
      </c>
      <c r="E369" s="11">
        <v>-3</v>
      </c>
      <c r="F369" s="11">
        <f t="shared" si="11"/>
        <v>-3</v>
      </c>
      <c r="G369" s="11" t="s">
        <v>14</v>
      </c>
      <c r="H369" s="11" t="s">
        <v>37</v>
      </c>
      <c r="I369" s="11" t="s">
        <v>16</v>
      </c>
      <c r="J369" s="11">
        <v>7.2</v>
      </c>
      <c r="K369" s="11">
        <v>12.5</v>
      </c>
      <c r="L369" s="11"/>
      <c r="M369" s="11">
        <f t="shared" si="10"/>
        <v>21.6</v>
      </c>
      <c r="N369" s="11">
        <f>IF(Table1[[#This Row],[Transaction Type]]="Sale",ABS(E369)*K369,0)</f>
        <v>37.5</v>
      </c>
      <c r="O369" s="29">
        <f>IF(Table1[[#This Row],[Transaction Type]]="Purchase",E369*J369,0)</f>
        <v>0</v>
      </c>
    </row>
    <row r="370" spans="1:15" x14ac:dyDescent="0.35">
      <c r="A370" s="27" t="s">
        <v>554</v>
      </c>
      <c r="B370" s="12">
        <v>45768</v>
      </c>
      <c r="C370" s="11" t="s">
        <v>109</v>
      </c>
      <c r="D370" s="11" t="s">
        <v>13</v>
      </c>
      <c r="E370" s="11">
        <v>-3</v>
      </c>
      <c r="F370" s="11">
        <f t="shared" si="11"/>
        <v>-3</v>
      </c>
      <c r="G370" s="11" t="s">
        <v>14</v>
      </c>
      <c r="H370" s="11" t="s">
        <v>110</v>
      </c>
      <c r="I370" s="11" t="s">
        <v>26</v>
      </c>
      <c r="J370" s="11">
        <v>105</v>
      </c>
      <c r="K370" s="11">
        <v>165</v>
      </c>
      <c r="L370" s="11"/>
      <c r="M370" s="11">
        <f t="shared" si="10"/>
        <v>315</v>
      </c>
      <c r="N370" s="11">
        <f>IF(Table1[[#This Row],[Transaction Type]]="Sale",ABS(E370)*K370,0)</f>
        <v>495</v>
      </c>
      <c r="O370" s="29">
        <f>IF(Table1[[#This Row],[Transaction Type]]="Purchase",E370*J370,0)</f>
        <v>0</v>
      </c>
    </row>
    <row r="371" spans="1:15" x14ac:dyDescent="0.35">
      <c r="A371" s="27" t="s">
        <v>555</v>
      </c>
      <c r="B371" s="12">
        <v>45769</v>
      </c>
      <c r="C371" s="11" t="s">
        <v>350</v>
      </c>
      <c r="D371" s="11" t="s">
        <v>66</v>
      </c>
      <c r="E371" s="11">
        <v>3</v>
      </c>
      <c r="F371" s="11">
        <f t="shared" si="11"/>
        <v>3</v>
      </c>
      <c r="G371" s="11" t="s">
        <v>14</v>
      </c>
      <c r="H371" s="11" t="s">
        <v>74</v>
      </c>
      <c r="I371" s="11" t="s">
        <v>75</v>
      </c>
      <c r="J371" s="11">
        <v>145</v>
      </c>
      <c r="K371" s="11">
        <v>210</v>
      </c>
      <c r="L371" s="11"/>
      <c r="M371" s="11">
        <f t="shared" si="10"/>
        <v>435</v>
      </c>
      <c r="N371" s="11">
        <f>IF(Table1[[#This Row],[Transaction Type]]="Sale",ABS(E371)*K371,0)</f>
        <v>0</v>
      </c>
      <c r="O371" s="29">
        <f>IF(Table1[[#This Row],[Transaction Type]]="Purchase",E371*J371,0)</f>
        <v>0</v>
      </c>
    </row>
    <row r="372" spans="1:15" x14ac:dyDescent="0.35">
      <c r="A372" s="27" t="s">
        <v>556</v>
      </c>
      <c r="B372" s="12">
        <v>45769</v>
      </c>
      <c r="C372" s="11" t="s">
        <v>23</v>
      </c>
      <c r="D372" s="11" t="s">
        <v>13</v>
      </c>
      <c r="E372" s="11">
        <v>-1</v>
      </c>
      <c r="F372" s="11">
        <f t="shared" si="11"/>
        <v>-1</v>
      </c>
      <c r="G372" s="11" t="s">
        <v>14</v>
      </c>
      <c r="H372" s="11" t="s">
        <v>25</v>
      </c>
      <c r="I372" s="11" t="s">
        <v>26</v>
      </c>
      <c r="J372" s="11">
        <v>3</v>
      </c>
      <c r="K372" s="11">
        <v>7</v>
      </c>
      <c r="L372" s="11"/>
      <c r="M372" s="11">
        <f t="shared" si="10"/>
        <v>3</v>
      </c>
      <c r="N372" s="11">
        <f>IF(Table1[[#This Row],[Transaction Type]]="Sale",ABS(E372)*K372,0)</f>
        <v>7</v>
      </c>
      <c r="O372" s="29">
        <f>IF(Table1[[#This Row],[Transaction Type]]="Purchase",E372*J372,0)</f>
        <v>0</v>
      </c>
    </row>
    <row r="373" spans="1:15" x14ac:dyDescent="0.35">
      <c r="A373" s="27" t="s">
        <v>557</v>
      </c>
      <c r="B373" s="12">
        <v>45769</v>
      </c>
      <c r="C373" s="11" t="s">
        <v>194</v>
      </c>
      <c r="D373" s="11" t="s">
        <v>13</v>
      </c>
      <c r="E373" s="11">
        <v>-10</v>
      </c>
      <c r="F373" s="11">
        <f t="shared" si="11"/>
        <v>-10</v>
      </c>
      <c r="G373" s="11" t="s">
        <v>24</v>
      </c>
      <c r="H373" s="11" t="s">
        <v>195</v>
      </c>
      <c r="I373" s="11" t="s">
        <v>21</v>
      </c>
      <c r="J373" s="11">
        <v>220</v>
      </c>
      <c r="K373" s="11">
        <v>320</v>
      </c>
      <c r="L373" s="11"/>
      <c r="M373" s="11">
        <f t="shared" si="10"/>
        <v>2200</v>
      </c>
      <c r="N373" s="11">
        <f>IF(Table1[[#This Row],[Transaction Type]]="Sale",ABS(E373)*K373,0)</f>
        <v>3200</v>
      </c>
      <c r="O373" s="29">
        <f>IF(Table1[[#This Row],[Transaction Type]]="Purchase",E373*J373,0)</f>
        <v>0</v>
      </c>
    </row>
    <row r="374" spans="1:15" x14ac:dyDescent="0.35">
      <c r="A374" s="27" t="s">
        <v>558</v>
      </c>
      <c r="B374" s="12">
        <v>45769</v>
      </c>
      <c r="C374" s="11" t="s">
        <v>87</v>
      </c>
      <c r="D374" s="11" t="s">
        <v>40</v>
      </c>
      <c r="E374" s="11">
        <v>82</v>
      </c>
      <c r="F374" s="11">
        <f t="shared" si="11"/>
        <v>82</v>
      </c>
      <c r="G374" s="11" t="s">
        <v>14</v>
      </c>
      <c r="H374" s="11" t="s">
        <v>88</v>
      </c>
      <c r="I374" s="11" t="s">
        <v>16</v>
      </c>
      <c r="J374" s="11">
        <v>6</v>
      </c>
      <c r="K374" s="11">
        <v>14</v>
      </c>
      <c r="L374" s="11" t="s">
        <v>559</v>
      </c>
      <c r="M374" s="11">
        <f t="shared" si="10"/>
        <v>492</v>
      </c>
      <c r="N374" s="11">
        <f>IF(Table1[[#This Row],[Transaction Type]]="Sale",ABS(E374)*K374,0)</f>
        <v>0</v>
      </c>
      <c r="O374" s="29">
        <f>IF(Table1[[#This Row],[Transaction Type]]="Purchase",E374*J374,0)</f>
        <v>492</v>
      </c>
    </row>
    <row r="375" spans="1:15" x14ac:dyDescent="0.35">
      <c r="A375" s="27" t="s">
        <v>560</v>
      </c>
      <c r="B375" s="12">
        <v>45769</v>
      </c>
      <c r="C375" s="11" t="s">
        <v>18</v>
      </c>
      <c r="D375" s="11" t="s">
        <v>40</v>
      </c>
      <c r="E375" s="11">
        <v>32</v>
      </c>
      <c r="F375" s="11">
        <f t="shared" si="11"/>
        <v>32</v>
      </c>
      <c r="G375" s="11" t="s">
        <v>24</v>
      </c>
      <c r="H375" s="11" t="s">
        <v>20</v>
      </c>
      <c r="I375" s="11" t="s">
        <v>21</v>
      </c>
      <c r="J375" s="11">
        <v>2.6</v>
      </c>
      <c r="K375" s="11">
        <v>5.5</v>
      </c>
      <c r="L375" s="11" t="s">
        <v>561</v>
      </c>
      <c r="M375" s="11">
        <f t="shared" si="10"/>
        <v>83.2</v>
      </c>
      <c r="N375" s="11">
        <f>IF(Table1[[#This Row],[Transaction Type]]="Sale",ABS(E375)*K375,0)</f>
        <v>0</v>
      </c>
      <c r="O375" s="29">
        <f>IF(Table1[[#This Row],[Transaction Type]]="Purchase",E375*J375,0)</f>
        <v>83.2</v>
      </c>
    </row>
    <row r="376" spans="1:15" x14ac:dyDescent="0.35">
      <c r="A376" s="27" t="s">
        <v>562</v>
      </c>
      <c r="B376" s="12">
        <v>45769</v>
      </c>
      <c r="C376" s="11" t="s">
        <v>139</v>
      </c>
      <c r="D376" s="11" t="s">
        <v>13</v>
      </c>
      <c r="E376" s="11">
        <v>-7</v>
      </c>
      <c r="F376" s="11">
        <f t="shared" si="11"/>
        <v>-7</v>
      </c>
      <c r="G376" s="11" t="s">
        <v>24</v>
      </c>
      <c r="H376" s="11" t="s">
        <v>56</v>
      </c>
      <c r="I376" s="11" t="s">
        <v>16</v>
      </c>
      <c r="J376" s="11">
        <v>16.5</v>
      </c>
      <c r="K376" s="11">
        <v>28</v>
      </c>
      <c r="L376" s="11"/>
      <c r="M376" s="11">
        <f t="shared" si="10"/>
        <v>115.5</v>
      </c>
      <c r="N376" s="11">
        <f>IF(Table1[[#This Row],[Transaction Type]]="Sale",ABS(E376)*K376,0)</f>
        <v>196</v>
      </c>
      <c r="O376" s="29">
        <f>IF(Table1[[#This Row],[Transaction Type]]="Purchase",E376*J376,0)</f>
        <v>0</v>
      </c>
    </row>
    <row r="377" spans="1:15" x14ac:dyDescent="0.35">
      <c r="A377" s="27" t="s">
        <v>563</v>
      </c>
      <c r="B377" s="12">
        <v>45770</v>
      </c>
      <c r="C377" s="11" t="s">
        <v>350</v>
      </c>
      <c r="D377" s="11" t="s">
        <v>40</v>
      </c>
      <c r="E377" s="11">
        <v>22</v>
      </c>
      <c r="F377" s="11">
        <f t="shared" si="11"/>
        <v>22</v>
      </c>
      <c r="G377" s="11" t="s">
        <v>19</v>
      </c>
      <c r="H377" s="11" t="s">
        <v>74</v>
      </c>
      <c r="I377" s="11" t="s">
        <v>75</v>
      </c>
      <c r="J377" s="11">
        <v>145</v>
      </c>
      <c r="K377" s="11">
        <v>210</v>
      </c>
      <c r="L377" s="11" t="s">
        <v>564</v>
      </c>
      <c r="M377" s="11">
        <f t="shared" si="10"/>
        <v>3190</v>
      </c>
      <c r="N377" s="11">
        <f>IF(Table1[[#This Row],[Transaction Type]]="Sale",ABS(E377)*K377,0)</f>
        <v>0</v>
      </c>
      <c r="O377" s="29">
        <f>IF(Table1[[#This Row],[Transaction Type]]="Purchase",E377*J377,0)</f>
        <v>3190</v>
      </c>
    </row>
    <row r="378" spans="1:15" x14ac:dyDescent="0.35">
      <c r="A378" s="27" t="s">
        <v>565</v>
      </c>
      <c r="B378" s="12">
        <v>45770</v>
      </c>
      <c r="C378" s="11" t="s">
        <v>81</v>
      </c>
      <c r="D378" s="11" t="s">
        <v>13</v>
      </c>
      <c r="E378" s="11">
        <v>-4</v>
      </c>
      <c r="F378" s="11">
        <f t="shared" si="11"/>
        <v>-4</v>
      </c>
      <c r="G378" s="11" t="s">
        <v>19</v>
      </c>
      <c r="H378" s="11" t="s">
        <v>30</v>
      </c>
      <c r="I378" s="11" t="s">
        <v>16</v>
      </c>
      <c r="J378" s="11">
        <v>8</v>
      </c>
      <c r="K378" s="11">
        <v>15</v>
      </c>
      <c r="L378" s="11"/>
      <c r="M378" s="11">
        <f t="shared" si="10"/>
        <v>32</v>
      </c>
      <c r="N378" s="11">
        <f>IF(Table1[[#This Row],[Transaction Type]]="Sale",ABS(E378)*K378,0)</f>
        <v>60</v>
      </c>
      <c r="O378" s="29">
        <f>IF(Table1[[#This Row],[Transaction Type]]="Purchase",E378*J378,0)</f>
        <v>0</v>
      </c>
    </row>
    <row r="379" spans="1:15" x14ac:dyDescent="0.35">
      <c r="A379" s="27" t="s">
        <v>566</v>
      </c>
      <c r="B379" s="12">
        <v>45771</v>
      </c>
      <c r="C379" s="11" t="s">
        <v>227</v>
      </c>
      <c r="D379" s="11" t="s">
        <v>13</v>
      </c>
      <c r="E379" s="11">
        <v>-12</v>
      </c>
      <c r="F379" s="11">
        <f t="shared" si="11"/>
        <v>-12</v>
      </c>
      <c r="G379" s="11" t="s">
        <v>14</v>
      </c>
      <c r="H379" s="11" t="s">
        <v>228</v>
      </c>
      <c r="I379" s="11" t="s">
        <v>16</v>
      </c>
      <c r="J379" s="11">
        <v>78</v>
      </c>
      <c r="K379" s="11">
        <v>125</v>
      </c>
      <c r="L379" s="11"/>
      <c r="M379" s="11">
        <f t="shared" si="10"/>
        <v>936</v>
      </c>
      <c r="N379" s="11">
        <f>IF(Table1[[#This Row],[Transaction Type]]="Sale",ABS(E379)*K379,0)</f>
        <v>1500</v>
      </c>
      <c r="O379" s="29">
        <f>IF(Table1[[#This Row],[Transaction Type]]="Purchase",E379*J379,0)</f>
        <v>0</v>
      </c>
    </row>
    <row r="380" spans="1:15" x14ac:dyDescent="0.35">
      <c r="A380" s="27" t="s">
        <v>567</v>
      </c>
      <c r="B380" s="12">
        <v>45771</v>
      </c>
      <c r="C380" s="11" t="s">
        <v>23</v>
      </c>
      <c r="D380" s="11" t="s">
        <v>40</v>
      </c>
      <c r="E380" s="11">
        <v>83</v>
      </c>
      <c r="F380" s="11">
        <f t="shared" si="11"/>
        <v>83</v>
      </c>
      <c r="G380" s="11" t="s">
        <v>14</v>
      </c>
      <c r="H380" s="11" t="s">
        <v>25</v>
      </c>
      <c r="I380" s="11" t="s">
        <v>26</v>
      </c>
      <c r="J380" s="11">
        <v>3</v>
      </c>
      <c r="K380" s="11">
        <v>7</v>
      </c>
      <c r="L380" s="11" t="s">
        <v>568</v>
      </c>
      <c r="M380" s="11">
        <f t="shared" si="10"/>
        <v>249</v>
      </c>
      <c r="N380" s="11">
        <f>IF(Table1[[#This Row],[Transaction Type]]="Sale",ABS(E380)*K380,0)</f>
        <v>0</v>
      </c>
      <c r="O380" s="29">
        <f>IF(Table1[[#This Row],[Transaction Type]]="Purchase",E380*J380,0)</f>
        <v>249</v>
      </c>
    </row>
    <row r="381" spans="1:15" x14ac:dyDescent="0.35">
      <c r="A381" s="27" t="s">
        <v>569</v>
      </c>
      <c r="B381" s="12">
        <v>45771</v>
      </c>
      <c r="C381" s="11" t="s">
        <v>18</v>
      </c>
      <c r="D381" s="11" t="s">
        <v>40</v>
      </c>
      <c r="E381" s="11">
        <v>72</v>
      </c>
      <c r="F381" s="11">
        <f t="shared" si="11"/>
        <v>72</v>
      </c>
      <c r="G381" s="11" t="s">
        <v>2522</v>
      </c>
      <c r="H381" s="11" t="s">
        <v>20</v>
      </c>
      <c r="I381" s="11" t="s">
        <v>21</v>
      </c>
      <c r="J381" s="11">
        <v>2.6</v>
      </c>
      <c r="K381" s="11">
        <v>5.5</v>
      </c>
      <c r="L381" s="11" t="s">
        <v>570</v>
      </c>
      <c r="M381" s="11">
        <f t="shared" si="10"/>
        <v>187.20000000000002</v>
      </c>
      <c r="N381" s="11">
        <f>IF(Table1[[#This Row],[Transaction Type]]="Sale",ABS(E381)*K381,0)</f>
        <v>0</v>
      </c>
      <c r="O381" s="29">
        <f>IF(Table1[[#This Row],[Transaction Type]]="Purchase",E381*J381,0)</f>
        <v>187.20000000000002</v>
      </c>
    </row>
    <row r="382" spans="1:15" x14ac:dyDescent="0.35">
      <c r="A382" s="27" t="s">
        <v>571</v>
      </c>
      <c r="B382" s="12">
        <v>45771</v>
      </c>
      <c r="C382" s="11" t="s">
        <v>77</v>
      </c>
      <c r="D382" s="11" t="s">
        <v>40</v>
      </c>
      <c r="E382" s="11">
        <v>55</v>
      </c>
      <c r="F382" s="11">
        <f t="shared" si="11"/>
        <v>55</v>
      </c>
      <c r="G382" s="11" t="s">
        <v>14</v>
      </c>
      <c r="H382" s="11" t="s">
        <v>78</v>
      </c>
      <c r="I382" s="11" t="s">
        <v>16</v>
      </c>
      <c r="J382" s="11">
        <v>25</v>
      </c>
      <c r="K382" s="11">
        <v>42</v>
      </c>
      <c r="L382" s="11" t="s">
        <v>572</v>
      </c>
      <c r="M382" s="11">
        <f t="shared" si="10"/>
        <v>1375</v>
      </c>
      <c r="N382" s="11">
        <f>IF(Table1[[#This Row],[Transaction Type]]="Sale",ABS(E382)*K382,0)</f>
        <v>0</v>
      </c>
      <c r="O382" s="29">
        <f>IF(Table1[[#This Row],[Transaction Type]]="Purchase",E382*J382,0)</f>
        <v>1375</v>
      </c>
    </row>
    <row r="383" spans="1:15" x14ac:dyDescent="0.35">
      <c r="A383" s="27" t="s">
        <v>573</v>
      </c>
      <c r="B383" s="12">
        <v>45771</v>
      </c>
      <c r="C383" s="11" t="s">
        <v>23</v>
      </c>
      <c r="D383" s="11" t="s">
        <v>13</v>
      </c>
      <c r="E383" s="11">
        <v>-13</v>
      </c>
      <c r="F383" s="11">
        <f t="shared" si="11"/>
        <v>-13</v>
      </c>
      <c r="G383" s="11" t="s">
        <v>19</v>
      </c>
      <c r="H383" s="11" t="s">
        <v>25</v>
      </c>
      <c r="I383" s="11" t="s">
        <v>26</v>
      </c>
      <c r="J383" s="11">
        <v>3</v>
      </c>
      <c r="K383" s="11">
        <v>7</v>
      </c>
      <c r="L383" s="11"/>
      <c r="M383" s="11">
        <f t="shared" si="10"/>
        <v>39</v>
      </c>
      <c r="N383" s="11">
        <f>IF(Table1[[#This Row],[Transaction Type]]="Sale",ABS(E383)*K383,0)</f>
        <v>91</v>
      </c>
      <c r="O383" s="29">
        <f>IF(Table1[[#This Row],[Transaction Type]]="Purchase",E383*J383,0)</f>
        <v>0</v>
      </c>
    </row>
    <row r="384" spans="1:15" x14ac:dyDescent="0.35">
      <c r="A384" s="27" t="s">
        <v>574</v>
      </c>
      <c r="B384" s="12">
        <v>45771</v>
      </c>
      <c r="C384" s="11" t="s">
        <v>32</v>
      </c>
      <c r="D384" s="11" t="s">
        <v>40</v>
      </c>
      <c r="E384" s="11">
        <v>47</v>
      </c>
      <c r="F384" s="11">
        <f t="shared" si="11"/>
        <v>47</v>
      </c>
      <c r="G384" s="11" t="s">
        <v>24</v>
      </c>
      <c r="H384" s="11" t="s">
        <v>33</v>
      </c>
      <c r="I384" s="11" t="s">
        <v>34</v>
      </c>
      <c r="J384" s="11">
        <v>20</v>
      </c>
      <c r="K384" s="11">
        <v>35</v>
      </c>
      <c r="L384" s="11" t="s">
        <v>575</v>
      </c>
      <c r="M384" s="11">
        <f t="shared" si="10"/>
        <v>940</v>
      </c>
      <c r="N384" s="11">
        <f>IF(Table1[[#This Row],[Transaction Type]]="Sale",ABS(E384)*K384,0)</f>
        <v>0</v>
      </c>
      <c r="O384" s="29">
        <f>IF(Table1[[#This Row],[Transaction Type]]="Purchase",E384*J384,0)</f>
        <v>940</v>
      </c>
    </row>
    <row r="385" spans="1:15" x14ac:dyDescent="0.35">
      <c r="A385" s="27" t="s">
        <v>576</v>
      </c>
      <c r="B385" s="12">
        <v>45771</v>
      </c>
      <c r="C385" s="11" t="s">
        <v>109</v>
      </c>
      <c r="D385" s="11" t="s">
        <v>13</v>
      </c>
      <c r="E385" s="11">
        <v>-13</v>
      </c>
      <c r="F385" s="11">
        <f t="shared" si="11"/>
        <v>-13</v>
      </c>
      <c r="G385" s="11" t="s">
        <v>24</v>
      </c>
      <c r="H385" s="11" t="s">
        <v>110</v>
      </c>
      <c r="I385" s="11" t="s">
        <v>26</v>
      </c>
      <c r="J385" s="11">
        <v>105</v>
      </c>
      <c r="K385" s="11">
        <v>165</v>
      </c>
      <c r="L385" s="11"/>
      <c r="M385" s="11">
        <f t="shared" si="10"/>
        <v>1365</v>
      </c>
      <c r="N385" s="11">
        <f>IF(Table1[[#This Row],[Transaction Type]]="Sale",ABS(E385)*K385,0)</f>
        <v>2145</v>
      </c>
      <c r="O385" s="29">
        <f>IF(Table1[[#This Row],[Transaction Type]]="Purchase",E385*J385,0)</f>
        <v>0</v>
      </c>
    </row>
    <row r="386" spans="1:15" x14ac:dyDescent="0.35">
      <c r="A386" s="27" t="s">
        <v>577</v>
      </c>
      <c r="B386" s="12">
        <v>45772</v>
      </c>
      <c r="C386" s="11" t="s">
        <v>69</v>
      </c>
      <c r="D386" s="11" t="s">
        <v>40</v>
      </c>
      <c r="E386" s="11">
        <v>77</v>
      </c>
      <c r="F386" s="11">
        <f t="shared" si="11"/>
        <v>77</v>
      </c>
      <c r="G386" s="11" t="s">
        <v>14</v>
      </c>
      <c r="H386" s="11" t="s">
        <v>70</v>
      </c>
      <c r="I386" s="11" t="s">
        <v>16</v>
      </c>
      <c r="J386" s="11">
        <v>23</v>
      </c>
      <c r="K386" s="11">
        <v>38</v>
      </c>
      <c r="L386" s="11" t="s">
        <v>578</v>
      </c>
      <c r="M386" s="11">
        <f t="shared" ref="M386:M449" si="12">ABS(E386)*J386</f>
        <v>1771</v>
      </c>
      <c r="N386" s="11">
        <f>IF(Table1[[#This Row],[Transaction Type]]="Sale",ABS(E386)*K386,0)</f>
        <v>0</v>
      </c>
      <c r="O386" s="29">
        <f>IF(Table1[[#This Row],[Transaction Type]]="Purchase",E386*J386,0)</f>
        <v>1771</v>
      </c>
    </row>
    <row r="387" spans="1:15" x14ac:dyDescent="0.35">
      <c r="A387" s="27" t="s">
        <v>579</v>
      </c>
      <c r="B387" s="12">
        <v>45772</v>
      </c>
      <c r="C387" s="11" t="s">
        <v>52</v>
      </c>
      <c r="D387" s="11" t="s">
        <v>13</v>
      </c>
      <c r="E387" s="11">
        <v>-11</v>
      </c>
      <c r="F387" s="11">
        <f t="shared" ref="F387:F450" si="13">E387</f>
        <v>-11</v>
      </c>
      <c r="G387" s="11" t="s">
        <v>14</v>
      </c>
      <c r="H387" s="11" t="s">
        <v>20</v>
      </c>
      <c r="I387" s="11" t="s">
        <v>21</v>
      </c>
      <c r="J387" s="11">
        <v>5.5</v>
      </c>
      <c r="K387" s="11">
        <v>12</v>
      </c>
      <c r="L387" s="11"/>
      <c r="M387" s="11">
        <f t="shared" si="12"/>
        <v>60.5</v>
      </c>
      <c r="N387" s="11">
        <f>IF(Table1[[#This Row],[Transaction Type]]="Sale",ABS(E387)*K387,0)</f>
        <v>132</v>
      </c>
      <c r="O387" s="29">
        <f>IF(Table1[[#This Row],[Transaction Type]]="Purchase",E387*J387,0)</f>
        <v>0</v>
      </c>
    </row>
    <row r="388" spans="1:15" x14ac:dyDescent="0.35">
      <c r="A388" s="27" t="s">
        <v>580</v>
      </c>
      <c r="B388" s="12">
        <v>45772</v>
      </c>
      <c r="C388" s="11" t="s">
        <v>36</v>
      </c>
      <c r="D388" s="11" t="s">
        <v>13</v>
      </c>
      <c r="E388" s="11">
        <v>-2</v>
      </c>
      <c r="F388" s="11">
        <f t="shared" si="13"/>
        <v>-2</v>
      </c>
      <c r="G388" s="11" t="s">
        <v>24</v>
      </c>
      <c r="H388" s="11" t="s">
        <v>37</v>
      </c>
      <c r="I388" s="11" t="s">
        <v>16</v>
      </c>
      <c r="J388" s="11">
        <v>7.2</v>
      </c>
      <c r="K388" s="11">
        <v>12.5</v>
      </c>
      <c r="L388" s="11"/>
      <c r="M388" s="11">
        <f t="shared" si="12"/>
        <v>14.4</v>
      </c>
      <c r="N388" s="11">
        <f>IF(Table1[[#This Row],[Transaction Type]]="Sale",ABS(E388)*K388,0)</f>
        <v>25</v>
      </c>
      <c r="O388" s="29">
        <f>IF(Table1[[#This Row],[Transaction Type]]="Purchase",E388*J388,0)</f>
        <v>0</v>
      </c>
    </row>
    <row r="389" spans="1:15" x14ac:dyDescent="0.35">
      <c r="A389" s="27" t="s">
        <v>581</v>
      </c>
      <c r="B389" s="12">
        <v>45772</v>
      </c>
      <c r="C389" s="11" t="s">
        <v>55</v>
      </c>
      <c r="D389" s="11" t="s">
        <v>66</v>
      </c>
      <c r="E389" s="11">
        <v>3</v>
      </c>
      <c r="F389" s="11">
        <f t="shared" si="13"/>
        <v>3</v>
      </c>
      <c r="G389" s="11" t="s">
        <v>24</v>
      </c>
      <c r="H389" s="11" t="s">
        <v>56</v>
      </c>
      <c r="I389" s="11" t="s">
        <v>16</v>
      </c>
      <c r="J389" s="11">
        <v>4.2</v>
      </c>
      <c r="K389" s="11">
        <v>10</v>
      </c>
      <c r="L389" s="11"/>
      <c r="M389" s="11">
        <f t="shared" si="12"/>
        <v>12.600000000000001</v>
      </c>
      <c r="N389" s="11">
        <f>IF(Table1[[#This Row],[Transaction Type]]="Sale",ABS(E389)*K389,0)</f>
        <v>0</v>
      </c>
      <c r="O389" s="29">
        <f>IF(Table1[[#This Row],[Transaction Type]]="Purchase",E389*J389,0)</f>
        <v>0</v>
      </c>
    </row>
    <row r="390" spans="1:15" x14ac:dyDescent="0.35">
      <c r="A390" s="27" t="s">
        <v>582</v>
      </c>
      <c r="B390" s="12">
        <v>45772</v>
      </c>
      <c r="C390" s="11" t="s">
        <v>48</v>
      </c>
      <c r="D390" s="11" t="s">
        <v>13</v>
      </c>
      <c r="E390" s="11">
        <v>-7</v>
      </c>
      <c r="F390" s="11">
        <f t="shared" si="13"/>
        <v>-7</v>
      </c>
      <c r="G390" s="11" t="s">
        <v>14</v>
      </c>
      <c r="H390" s="11" t="s">
        <v>49</v>
      </c>
      <c r="I390" s="11" t="s">
        <v>21</v>
      </c>
      <c r="J390" s="11">
        <v>8.5</v>
      </c>
      <c r="K390" s="11">
        <v>18</v>
      </c>
      <c r="L390" s="11"/>
      <c r="M390" s="11">
        <f t="shared" si="12"/>
        <v>59.5</v>
      </c>
      <c r="N390" s="11">
        <f>IF(Table1[[#This Row],[Transaction Type]]="Sale",ABS(E390)*K390,0)</f>
        <v>126</v>
      </c>
      <c r="O390" s="29">
        <f>IF(Table1[[#This Row],[Transaction Type]]="Purchase",E390*J390,0)</f>
        <v>0</v>
      </c>
    </row>
    <row r="391" spans="1:15" x14ac:dyDescent="0.35">
      <c r="A391" s="27" t="s">
        <v>583</v>
      </c>
      <c r="B391" s="12">
        <v>45773</v>
      </c>
      <c r="C391" s="11" t="s">
        <v>69</v>
      </c>
      <c r="D391" s="11" t="s">
        <v>13</v>
      </c>
      <c r="E391" s="11">
        <v>-1</v>
      </c>
      <c r="F391" s="11">
        <f t="shared" si="13"/>
        <v>-1</v>
      </c>
      <c r="G391" s="11" t="s">
        <v>24</v>
      </c>
      <c r="H391" s="11" t="s">
        <v>70</v>
      </c>
      <c r="I391" s="11" t="s">
        <v>16</v>
      </c>
      <c r="J391" s="11">
        <v>23</v>
      </c>
      <c r="K391" s="11">
        <v>38</v>
      </c>
      <c r="L391" s="11"/>
      <c r="M391" s="11">
        <f t="shared" si="12"/>
        <v>23</v>
      </c>
      <c r="N391" s="11">
        <f>IF(Table1[[#This Row],[Transaction Type]]="Sale",ABS(E391)*K391,0)</f>
        <v>38</v>
      </c>
      <c r="O391" s="29">
        <f>IF(Table1[[#This Row],[Transaction Type]]="Purchase",E391*J391,0)</f>
        <v>0</v>
      </c>
    </row>
    <row r="392" spans="1:15" x14ac:dyDescent="0.35">
      <c r="A392" s="27" t="s">
        <v>584</v>
      </c>
      <c r="B392" s="12">
        <v>45773</v>
      </c>
      <c r="C392" s="11" t="s">
        <v>141</v>
      </c>
      <c r="D392" s="11" t="s">
        <v>58</v>
      </c>
      <c r="E392" s="11">
        <v>-12</v>
      </c>
      <c r="F392" s="11">
        <f t="shared" si="13"/>
        <v>-12</v>
      </c>
      <c r="G392" s="11" t="s">
        <v>14</v>
      </c>
      <c r="H392" s="11" t="s">
        <v>25</v>
      </c>
      <c r="I392" s="11" t="s">
        <v>26</v>
      </c>
      <c r="J392" s="11">
        <v>4</v>
      </c>
      <c r="K392" s="11">
        <v>9</v>
      </c>
      <c r="L392" s="11"/>
      <c r="M392" s="11">
        <f t="shared" si="12"/>
        <v>48</v>
      </c>
      <c r="N392" s="11">
        <f>IF(Table1[[#This Row],[Transaction Type]]="Sale",ABS(E392)*K392,0)</f>
        <v>0</v>
      </c>
      <c r="O392" s="29">
        <f>IF(Table1[[#This Row],[Transaction Type]]="Purchase",E392*J392,0)</f>
        <v>0</v>
      </c>
    </row>
    <row r="393" spans="1:15" x14ac:dyDescent="0.35">
      <c r="A393" s="27" t="s">
        <v>585</v>
      </c>
      <c r="B393" s="12">
        <v>45774</v>
      </c>
      <c r="C393" s="11" t="s">
        <v>81</v>
      </c>
      <c r="D393" s="11" t="s">
        <v>13</v>
      </c>
      <c r="E393" s="11">
        <v>-6</v>
      </c>
      <c r="F393" s="11">
        <f t="shared" si="13"/>
        <v>-6</v>
      </c>
      <c r="G393" s="11" t="s">
        <v>14</v>
      </c>
      <c r="H393" s="11" t="s">
        <v>30</v>
      </c>
      <c r="I393" s="11" t="s">
        <v>16</v>
      </c>
      <c r="J393" s="11">
        <v>8</v>
      </c>
      <c r="K393" s="11">
        <v>15</v>
      </c>
      <c r="L393" s="11"/>
      <c r="M393" s="11">
        <f t="shared" si="12"/>
        <v>48</v>
      </c>
      <c r="N393" s="11">
        <f>IF(Table1[[#This Row],[Transaction Type]]="Sale",ABS(E393)*K393,0)</f>
        <v>90</v>
      </c>
      <c r="O393" s="29">
        <f>IF(Table1[[#This Row],[Transaction Type]]="Purchase",E393*J393,0)</f>
        <v>0</v>
      </c>
    </row>
    <row r="394" spans="1:15" x14ac:dyDescent="0.35">
      <c r="A394" s="27" t="s">
        <v>586</v>
      </c>
      <c r="B394" s="12">
        <v>45774</v>
      </c>
      <c r="C394" s="11" t="s">
        <v>55</v>
      </c>
      <c r="D394" s="11" t="s">
        <v>58</v>
      </c>
      <c r="E394" s="11">
        <v>16</v>
      </c>
      <c r="F394" s="11">
        <f t="shared" si="13"/>
        <v>16</v>
      </c>
      <c r="G394" s="11" t="s">
        <v>24</v>
      </c>
      <c r="H394" s="11" t="s">
        <v>56</v>
      </c>
      <c r="I394" s="11" t="s">
        <v>16</v>
      </c>
      <c r="J394" s="11">
        <v>4.2</v>
      </c>
      <c r="K394" s="11">
        <v>10</v>
      </c>
      <c r="L394" s="11"/>
      <c r="M394" s="11">
        <f t="shared" si="12"/>
        <v>67.2</v>
      </c>
      <c r="N394" s="11">
        <f>IF(Table1[[#This Row],[Transaction Type]]="Sale",ABS(E394)*K394,0)</f>
        <v>0</v>
      </c>
      <c r="O394" s="29">
        <f>IF(Table1[[#This Row],[Transaction Type]]="Purchase",E394*J394,0)</f>
        <v>0</v>
      </c>
    </row>
    <row r="395" spans="1:15" x14ac:dyDescent="0.35">
      <c r="A395" s="27" t="s">
        <v>587</v>
      </c>
      <c r="B395" s="12">
        <v>45774</v>
      </c>
      <c r="C395" s="11" t="s">
        <v>136</v>
      </c>
      <c r="D395" s="11" t="s">
        <v>13</v>
      </c>
      <c r="E395" s="11">
        <v>-15</v>
      </c>
      <c r="F395" s="11">
        <f t="shared" si="13"/>
        <v>-15</v>
      </c>
      <c r="G395" s="11" t="s">
        <v>19</v>
      </c>
      <c r="H395" s="11" t="s">
        <v>33</v>
      </c>
      <c r="I395" s="11" t="s">
        <v>34</v>
      </c>
      <c r="J395" s="11">
        <v>34</v>
      </c>
      <c r="K395" s="11">
        <v>55</v>
      </c>
      <c r="L395" s="11"/>
      <c r="M395" s="11">
        <f t="shared" si="12"/>
        <v>510</v>
      </c>
      <c r="N395" s="11">
        <f>IF(Table1[[#This Row],[Transaction Type]]="Sale",ABS(E395)*K395,0)</f>
        <v>825</v>
      </c>
      <c r="O395" s="29">
        <f>IF(Table1[[#This Row],[Transaction Type]]="Purchase",E395*J395,0)</f>
        <v>0</v>
      </c>
    </row>
    <row r="396" spans="1:15" x14ac:dyDescent="0.35">
      <c r="A396" s="27" t="s">
        <v>588</v>
      </c>
      <c r="B396" s="12">
        <v>45774</v>
      </c>
      <c r="C396" s="11" t="s">
        <v>55</v>
      </c>
      <c r="D396" s="11" t="s">
        <v>66</v>
      </c>
      <c r="E396" s="11">
        <v>1</v>
      </c>
      <c r="F396" s="11">
        <f t="shared" si="13"/>
        <v>1</v>
      </c>
      <c r="G396" s="11" t="s">
        <v>14</v>
      </c>
      <c r="H396" s="11" t="s">
        <v>56</v>
      </c>
      <c r="I396" s="11" t="s">
        <v>16</v>
      </c>
      <c r="J396" s="11">
        <v>4.2</v>
      </c>
      <c r="K396" s="11">
        <v>10</v>
      </c>
      <c r="L396" s="11"/>
      <c r="M396" s="11">
        <f t="shared" si="12"/>
        <v>4.2</v>
      </c>
      <c r="N396" s="11">
        <f>IF(Table1[[#This Row],[Transaction Type]]="Sale",ABS(E396)*K396,0)</f>
        <v>0</v>
      </c>
      <c r="O396" s="29">
        <f>IF(Table1[[#This Row],[Transaction Type]]="Purchase",E396*J396,0)</f>
        <v>0</v>
      </c>
    </row>
    <row r="397" spans="1:15" x14ac:dyDescent="0.35">
      <c r="A397" s="27" t="s">
        <v>589</v>
      </c>
      <c r="B397" s="12">
        <v>45774</v>
      </c>
      <c r="C397" s="11" t="s">
        <v>141</v>
      </c>
      <c r="D397" s="11" t="s">
        <v>13</v>
      </c>
      <c r="E397" s="11">
        <v>-12</v>
      </c>
      <c r="F397" s="11">
        <f t="shared" si="13"/>
        <v>-12</v>
      </c>
      <c r="G397" s="11" t="s">
        <v>19</v>
      </c>
      <c r="H397" s="11" t="s">
        <v>25</v>
      </c>
      <c r="I397" s="11" t="s">
        <v>26</v>
      </c>
      <c r="J397" s="11">
        <v>4</v>
      </c>
      <c r="K397" s="11">
        <v>9</v>
      </c>
      <c r="L397" s="11"/>
      <c r="M397" s="11">
        <f t="shared" si="12"/>
        <v>48</v>
      </c>
      <c r="N397" s="11">
        <f>IF(Table1[[#This Row],[Transaction Type]]="Sale",ABS(E397)*K397,0)</f>
        <v>108</v>
      </c>
      <c r="O397" s="29">
        <f>IF(Table1[[#This Row],[Transaction Type]]="Purchase",E397*J397,0)</f>
        <v>0</v>
      </c>
    </row>
    <row r="398" spans="1:15" x14ac:dyDescent="0.35">
      <c r="A398" s="27" t="s">
        <v>590</v>
      </c>
      <c r="B398" s="12">
        <v>45775</v>
      </c>
      <c r="C398" s="11" t="s">
        <v>52</v>
      </c>
      <c r="D398" s="11" t="s">
        <v>13</v>
      </c>
      <c r="E398" s="11">
        <v>-13</v>
      </c>
      <c r="F398" s="11">
        <f t="shared" si="13"/>
        <v>-13</v>
      </c>
      <c r="G398" s="11" t="s">
        <v>14</v>
      </c>
      <c r="H398" s="11" t="s">
        <v>20</v>
      </c>
      <c r="I398" s="11" t="s">
        <v>21</v>
      </c>
      <c r="J398" s="11">
        <v>5.5</v>
      </c>
      <c r="K398" s="11">
        <v>12</v>
      </c>
      <c r="L398" s="11"/>
      <c r="M398" s="11">
        <f t="shared" si="12"/>
        <v>71.5</v>
      </c>
      <c r="N398" s="11">
        <f>IF(Table1[[#This Row],[Transaction Type]]="Sale",ABS(E398)*K398,0)</f>
        <v>156</v>
      </c>
      <c r="O398" s="29">
        <f>IF(Table1[[#This Row],[Transaction Type]]="Purchase",E398*J398,0)</f>
        <v>0</v>
      </c>
    </row>
    <row r="399" spans="1:15" x14ac:dyDescent="0.35">
      <c r="A399" s="27" t="s">
        <v>591</v>
      </c>
      <c r="B399" s="12">
        <v>45775</v>
      </c>
      <c r="C399" s="11" t="s">
        <v>43</v>
      </c>
      <c r="D399" s="11" t="s">
        <v>13</v>
      </c>
      <c r="E399" s="11">
        <v>-4</v>
      </c>
      <c r="F399" s="11">
        <f t="shared" si="13"/>
        <v>-4</v>
      </c>
      <c r="G399" s="11" t="s">
        <v>14</v>
      </c>
      <c r="H399" s="11" t="s">
        <v>44</v>
      </c>
      <c r="I399" s="11" t="s">
        <v>45</v>
      </c>
      <c r="J399" s="11">
        <v>5.2</v>
      </c>
      <c r="K399" s="11">
        <v>11</v>
      </c>
      <c r="L399" s="11"/>
      <c r="M399" s="11">
        <f t="shared" si="12"/>
        <v>20.8</v>
      </c>
      <c r="N399" s="11">
        <f>IF(Table1[[#This Row],[Transaction Type]]="Sale",ABS(E399)*K399,0)</f>
        <v>44</v>
      </c>
      <c r="O399" s="29">
        <f>IF(Table1[[#This Row],[Transaction Type]]="Purchase",E399*J399,0)</f>
        <v>0</v>
      </c>
    </row>
    <row r="400" spans="1:15" x14ac:dyDescent="0.35">
      <c r="A400" s="27" t="s">
        <v>592</v>
      </c>
      <c r="B400" s="12">
        <v>45775</v>
      </c>
      <c r="C400" s="11" t="s">
        <v>65</v>
      </c>
      <c r="D400" s="11" t="s">
        <v>40</v>
      </c>
      <c r="E400" s="11">
        <v>73</v>
      </c>
      <c r="F400" s="11">
        <f t="shared" si="13"/>
        <v>73</v>
      </c>
      <c r="G400" s="11" t="s">
        <v>24</v>
      </c>
      <c r="H400" s="11" t="s">
        <v>67</v>
      </c>
      <c r="I400" s="11" t="s">
        <v>21</v>
      </c>
      <c r="J400" s="11">
        <v>11</v>
      </c>
      <c r="K400" s="11">
        <v>22</v>
      </c>
      <c r="L400" s="11" t="s">
        <v>593</v>
      </c>
      <c r="M400" s="11">
        <f t="shared" si="12"/>
        <v>803</v>
      </c>
      <c r="N400" s="11">
        <f>IF(Table1[[#This Row],[Transaction Type]]="Sale",ABS(E400)*K400,0)</f>
        <v>0</v>
      </c>
      <c r="O400" s="29">
        <f>IF(Table1[[#This Row],[Transaction Type]]="Purchase",E400*J400,0)</f>
        <v>803</v>
      </c>
    </row>
    <row r="401" spans="1:15" x14ac:dyDescent="0.35">
      <c r="A401" s="27" t="s">
        <v>594</v>
      </c>
      <c r="B401" s="12">
        <v>45775</v>
      </c>
      <c r="C401" s="11" t="s">
        <v>109</v>
      </c>
      <c r="D401" s="11" t="s">
        <v>13</v>
      </c>
      <c r="E401" s="11">
        <v>-14</v>
      </c>
      <c r="F401" s="11">
        <f t="shared" si="13"/>
        <v>-14</v>
      </c>
      <c r="G401" s="11" t="s">
        <v>24</v>
      </c>
      <c r="H401" s="11" t="s">
        <v>110</v>
      </c>
      <c r="I401" s="11" t="s">
        <v>26</v>
      </c>
      <c r="J401" s="11">
        <v>105</v>
      </c>
      <c r="K401" s="11">
        <v>165</v>
      </c>
      <c r="L401" s="11"/>
      <c r="M401" s="11">
        <f t="shared" si="12"/>
        <v>1470</v>
      </c>
      <c r="N401" s="11">
        <f>IF(Table1[[#This Row],[Transaction Type]]="Sale",ABS(E401)*K401,0)</f>
        <v>2310</v>
      </c>
      <c r="O401" s="29">
        <f>IF(Table1[[#This Row],[Transaction Type]]="Purchase",E401*J401,0)</f>
        <v>0</v>
      </c>
    </row>
    <row r="402" spans="1:15" x14ac:dyDescent="0.35">
      <c r="A402" s="27" t="s">
        <v>595</v>
      </c>
      <c r="B402" s="12">
        <v>45775</v>
      </c>
      <c r="C402" s="11" t="s">
        <v>139</v>
      </c>
      <c r="D402" s="11" t="s">
        <v>13</v>
      </c>
      <c r="E402" s="11">
        <v>-5</v>
      </c>
      <c r="F402" s="11">
        <f t="shared" si="13"/>
        <v>-5</v>
      </c>
      <c r="G402" s="11" t="s">
        <v>14</v>
      </c>
      <c r="H402" s="11" t="s">
        <v>56</v>
      </c>
      <c r="I402" s="11" t="s">
        <v>16</v>
      </c>
      <c r="J402" s="11">
        <v>16.5</v>
      </c>
      <c r="K402" s="11">
        <v>28</v>
      </c>
      <c r="L402" s="11"/>
      <c r="M402" s="11">
        <f t="shared" si="12"/>
        <v>82.5</v>
      </c>
      <c r="N402" s="11">
        <f>IF(Table1[[#This Row],[Transaction Type]]="Sale",ABS(E402)*K402,0)</f>
        <v>140</v>
      </c>
      <c r="O402" s="29">
        <f>IF(Table1[[#This Row],[Transaction Type]]="Purchase",E402*J402,0)</f>
        <v>0</v>
      </c>
    </row>
    <row r="403" spans="1:15" x14ac:dyDescent="0.35">
      <c r="A403" s="27" t="s">
        <v>596</v>
      </c>
      <c r="B403" s="12">
        <v>45776</v>
      </c>
      <c r="C403" s="11" t="s">
        <v>23</v>
      </c>
      <c r="D403" s="11" t="s">
        <v>13</v>
      </c>
      <c r="E403" s="11">
        <v>-13</v>
      </c>
      <c r="F403" s="11">
        <f t="shared" si="13"/>
        <v>-13</v>
      </c>
      <c r="G403" s="11" t="s">
        <v>19</v>
      </c>
      <c r="H403" s="11" t="s">
        <v>25</v>
      </c>
      <c r="I403" s="11" t="s">
        <v>26</v>
      </c>
      <c r="J403" s="11">
        <v>3</v>
      </c>
      <c r="K403" s="11">
        <v>7</v>
      </c>
      <c r="L403" s="11"/>
      <c r="M403" s="11">
        <f t="shared" si="12"/>
        <v>39</v>
      </c>
      <c r="N403" s="11">
        <f>IF(Table1[[#This Row],[Transaction Type]]="Sale",ABS(E403)*K403,0)</f>
        <v>91</v>
      </c>
      <c r="O403" s="29">
        <f>IF(Table1[[#This Row],[Transaction Type]]="Purchase",E403*J403,0)</f>
        <v>0</v>
      </c>
    </row>
    <row r="404" spans="1:15" x14ac:dyDescent="0.35">
      <c r="A404" s="27" t="s">
        <v>597</v>
      </c>
      <c r="B404" s="12">
        <v>45776</v>
      </c>
      <c r="C404" s="11" t="s">
        <v>94</v>
      </c>
      <c r="D404" s="11" t="s">
        <v>13</v>
      </c>
      <c r="E404" s="11">
        <v>-7</v>
      </c>
      <c r="F404" s="11">
        <f t="shared" si="13"/>
        <v>-7</v>
      </c>
      <c r="G404" s="11" t="s">
        <v>19</v>
      </c>
      <c r="H404" s="11" t="s">
        <v>95</v>
      </c>
      <c r="I404" s="11" t="s">
        <v>16</v>
      </c>
      <c r="J404" s="11">
        <v>18.5</v>
      </c>
      <c r="K404" s="11">
        <v>31</v>
      </c>
      <c r="L404" s="11"/>
      <c r="M404" s="11">
        <f t="shared" si="12"/>
        <v>129.5</v>
      </c>
      <c r="N404" s="11">
        <f>IF(Table1[[#This Row],[Transaction Type]]="Sale",ABS(E404)*K404,0)</f>
        <v>217</v>
      </c>
      <c r="O404" s="29">
        <f>IF(Table1[[#This Row],[Transaction Type]]="Purchase",E404*J404,0)</f>
        <v>0</v>
      </c>
    </row>
    <row r="405" spans="1:15" x14ac:dyDescent="0.35">
      <c r="A405" s="27" t="s">
        <v>598</v>
      </c>
      <c r="B405" s="12">
        <v>45776</v>
      </c>
      <c r="C405" s="11" t="s">
        <v>83</v>
      </c>
      <c r="D405" s="11" t="s">
        <v>13</v>
      </c>
      <c r="E405" s="11">
        <v>-5</v>
      </c>
      <c r="F405" s="11">
        <f t="shared" si="13"/>
        <v>-5</v>
      </c>
      <c r="G405" s="11" t="s">
        <v>14</v>
      </c>
      <c r="H405" s="11" t="s">
        <v>84</v>
      </c>
      <c r="I405" s="11" t="s">
        <v>45</v>
      </c>
      <c r="J405" s="11">
        <v>130</v>
      </c>
      <c r="K405" s="11">
        <v>185</v>
      </c>
      <c r="L405" s="11"/>
      <c r="M405" s="11">
        <f t="shared" si="12"/>
        <v>650</v>
      </c>
      <c r="N405" s="11">
        <f>IF(Table1[[#This Row],[Transaction Type]]="Sale",ABS(E405)*K405,0)</f>
        <v>925</v>
      </c>
      <c r="O405" s="29">
        <f>IF(Table1[[#This Row],[Transaction Type]]="Purchase",E405*J405,0)</f>
        <v>0</v>
      </c>
    </row>
    <row r="406" spans="1:15" x14ac:dyDescent="0.35">
      <c r="A406" s="27" t="s">
        <v>599</v>
      </c>
      <c r="B406" s="12">
        <v>45776</v>
      </c>
      <c r="C406" s="11" t="s">
        <v>77</v>
      </c>
      <c r="D406" s="11" t="s">
        <v>40</v>
      </c>
      <c r="E406" s="11">
        <v>78</v>
      </c>
      <c r="F406" s="11">
        <f t="shared" si="13"/>
        <v>78</v>
      </c>
      <c r="G406" s="11" t="s">
        <v>14</v>
      </c>
      <c r="H406" s="11" t="s">
        <v>78</v>
      </c>
      <c r="I406" s="11" t="s">
        <v>16</v>
      </c>
      <c r="J406" s="11">
        <v>25</v>
      </c>
      <c r="K406" s="11">
        <v>42</v>
      </c>
      <c r="L406" s="11" t="s">
        <v>600</v>
      </c>
      <c r="M406" s="11">
        <f t="shared" si="12"/>
        <v>1950</v>
      </c>
      <c r="N406" s="11">
        <f>IF(Table1[[#This Row],[Transaction Type]]="Sale",ABS(E406)*K406,0)</f>
        <v>0</v>
      </c>
      <c r="O406" s="29">
        <f>IF(Table1[[#This Row],[Transaction Type]]="Purchase",E406*J406,0)</f>
        <v>1950</v>
      </c>
    </row>
    <row r="407" spans="1:15" x14ac:dyDescent="0.35">
      <c r="A407" s="27" t="s">
        <v>601</v>
      </c>
      <c r="B407" s="12">
        <v>45777</v>
      </c>
      <c r="C407" s="11" t="s">
        <v>141</v>
      </c>
      <c r="D407" s="11" t="s">
        <v>58</v>
      </c>
      <c r="E407" s="11">
        <v>4</v>
      </c>
      <c r="F407" s="11">
        <f t="shared" si="13"/>
        <v>4</v>
      </c>
      <c r="G407" s="11" t="s">
        <v>14</v>
      </c>
      <c r="H407" s="11" t="s">
        <v>25</v>
      </c>
      <c r="I407" s="11" t="s">
        <v>26</v>
      </c>
      <c r="J407" s="11">
        <v>4</v>
      </c>
      <c r="K407" s="11">
        <v>9</v>
      </c>
      <c r="L407" s="11"/>
      <c r="M407" s="11">
        <f t="shared" si="12"/>
        <v>16</v>
      </c>
      <c r="N407" s="11">
        <f>IF(Table1[[#This Row],[Transaction Type]]="Sale",ABS(E407)*K407,0)</f>
        <v>0</v>
      </c>
      <c r="O407" s="29">
        <f>IF(Table1[[#This Row],[Transaction Type]]="Purchase",E407*J407,0)</f>
        <v>0</v>
      </c>
    </row>
    <row r="408" spans="1:15" x14ac:dyDescent="0.35">
      <c r="A408" s="27" t="s">
        <v>602</v>
      </c>
      <c r="B408" s="12">
        <v>45777</v>
      </c>
      <c r="C408" s="11" t="s">
        <v>48</v>
      </c>
      <c r="D408" s="11" t="s">
        <v>40</v>
      </c>
      <c r="E408" s="11">
        <v>38</v>
      </c>
      <c r="F408" s="11">
        <f t="shared" si="13"/>
        <v>38</v>
      </c>
      <c r="G408" s="11" t="s">
        <v>19</v>
      </c>
      <c r="H408" s="11" t="s">
        <v>49</v>
      </c>
      <c r="I408" s="11" t="s">
        <v>21</v>
      </c>
      <c r="J408" s="11">
        <v>8.5</v>
      </c>
      <c r="K408" s="11">
        <v>18</v>
      </c>
      <c r="L408" s="11" t="s">
        <v>603</v>
      </c>
      <c r="M408" s="11">
        <f t="shared" si="12"/>
        <v>323</v>
      </c>
      <c r="N408" s="11">
        <f>IF(Table1[[#This Row],[Transaction Type]]="Sale",ABS(E408)*K408,0)</f>
        <v>0</v>
      </c>
      <c r="O408" s="29">
        <f>IF(Table1[[#This Row],[Transaction Type]]="Purchase",E408*J408,0)</f>
        <v>323</v>
      </c>
    </row>
    <row r="409" spans="1:15" x14ac:dyDescent="0.35">
      <c r="A409" s="27" t="s">
        <v>604</v>
      </c>
      <c r="B409" s="12">
        <v>45777</v>
      </c>
      <c r="C409" s="11" t="s">
        <v>141</v>
      </c>
      <c r="D409" s="11" t="s">
        <v>13</v>
      </c>
      <c r="E409" s="11">
        <v>-1</v>
      </c>
      <c r="F409" s="11">
        <f t="shared" si="13"/>
        <v>-1</v>
      </c>
      <c r="G409" s="11" t="s">
        <v>24</v>
      </c>
      <c r="H409" s="11" t="s">
        <v>25</v>
      </c>
      <c r="I409" s="11" t="s">
        <v>26</v>
      </c>
      <c r="J409" s="11">
        <v>4</v>
      </c>
      <c r="K409" s="11">
        <v>9</v>
      </c>
      <c r="L409" s="11"/>
      <c r="M409" s="11">
        <f t="shared" si="12"/>
        <v>4</v>
      </c>
      <c r="N409" s="11">
        <f>IF(Table1[[#This Row],[Transaction Type]]="Sale",ABS(E409)*K409,0)</f>
        <v>9</v>
      </c>
      <c r="O409" s="29">
        <f>IF(Table1[[#This Row],[Transaction Type]]="Purchase",E409*J409,0)</f>
        <v>0</v>
      </c>
    </row>
    <row r="410" spans="1:15" x14ac:dyDescent="0.35">
      <c r="A410" s="27" t="s">
        <v>605</v>
      </c>
      <c r="B410" s="12">
        <v>45778</v>
      </c>
      <c r="C410" s="11" t="s">
        <v>141</v>
      </c>
      <c r="D410" s="11" t="s">
        <v>13</v>
      </c>
      <c r="E410" s="11">
        <v>-5</v>
      </c>
      <c r="F410" s="11">
        <f t="shared" si="13"/>
        <v>-5</v>
      </c>
      <c r="G410" s="11" t="s">
        <v>24</v>
      </c>
      <c r="H410" s="11" t="s">
        <v>25</v>
      </c>
      <c r="I410" s="11" t="s">
        <v>26</v>
      </c>
      <c r="J410" s="11">
        <v>4</v>
      </c>
      <c r="K410" s="11">
        <v>9</v>
      </c>
      <c r="L410" s="11"/>
      <c r="M410" s="11">
        <f t="shared" si="12"/>
        <v>20</v>
      </c>
      <c r="N410" s="11">
        <f>IF(Table1[[#This Row],[Transaction Type]]="Sale",ABS(E410)*K410,0)</f>
        <v>45</v>
      </c>
      <c r="O410" s="29">
        <f>IF(Table1[[#This Row],[Transaction Type]]="Purchase",E410*J410,0)</f>
        <v>0</v>
      </c>
    </row>
    <row r="411" spans="1:15" x14ac:dyDescent="0.35">
      <c r="A411" s="27" t="s">
        <v>606</v>
      </c>
      <c r="B411" s="12">
        <v>45778</v>
      </c>
      <c r="C411" s="11" t="s">
        <v>98</v>
      </c>
      <c r="D411" s="11" t="s">
        <v>13</v>
      </c>
      <c r="E411" s="11">
        <v>-8</v>
      </c>
      <c r="F411" s="11">
        <f t="shared" si="13"/>
        <v>-8</v>
      </c>
      <c r="G411" s="11" t="s">
        <v>24</v>
      </c>
      <c r="H411" s="11" t="s">
        <v>30</v>
      </c>
      <c r="I411" s="11" t="s">
        <v>16</v>
      </c>
      <c r="J411" s="11">
        <v>16</v>
      </c>
      <c r="K411" s="11">
        <v>29</v>
      </c>
      <c r="L411" s="11"/>
      <c r="M411" s="11">
        <f t="shared" si="12"/>
        <v>128</v>
      </c>
      <c r="N411" s="11">
        <f>IF(Table1[[#This Row],[Transaction Type]]="Sale",ABS(E411)*K411,0)</f>
        <v>232</v>
      </c>
      <c r="O411" s="29">
        <f>IF(Table1[[#This Row],[Transaction Type]]="Purchase",E411*J411,0)</f>
        <v>0</v>
      </c>
    </row>
    <row r="412" spans="1:15" x14ac:dyDescent="0.35">
      <c r="A412" s="27" t="s">
        <v>607</v>
      </c>
      <c r="B412" s="12">
        <v>45778</v>
      </c>
      <c r="C412" s="11" t="s">
        <v>29</v>
      </c>
      <c r="D412" s="11" t="s">
        <v>13</v>
      </c>
      <c r="E412" s="11">
        <v>-11</v>
      </c>
      <c r="F412" s="11">
        <f t="shared" si="13"/>
        <v>-11</v>
      </c>
      <c r="G412" s="11" t="s">
        <v>14</v>
      </c>
      <c r="H412" s="11" t="s">
        <v>30</v>
      </c>
      <c r="I412" s="11" t="s">
        <v>16</v>
      </c>
      <c r="J412" s="11">
        <v>8.8000000000000007</v>
      </c>
      <c r="K412" s="11">
        <v>17</v>
      </c>
      <c r="L412" s="11"/>
      <c r="M412" s="11">
        <f t="shared" si="12"/>
        <v>96.800000000000011</v>
      </c>
      <c r="N412" s="11">
        <f>IF(Table1[[#This Row],[Transaction Type]]="Sale",ABS(E412)*K412,0)</f>
        <v>187</v>
      </c>
      <c r="O412" s="29">
        <f>IF(Table1[[#This Row],[Transaction Type]]="Purchase",E412*J412,0)</f>
        <v>0</v>
      </c>
    </row>
    <row r="413" spans="1:15" x14ac:dyDescent="0.35">
      <c r="A413" s="27" t="s">
        <v>608</v>
      </c>
      <c r="B413" s="12">
        <v>45778</v>
      </c>
      <c r="C413" s="11" t="s">
        <v>32</v>
      </c>
      <c r="D413" s="11" t="s">
        <v>13</v>
      </c>
      <c r="E413" s="11">
        <v>-7</v>
      </c>
      <c r="F413" s="11">
        <f t="shared" si="13"/>
        <v>-7</v>
      </c>
      <c r="G413" s="11" t="s">
        <v>24</v>
      </c>
      <c r="H413" s="11" t="s">
        <v>33</v>
      </c>
      <c r="I413" s="11" t="s">
        <v>34</v>
      </c>
      <c r="J413" s="11">
        <v>20</v>
      </c>
      <c r="K413" s="11">
        <v>35</v>
      </c>
      <c r="L413" s="11"/>
      <c r="M413" s="11">
        <f t="shared" si="12"/>
        <v>140</v>
      </c>
      <c r="N413" s="11">
        <f>IF(Table1[[#This Row],[Transaction Type]]="Sale",ABS(E413)*K413,0)</f>
        <v>245</v>
      </c>
      <c r="O413" s="29">
        <f>IF(Table1[[#This Row],[Transaction Type]]="Purchase",E413*J413,0)</f>
        <v>0</v>
      </c>
    </row>
    <row r="414" spans="1:15" x14ac:dyDescent="0.35">
      <c r="A414" s="27" t="s">
        <v>609</v>
      </c>
      <c r="B414" s="12">
        <v>45778</v>
      </c>
      <c r="C414" s="11" t="s">
        <v>32</v>
      </c>
      <c r="D414" s="11" t="s">
        <v>40</v>
      </c>
      <c r="E414" s="11">
        <v>66</v>
      </c>
      <c r="F414" s="11">
        <f t="shared" si="13"/>
        <v>66</v>
      </c>
      <c r="G414" s="11" t="s">
        <v>24</v>
      </c>
      <c r="H414" s="11" t="s">
        <v>33</v>
      </c>
      <c r="I414" s="11" t="s">
        <v>34</v>
      </c>
      <c r="J414" s="11">
        <v>20</v>
      </c>
      <c r="K414" s="11">
        <v>35</v>
      </c>
      <c r="L414" s="11" t="s">
        <v>610</v>
      </c>
      <c r="M414" s="11">
        <f t="shared" si="12"/>
        <v>1320</v>
      </c>
      <c r="N414" s="11">
        <f>IF(Table1[[#This Row],[Transaction Type]]="Sale",ABS(E414)*K414,0)</f>
        <v>0</v>
      </c>
      <c r="O414" s="29">
        <f>IF(Table1[[#This Row],[Transaction Type]]="Purchase",E414*J414,0)</f>
        <v>1320</v>
      </c>
    </row>
    <row r="415" spans="1:15" x14ac:dyDescent="0.35">
      <c r="A415" s="27" t="s">
        <v>611</v>
      </c>
      <c r="B415" s="12">
        <v>45779</v>
      </c>
      <c r="C415" s="11" t="s">
        <v>139</v>
      </c>
      <c r="D415" s="11" t="s">
        <v>13</v>
      </c>
      <c r="E415" s="11">
        <v>-14</v>
      </c>
      <c r="F415" s="11">
        <f t="shared" si="13"/>
        <v>-14</v>
      </c>
      <c r="G415" s="11" t="s">
        <v>19</v>
      </c>
      <c r="H415" s="11" t="s">
        <v>56</v>
      </c>
      <c r="I415" s="11" t="s">
        <v>16</v>
      </c>
      <c r="J415" s="11">
        <v>16.5</v>
      </c>
      <c r="K415" s="11">
        <v>28</v>
      </c>
      <c r="L415" s="11"/>
      <c r="M415" s="11">
        <f t="shared" si="12"/>
        <v>231</v>
      </c>
      <c r="N415" s="11">
        <f>IF(Table1[[#This Row],[Transaction Type]]="Sale",ABS(E415)*K415,0)</f>
        <v>392</v>
      </c>
      <c r="O415" s="29">
        <f>IF(Table1[[#This Row],[Transaction Type]]="Purchase",E415*J415,0)</f>
        <v>0</v>
      </c>
    </row>
    <row r="416" spans="1:15" x14ac:dyDescent="0.35">
      <c r="A416" s="27" t="s">
        <v>612</v>
      </c>
      <c r="B416" s="12">
        <v>45779</v>
      </c>
      <c r="C416" s="11" t="s">
        <v>73</v>
      </c>
      <c r="D416" s="11" t="s">
        <v>13</v>
      </c>
      <c r="E416" s="11">
        <v>-1</v>
      </c>
      <c r="F416" s="11">
        <f t="shared" si="13"/>
        <v>-1</v>
      </c>
      <c r="G416" s="11" t="s">
        <v>2522</v>
      </c>
      <c r="H416" s="11" t="s">
        <v>74</v>
      </c>
      <c r="I416" s="11" t="s">
        <v>75</v>
      </c>
      <c r="J416" s="11">
        <v>30</v>
      </c>
      <c r="K416" s="11">
        <v>48</v>
      </c>
      <c r="L416" s="11"/>
      <c r="M416" s="11">
        <f t="shared" si="12"/>
        <v>30</v>
      </c>
      <c r="N416" s="11">
        <f>IF(Table1[[#This Row],[Transaction Type]]="Sale",ABS(E416)*K416,0)</f>
        <v>48</v>
      </c>
      <c r="O416" s="29">
        <f>IF(Table1[[#This Row],[Transaction Type]]="Purchase",E416*J416,0)</f>
        <v>0</v>
      </c>
    </row>
    <row r="417" spans="1:15" x14ac:dyDescent="0.35">
      <c r="A417" s="27" t="s">
        <v>613</v>
      </c>
      <c r="B417" s="12">
        <v>45780</v>
      </c>
      <c r="C417" s="11" t="s">
        <v>81</v>
      </c>
      <c r="D417" s="11" t="s">
        <v>13</v>
      </c>
      <c r="E417" s="11">
        <v>-6</v>
      </c>
      <c r="F417" s="11">
        <f t="shared" si="13"/>
        <v>-6</v>
      </c>
      <c r="G417" s="11" t="s">
        <v>24</v>
      </c>
      <c r="H417" s="11" t="s">
        <v>30</v>
      </c>
      <c r="I417" s="11" t="s">
        <v>16</v>
      </c>
      <c r="J417" s="11">
        <v>8</v>
      </c>
      <c r="K417" s="11">
        <v>15</v>
      </c>
      <c r="L417" s="11"/>
      <c r="M417" s="11">
        <f t="shared" si="12"/>
        <v>48</v>
      </c>
      <c r="N417" s="11">
        <f>IF(Table1[[#This Row],[Transaction Type]]="Sale",ABS(E417)*K417,0)</f>
        <v>90</v>
      </c>
      <c r="O417" s="29">
        <f>IF(Table1[[#This Row],[Transaction Type]]="Purchase",E417*J417,0)</f>
        <v>0</v>
      </c>
    </row>
    <row r="418" spans="1:15" x14ac:dyDescent="0.35">
      <c r="A418" s="27" t="s">
        <v>614</v>
      </c>
      <c r="B418" s="12">
        <v>45780</v>
      </c>
      <c r="C418" s="11" t="s">
        <v>48</v>
      </c>
      <c r="D418" s="11" t="s">
        <v>40</v>
      </c>
      <c r="E418" s="11">
        <v>110</v>
      </c>
      <c r="F418" s="11">
        <f t="shared" si="13"/>
        <v>110</v>
      </c>
      <c r="G418" s="11" t="s">
        <v>24</v>
      </c>
      <c r="H418" s="11" t="s">
        <v>49</v>
      </c>
      <c r="I418" s="11" t="s">
        <v>21</v>
      </c>
      <c r="J418" s="11">
        <v>8.5</v>
      </c>
      <c r="K418" s="11">
        <v>18</v>
      </c>
      <c r="L418" s="11" t="s">
        <v>615</v>
      </c>
      <c r="M418" s="11">
        <f t="shared" si="12"/>
        <v>935</v>
      </c>
      <c r="N418" s="11">
        <f>IF(Table1[[#This Row],[Transaction Type]]="Sale",ABS(E418)*K418,0)</f>
        <v>0</v>
      </c>
      <c r="O418" s="29">
        <f>IF(Table1[[#This Row],[Transaction Type]]="Purchase",E418*J418,0)</f>
        <v>935</v>
      </c>
    </row>
    <row r="419" spans="1:15" x14ac:dyDescent="0.35">
      <c r="A419" s="27" t="s">
        <v>616</v>
      </c>
      <c r="B419" s="12">
        <v>45780</v>
      </c>
      <c r="C419" s="11" t="s">
        <v>23</v>
      </c>
      <c r="D419" s="11" t="s">
        <v>40</v>
      </c>
      <c r="E419" s="11">
        <v>35</v>
      </c>
      <c r="F419" s="11">
        <f t="shared" si="13"/>
        <v>35</v>
      </c>
      <c r="G419" s="11" t="s">
        <v>14</v>
      </c>
      <c r="H419" s="11" t="s">
        <v>25</v>
      </c>
      <c r="I419" s="11" t="s">
        <v>26</v>
      </c>
      <c r="J419" s="11">
        <v>3</v>
      </c>
      <c r="K419" s="11">
        <v>7</v>
      </c>
      <c r="L419" s="11" t="s">
        <v>617</v>
      </c>
      <c r="M419" s="11">
        <f t="shared" si="12"/>
        <v>105</v>
      </c>
      <c r="N419" s="11">
        <f>IF(Table1[[#This Row],[Transaction Type]]="Sale",ABS(E419)*K419,0)</f>
        <v>0</v>
      </c>
      <c r="O419" s="29">
        <f>IF(Table1[[#This Row],[Transaction Type]]="Purchase",E419*J419,0)</f>
        <v>105</v>
      </c>
    </row>
    <row r="420" spans="1:15" x14ac:dyDescent="0.35">
      <c r="A420" s="27" t="s">
        <v>618</v>
      </c>
      <c r="B420" s="12">
        <v>45721</v>
      </c>
      <c r="C420" s="11" t="s">
        <v>170</v>
      </c>
      <c r="D420" s="11" t="s">
        <v>13</v>
      </c>
      <c r="E420" s="11">
        <v>-15</v>
      </c>
      <c r="F420" s="11">
        <f t="shared" si="13"/>
        <v>-15</v>
      </c>
      <c r="G420" s="11" t="s">
        <v>24</v>
      </c>
      <c r="H420" s="11" t="s">
        <v>171</v>
      </c>
      <c r="I420" s="11" t="s">
        <v>34</v>
      </c>
      <c r="J420" s="11">
        <v>25</v>
      </c>
      <c r="K420" s="11">
        <v>45</v>
      </c>
      <c r="L420" s="11"/>
      <c r="M420" s="11">
        <f t="shared" si="12"/>
        <v>375</v>
      </c>
      <c r="N420" s="11">
        <f>IF(Table1[[#This Row],[Transaction Type]]="Sale",ABS(E420)*K420,0)</f>
        <v>675</v>
      </c>
      <c r="O420" s="29">
        <f>IF(Table1[[#This Row],[Transaction Type]]="Purchase",E420*J420,0)</f>
        <v>0</v>
      </c>
    </row>
    <row r="421" spans="1:15" x14ac:dyDescent="0.35">
      <c r="A421" s="27" t="s">
        <v>619</v>
      </c>
      <c r="B421" s="12">
        <v>45780</v>
      </c>
      <c r="C421" s="11" t="s">
        <v>60</v>
      </c>
      <c r="D421" s="11" t="s">
        <v>40</v>
      </c>
      <c r="E421" s="11">
        <v>116</v>
      </c>
      <c r="F421" s="11">
        <f t="shared" si="13"/>
        <v>116</v>
      </c>
      <c r="G421" s="11" t="s">
        <v>14</v>
      </c>
      <c r="H421" s="11" t="s">
        <v>61</v>
      </c>
      <c r="I421" s="11" t="s">
        <v>62</v>
      </c>
      <c r="J421" s="11">
        <v>3.4</v>
      </c>
      <c r="K421" s="11">
        <v>8</v>
      </c>
      <c r="L421" s="11" t="s">
        <v>620</v>
      </c>
      <c r="M421" s="11">
        <f t="shared" si="12"/>
        <v>394.4</v>
      </c>
      <c r="N421" s="11">
        <f>IF(Table1[[#This Row],[Transaction Type]]="Sale",ABS(E421)*K421,0)</f>
        <v>0</v>
      </c>
      <c r="O421" s="29">
        <f>IF(Table1[[#This Row],[Transaction Type]]="Purchase",E421*J421,0)</f>
        <v>394.4</v>
      </c>
    </row>
    <row r="422" spans="1:15" x14ac:dyDescent="0.35">
      <c r="A422" s="27" t="s">
        <v>621</v>
      </c>
      <c r="B422" s="12">
        <v>45782</v>
      </c>
      <c r="C422" s="11" t="s">
        <v>23</v>
      </c>
      <c r="D422" s="11" t="s">
        <v>40</v>
      </c>
      <c r="E422" s="11">
        <v>98</v>
      </c>
      <c r="F422" s="11">
        <f t="shared" si="13"/>
        <v>98</v>
      </c>
      <c r="G422" s="11" t="s">
        <v>24</v>
      </c>
      <c r="H422" s="11" t="s">
        <v>25</v>
      </c>
      <c r="I422" s="11" t="s">
        <v>26</v>
      </c>
      <c r="J422" s="11">
        <v>3</v>
      </c>
      <c r="K422" s="11">
        <v>7</v>
      </c>
      <c r="L422" s="11" t="s">
        <v>622</v>
      </c>
      <c r="M422" s="11">
        <f t="shared" si="12"/>
        <v>294</v>
      </c>
      <c r="N422" s="11">
        <f>IF(Table1[[#This Row],[Transaction Type]]="Sale",ABS(E422)*K422,0)</f>
        <v>0</v>
      </c>
      <c r="O422" s="29">
        <f>IF(Table1[[#This Row],[Transaction Type]]="Purchase",E422*J422,0)</f>
        <v>294</v>
      </c>
    </row>
    <row r="423" spans="1:15" x14ac:dyDescent="0.35">
      <c r="A423" s="27" t="s">
        <v>623</v>
      </c>
      <c r="B423" s="12">
        <v>45782</v>
      </c>
      <c r="C423" s="11" t="s">
        <v>29</v>
      </c>
      <c r="D423" s="11" t="s">
        <v>13</v>
      </c>
      <c r="E423" s="11">
        <v>-4</v>
      </c>
      <c r="F423" s="11">
        <f t="shared" si="13"/>
        <v>-4</v>
      </c>
      <c r="G423" s="11" t="s">
        <v>14</v>
      </c>
      <c r="H423" s="11" t="s">
        <v>30</v>
      </c>
      <c r="I423" s="11" t="s">
        <v>16</v>
      </c>
      <c r="J423" s="11">
        <v>8.8000000000000007</v>
      </c>
      <c r="K423" s="11">
        <v>17</v>
      </c>
      <c r="L423" s="11"/>
      <c r="M423" s="11">
        <f t="shared" si="12"/>
        <v>35.200000000000003</v>
      </c>
      <c r="N423" s="11">
        <f>IF(Table1[[#This Row],[Transaction Type]]="Sale",ABS(E423)*K423,0)</f>
        <v>68</v>
      </c>
      <c r="O423" s="29">
        <f>IF(Table1[[#This Row],[Transaction Type]]="Purchase",E423*J423,0)</f>
        <v>0</v>
      </c>
    </row>
    <row r="424" spans="1:15" x14ac:dyDescent="0.35">
      <c r="A424" s="27" t="s">
        <v>624</v>
      </c>
      <c r="B424" s="12">
        <v>45783</v>
      </c>
      <c r="C424" s="11" t="s">
        <v>23</v>
      </c>
      <c r="D424" s="11" t="s">
        <v>13</v>
      </c>
      <c r="E424" s="11">
        <v>-9</v>
      </c>
      <c r="F424" s="11">
        <f t="shared" si="13"/>
        <v>-9</v>
      </c>
      <c r="G424" s="11" t="s">
        <v>19</v>
      </c>
      <c r="H424" s="11" t="s">
        <v>25</v>
      </c>
      <c r="I424" s="11" t="s">
        <v>26</v>
      </c>
      <c r="J424" s="11">
        <v>3</v>
      </c>
      <c r="K424" s="11">
        <v>7</v>
      </c>
      <c r="L424" s="11"/>
      <c r="M424" s="11">
        <f t="shared" si="12"/>
        <v>27</v>
      </c>
      <c r="N424" s="11">
        <f>IF(Table1[[#This Row],[Transaction Type]]="Sale",ABS(E424)*K424,0)</f>
        <v>63</v>
      </c>
      <c r="O424" s="29">
        <f>IF(Table1[[#This Row],[Transaction Type]]="Purchase",E424*J424,0)</f>
        <v>0</v>
      </c>
    </row>
    <row r="425" spans="1:15" x14ac:dyDescent="0.35">
      <c r="A425" s="27" t="s">
        <v>625</v>
      </c>
      <c r="B425" s="12">
        <v>45783</v>
      </c>
      <c r="C425" s="11" t="s">
        <v>18</v>
      </c>
      <c r="D425" s="11" t="s">
        <v>13</v>
      </c>
      <c r="E425" s="11">
        <v>-15</v>
      </c>
      <c r="F425" s="11">
        <f t="shared" si="13"/>
        <v>-15</v>
      </c>
      <c r="G425" s="11" t="s">
        <v>14</v>
      </c>
      <c r="H425" s="11" t="s">
        <v>20</v>
      </c>
      <c r="I425" s="11" t="s">
        <v>21</v>
      </c>
      <c r="J425" s="11">
        <v>2.6</v>
      </c>
      <c r="K425" s="11">
        <v>5.5</v>
      </c>
      <c r="L425" s="11"/>
      <c r="M425" s="11">
        <f t="shared" si="12"/>
        <v>39</v>
      </c>
      <c r="N425" s="11">
        <f>IF(Table1[[#This Row],[Transaction Type]]="Sale",ABS(E425)*K425,0)</f>
        <v>82.5</v>
      </c>
      <c r="O425" s="29">
        <f>IF(Table1[[#This Row],[Transaction Type]]="Purchase",E425*J425,0)</f>
        <v>0</v>
      </c>
    </row>
    <row r="426" spans="1:15" x14ac:dyDescent="0.35">
      <c r="A426" s="27" t="s">
        <v>626</v>
      </c>
      <c r="B426" s="12">
        <v>45783</v>
      </c>
      <c r="C426" s="11" t="s">
        <v>23</v>
      </c>
      <c r="D426" s="11" t="s">
        <v>13</v>
      </c>
      <c r="E426" s="11">
        <v>-11</v>
      </c>
      <c r="F426" s="11">
        <f t="shared" si="13"/>
        <v>-11</v>
      </c>
      <c r="G426" s="11" t="s">
        <v>19</v>
      </c>
      <c r="H426" s="11" t="s">
        <v>25</v>
      </c>
      <c r="I426" s="11" t="s">
        <v>26</v>
      </c>
      <c r="J426" s="11">
        <v>3</v>
      </c>
      <c r="K426" s="11">
        <v>7</v>
      </c>
      <c r="L426" s="11"/>
      <c r="M426" s="11">
        <f t="shared" si="12"/>
        <v>33</v>
      </c>
      <c r="N426" s="11">
        <f>IF(Table1[[#This Row],[Transaction Type]]="Sale",ABS(E426)*K426,0)</f>
        <v>77</v>
      </c>
      <c r="O426" s="29">
        <f>IF(Table1[[#This Row],[Transaction Type]]="Purchase",E426*J426,0)</f>
        <v>0</v>
      </c>
    </row>
    <row r="427" spans="1:15" x14ac:dyDescent="0.35">
      <c r="A427" s="27" t="s">
        <v>627</v>
      </c>
      <c r="B427" s="12">
        <v>45783</v>
      </c>
      <c r="C427" s="11" t="s">
        <v>43</v>
      </c>
      <c r="D427" s="11" t="s">
        <v>13</v>
      </c>
      <c r="E427" s="11">
        <v>-13</v>
      </c>
      <c r="F427" s="11">
        <f t="shared" si="13"/>
        <v>-13</v>
      </c>
      <c r="G427" s="11" t="s">
        <v>24</v>
      </c>
      <c r="H427" s="11" t="s">
        <v>44</v>
      </c>
      <c r="I427" s="11" t="s">
        <v>45</v>
      </c>
      <c r="J427" s="11">
        <v>5.2</v>
      </c>
      <c r="K427" s="11">
        <v>11</v>
      </c>
      <c r="L427" s="11"/>
      <c r="M427" s="11">
        <f t="shared" si="12"/>
        <v>67.600000000000009</v>
      </c>
      <c r="N427" s="11">
        <f>IF(Table1[[#This Row],[Transaction Type]]="Sale",ABS(E427)*K427,0)</f>
        <v>143</v>
      </c>
      <c r="O427" s="29">
        <f>IF(Table1[[#This Row],[Transaction Type]]="Purchase",E427*J427,0)</f>
        <v>0</v>
      </c>
    </row>
    <row r="428" spans="1:15" x14ac:dyDescent="0.35">
      <c r="A428" s="27" t="s">
        <v>628</v>
      </c>
      <c r="B428" s="12">
        <v>45784</v>
      </c>
      <c r="C428" s="11" t="s">
        <v>55</v>
      </c>
      <c r="D428" s="11" t="s">
        <v>13</v>
      </c>
      <c r="E428" s="11">
        <v>-13</v>
      </c>
      <c r="F428" s="11">
        <f t="shared" si="13"/>
        <v>-13</v>
      </c>
      <c r="G428" s="11" t="s">
        <v>19</v>
      </c>
      <c r="H428" s="11" t="s">
        <v>56</v>
      </c>
      <c r="I428" s="11" t="s">
        <v>16</v>
      </c>
      <c r="J428" s="11">
        <v>4.2</v>
      </c>
      <c r="K428" s="11">
        <v>10</v>
      </c>
      <c r="L428" s="11"/>
      <c r="M428" s="11">
        <f t="shared" si="12"/>
        <v>54.6</v>
      </c>
      <c r="N428" s="11">
        <f>IF(Table1[[#This Row],[Transaction Type]]="Sale",ABS(E428)*K428,0)</f>
        <v>130</v>
      </c>
      <c r="O428" s="29">
        <f>IF(Table1[[#This Row],[Transaction Type]]="Purchase",E428*J428,0)</f>
        <v>0</v>
      </c>
    </row>
    <row r="429" spans="1:15" x14ac:dyDescent="0.35">
      <c r="A429" s="27" t="s">
        <v>629</v>
      </c>
      <c r="B429" s="12">
        <v>45784</v>
      </c>
      <c r="C429" s="11" t="s">
        <v>60</v>
      </c>
      <c r="D429" s="11" t="s">
        <v>13</v>
      </c>
      <c r="E429" s="11">
        <v>-11</v>
      </c>
      <c r="F429" s="11">
        <f t="shared" si="13"/>
        <v>-11</v>
      </c>
      <c r="G429" s="11" t="s">
        <v>14</v>
      </c>
      <c r="H429" s="11" t="s">
        <v>61</v>
      </c>
      <c r="I429" s="11" t="s">
        <v>62</v>
      </c>
      <c r="J429" s="11">
        <v>3.4</v>
      </c>
      <c r="K429" s="11">
        <v>8</v>
      </c>
      <c r="L429" s="11"/>
      <c r="M429" s="11">
        <f t="shared" si="12"/>
        <v>37.4</v>
      </c>
      <c r="N429" s="11">
        <f>IF(Table1[[#This Row],[Transaction Type]]="Sale",ABS(E429)*K429,0)</f>
        <v>88</v>
      </c>
      <c r="O429" s="29">
        <f>IF(Table1[[#This Row],[Transaction Type]]="Purchase",E429*J429,0)</f>
        <v>0</v>
      </c>
    </row>
    <row r="430" spans="1:15" x14ac:dyDescent="0.35">
      <c r="A430" s="27" t="s">
        <v>630</v>
      </c>
      <c r="B430" s="12">
        <v>45785</v>
      </c>
      <c r="C430" s="11" t="s">
        <v>139</v>
      </c>
      <c r="D430" s="11" t="s">
        <v>13</v>
      </c>
      <c r="E430" s="11">
        <v>-12</v>
      </c>
      <c r="F430" s="11">
        <f t="shared" si="13"/>
        <v>-12</v>
      </c>
      <c r="G430" s="11" t="s">
        <v>19</v>
      </c>
      <c r="H430" s="11" t="s">
        <v>56</v>
      </c>
      <c r="I430" s="11" t="s">
        <v>16</v>
      </c>
      <c r="J430" s="11">
        <v>16.5</v>
      </c>
      <c r="K430" s="11">
        <v>28</v>
      </c>
      <c r="L430" s="11"/>
      <c r="M430" s="11">
        <f t="shared" si="12"/>
        <v>198</v>
      </c>
      <c r="N430" s="11">
        <f>IF(Table1[[#This Row],[Transaction Type]]="Sale",ABS(E430)*K430,0)</f>
        <v>336</v>
      </c>
      <c r="O430" s="29">
        <f>IF(Table1[[#This Row],[Transaction Type]]="Purchase",E430*J430,0)</f>
        <v>0</v>
      </c>
    </row>
    <row r="431" spans="1:15" x14ac:dyDescent="0.35">
      <c r="A431" s="27" t="s">
        <v>631</v>
      </c>
      <c r="B431" s="12">
        <v>45785</v>
      </c>
      <c r="C431" s="11" t="s">
        <v>65</v>
      </c>
      <c r="D431" s="11" t="s">
        <v>13</v>
      </c>
      <c r="E431" s="11">
        <v>-4</v>
      </c>
      <c r="F431" s="11">
        <f t="shared" si="13"/>
        <v>-4</v>
      </c>
      <c r="G431" s="11" t="s">
        <v>24</v>
      </c>
      <c r="H431" s="11" t="s">
        <v>67</v>
      </c>
      <c r="I431" s="11" t="s">
        <v>21</v>
      </c>
      <c r="J431" s="11">
        <v>11</v>
      </c>
      <c r="K431" s="11">
        <v>22</v>
      </c>
      <c r="L431" s="11"/>
      <c r="M431" s="11">
        <f t="shared" si="12"/>
        <v>44</v>
      </c>
      <c r="N431" s="11">
        <f>IF(Table1[[#This Row],[Transaction Type]]="Sale",ABS(E431)*K431,0)</f>
        <v>88</v>
      </c>
      <c r="O431" s="29">
        <f>IF(Table1[[#This Row],[Transaction Type]]="Purchase",E431*J431,0)</f>
        <v>0</v>
      </c>
    </row>
    <row r="432" spans="1:15" x14ac:dyDescent="0.35">
      <c r="A432" s="27" t="s">
        <v>632</v>
      </c>
      <c r="B432" s="12">
        <v>45785</v>
      </c>
      <c r="C432" s="11" t="s">
        <v>55</v>
      </c>
      <c r="D432" s="11" t="s">
        <v>13</v>
      </c>
      <c r="E432" s="11">
        <v>-6</v>
      </c>
      <c r="F432" s="11">
        <f t="shared" si="13"/>
        <v>-6</v>
      </c>
      <c r="G432" s="11" t="s">
        <v>14</v>
      </c>
      <c r="H432" s="11" t="s">
        <v>56</v>
      </c>
      <c r="I432" s="11" t="s">
        <v>16</v>
      </c>
      <c r="J432" s="11">
        <v>4.2</v>
      </c>
      <c r="K432" s="11">
        <v>10</v>
      </c>
      <c r="L432" s="11"/>
      <c r="M432" s="11">
        <f t="shared" si="12"/>
        <v>25.200000000000003</v>
      </c>
      <c r="N432" s="11">
        <f>IF(Table1[[#This Row],[Transaction Type]]="Sale",ABS(E432)*K432,0)</f>
        <v>60</v>
      </c>
      <c r="O432" s="29">
        <f>IF(Table1[[#This Row],[Transaction Type]]="Purchase",E432*J432,0)</f>
        <v>0</v>
      </c>
    </row>
    <row r="433" spans="1:15" x14ac:dyDescent="0.35">
      <c r="A433" s="27" t="s">
        <v>633</v>
      </c>
      <c r="B433" s="12">
        <v>45786</v>
      </c>
      <c r="C433" s="11" t="s">
        <v>48</v>
      </c>
      <c r="D433" s="11" t="s">
        <v>58</v>
      </c>
      <c r="E433" s="11">
        <v>19</v>
      </c>
      <c r="F433" s="11">
        <f t="shared" si="13"/>
        <v>19</v>
      </c>
      <c r="G433" s="11" t="s">
        <v>14</v>
      </c>
      <c r="H433" s="11" t="s">
        <v>49</v>
      </c>
      <c r="I433" s="11" t="s">
        <v>21</v>
      </c>
      <c r="J433" s="11">
        <v>8.5</v>
      </c>
      <c r="K433" s="11">
        <v>18</v>
      </c>
      <c r="L433" s="11"/>
      <c r="M433" s="11">
        <f t="shared" si="12"/>
        <v>161.5</v>
      </c>
      <c r="N433" s="11">
        <f>IF(Table1[[#This Row],[Transaction Type]]="Sale",ABS(E433)*K433,0)</f>
        <v>0</v>
      </c>
      <c r="O433" s="29">
        <f>IF(Table1[[#This Row],[Transaction Type]]="Purchase",E433*J433,0)</f>
        <v>0</v>
      </c>
    </row>
    <row r="434" spans="1:15" x14ac:dyDescent="0.35">
      <c r="A434" s="27" t="s">
        <v>634</v>
      </c>
      <c r="B434" s="12">
        <v>45786</v>
      </c>
      <c r="C434" s="11" t="s">
        <v>73</v>
      </c>
      <c r="D434" s="11" t="s">
        <v>13</v>
      </c>
      <c r="E434" s="11">
        <v>-3</v>
      </c>
      <c r="F434" s="11">
        <f t="shared" si="13"/>
        <v>-3</v>
      </c>
      <c r="G434" s="11" t="s">
        <v>19</v>
      </c>
      <c r="H434" s="11" t="s">
        <v>74</v>
      </c>
      <c r="I434" s="11" t="s">
        <v>75</v>
      </c>
      <c r="J434" s="11">
        <v>30</v>
      </c>
      <c r="K434" s="11">
        <v>48</v>
      </c>
      <c r="L434" s="11"/>
      <c r="M434" s="11">
        <f t="shared" si="12"/>
        <v>90</v>
      </c>
      <c r="N434" s="11">
        <f>IF(Table1[[#This Row],[Transaction Type]]="Sale",ABS(E434)*K434,0)</f>
        <v>144</v>
      </c>
      <c r="O434" s="29">
        <f>IF(Table1[[#This Row],[Transaction Type]]="Purchase",E434*J434,0)</f>
        <v>0</v>
      </c>
    </row>
    <row r="435" spans="1:15" x14ac:dyDescent="0.35">
      <c r="A435" s="27" t="s">
        <v>635</v>
      </c>
      <c r="B435" s="12">
        <v>45786</v>
      </c>
      <c r="C435" s="11" t="s">
        <v>43</v>
      </c>
      <c r="D435" s="11" t="s">
        <v>13</v>
      </c>
      <c r="E435" s="11">
        <v>-3</v>
      </c>
      <c r="F435" s="11">
        <f t="shared" si="13"/>
        <v>-3</v>
      </c>
      <c r="G435" s="11" t="s">
        <v>19</v>
      </c>
      <c r="H435" s="11" t="s">
        <v>44</v>
      </c>
      <c r="I435" s="11" t="s">
        <v>45</v>
      </c>
      <c r="J435" s="11">
        <v>5.2</v>
      </c>
      <c r="K435" s="11">
        <v>11</v>
      </c>
      <c r="L435" s="11"/>
      <c r="M435" s="11">
        <f t="shared" si="12"/>
        <v>15.600000000000001</v>
      </c>
      <c r="N435" s="11">
        <f>IF(Table1[[#This Row],[Transaction Type]]="Sale",ABS(E435)*K435,0)</f>
        <v>33</v>
      </c>
      <c r="O435" s="29">
        <f>IF(Table1[[#This Row],[Transaction Type]]="Purchase",E435*J435,0)</f>
        <v>0</v>
      </c>
    </row>
    <row r="436" spans="1:15" x14ac:dyDescent="0.35">
      <c r="A436" s="27" t="s">
        <v>636</v>
      </c>
      <c r="B436" s="12">
        <v>45786</v>
      </c>
      <c r="C436" s="11" t="s">
        <v>136</v>
      </c>
      <c r="D436" s="11" t="s">
        <v>13</v>
      </c>
      <c r="E436" s="11">
        <v>-12</v>
      </c>
      <c r="F436" s="11">
        <f t="shared" si="13"/>
        <v>-12</v>
      </c>
      <c r="G436" s="11" t="s">
        <v>2522</v>
      </c>
      <c r="H436" s="11" t="s">
        <v>33</v>
      </c>
      <c r="I436" s="11" t="s">
        <v>34</v>
      </c>
      <c r="J436" s="11">
        <v>34</v>
      </c>
      <c r="K436" s="11">
        <v>55</v>
      </c>
      <c r="L436" s="11"/>
      <c r="M436" s="11">
        <f t="shared" si="12"/>
        <v>408</v>
      </c>
      <c r="N436" s="11">
        <f>IF(Table1[[#This Row],[Transaction Type]]="Sale",ABS(E436)*K436,0)</f>
        <v>660</v>
      </c>
      <c r="O436" s="29">
        <f>IF(Table1[[#This Row],[Transaction Type]]="Purchase",E436*J436,0)</f>
        <v>0</v>
      </c>
    </row>
    <row r="437" spans="1:15" x14ac:dyDescent="0.35">
      <c r="A437" s="27" t="s">
        <v>637</v>
      </c>
      <c r="B437" s="12">
        <v>45786</v>
      </c>
      <c r="C437" s="11" t="s">
        <v>48</v>
      </c>
      <c r="D437" s="11" t="s">
        <v>13</v>
      </c>
      <c r="E437" s="11">
        <v>-9</v>
      </c>
      <c r="F437" s="11">
        <f t="shared" si="13"/>
        <v>-9</v>
      </c>
      <c r="G437" s="11" t="s">
        <v>24</v>
      </c>
      <c r="H437" s="11" t="s">
        <v>49</v>
      </c>
      <c r="I437" s="11" t="s">
        <v>21</v>
      </c>
      <c r="J437" s="11">
        <v>8.5</v>
      </c>
      <c r="K437" s="11">
        <v>18</v>
      </c>
      <c r="L437" s="11"/>
      <c r="M437" s="11">
        <f t="shared" si="12"/>
        <v>76.5</v>
      </c>
      <c r="N437" s="11">
        <f>IF(Table1[[#This Row],[Transaction Type]]="Sale",ABS(E437)*K437,0)</f>
        <v>162</v>
      </c>
      <c r="O437" s="29">
        <f>IF(Table1[[#This Row],[Transaction Type]]="Purchase",E437*J437,0)</f>
        <v>0</v>
      </c>
    </row>
    <row r="438" spans="1:15" x14ac:dyDescent="0.35">
      <c r="A438" s="27" t="s">
        <v>638</v>
      </c>
      <c r="B438" s="12">
        <v>45787</v>
      </c>
      <c r="C438" s="11" t="s">
        <v>60</v>
      </c>
      <c r="D438" s="11" t="s">
        <v>13</v>
      </c>
      <c r="E438" s="11">
        <v>-1</v>
      </c>
      <c r="F438" s="11">
        <f t="shared" si="13"/>
        <v>-1</v>
      </c>
      <c r="G438" s="11" t="s">
        <v>14</v>
      </c>
      <c r="H438" s="11" t="s">
        <v>61</v>
      </c>
      <c r="I438" s="11" t="s">
        <v>62</v>
      </c>
      <c r="J438" s="11">
        <v>3.4</v>
      </c>
      <c r="K438" s="11">
        <v>8</v>
      </c>
      <c r="L438" s="11"/>
      <c r="M438" s="11">
        <f t="shared" si="12"/>
        <v>3.4</v>
      </c>
      <c r="N438" s="11">
        <f>IF(Table1[[#This Row],[Transaction Type]]="Sale",ABS(E438)*K438,0)</f>
        <v>8</v>
      </c>
      <c r="O438" s="29">
        <f>IF(Table1[[#This Row],[Transaction Type]]="Purchase",E438*J438,0)</f>
        <v>0</v>
      </c>
    </row>
    <row r="439" spans="1:15" x14ac:dyDescent="0.35">
      <c r="A439" s="27" t="s">
        <v>639</v>
      </c>
      <c r="B439" s="12">
        <v>45787</v>
      </c>
      <c r="C439" s="11" t="s">
        <v>139</v>
      </c>
      <c r="D439" s="11" t="s">
        <v>13</v>
      </c>
      <c r="E439" s="11">
        <v>-13</v>
      </c>
      <c r="F439" s="11">
        <f t="shared" si="13"/>
        <v>-13</v>
      </c>
      <c r="G439" s="11" t="s">
        <v>14</v>
      </c>
      <c r="H439" s="11" t="s">
        <v>56</v>
      </c>
      <c r="I439" s="11" t="s">
        <v>16</v>
      </c>
      <c r="J439" s="11">
        <v>16.5</v>
      </c>
      <c r="K439" s="11">
        <v>28</v>
      </c>
      <c r="L439" s="11"/>
      <c r="M439" s="11">
        <f t="shared" si="12"/>
        <v>214.5</v>
      </c>
      <c r="N439" s="11">
        <f>IF(Table1[[#This Row],[Transaction Type]]="Sale",ABS(E439)*K439,0)</f>
        <v>364</v>
      </c>
      <c r="O439" s="29">
        <f>IF(Table1[[#This Row],[Transaction Type]]="Purchase",E439*J439,0)</f>
        <v>0</v>
      </c>
    </row>
    <row r="440" spans="1:15" x14ac:dyDescent="0.35">
      <c r="A440" s="27" t="s">
        <v>640</v>
      </c>
      <c r="B440" s="12">
        <v>45787</v>
      </c>
      <c r="C440" s="11" t="s">
        <v>55</v>
      </c>
      <c r="D440" s="11" t="s">
        <v>40</v>
      </c>
      <c r="E440" s="11">
        <v>47</v>
      </c>
      <c r="F440" s="11">
        <f t="shared" si="13"/>
        <v>47</v>
      </c>
      <c r="G440" s="11" t="s">
        <v>14</v>
      </c>
      <c r="H440" s="11" t="s">
        <v>56</v>
      </c>
      <c r="I440" s="11" t="s">
        <v>16</v>
      </c>
      <c r="J440" s="11">
        <v>4.2</v>
      </c>
      <c r="K440" s="11">
        <v>10</v>
      </c>
      <c r="L440" s="11" t="s">
        <v>641</v>
      </c>
      <c r="M440" s="11">
        <f t="shared" si="12"/>
        <v>197.4</v>
      </c>
      <c r="N440" s="11">
        <f>IF(Table1[[#This Row],[Transaction Type]]="Sale",ABS(E440)*K440,0)</f>
        <v>0</v>
      </c>
      <c r="O440" s="29">
        <f>IF(Table1[[#This Row],[Transaction Type]]="Purchase",E440*J440,0)</f>
        <v>197.4</v>
      </c>
    </row>
    <row r="441" spans="1:15" x14ac:dyDescent="0.35">
      <c r="A441" s="27" t="s">
        <v>642</v>
      </c>
      <c r="B441" s="12">
        <v>45787</v>
      </c>
      <c r="C441" s="11" t="s">
        <v>77</v>
      </c>
      <c r="D441" s="11" t="s">
        <v>40</v>
      </c>
      <c r="E441" s="11">
        <v>56</v>
      </c>
      <c r="F441" s="11">
        <f t="shared" si="13"/>
        <v>56</v>
      </c>
      <c r="G441" s="11" t="s">
        <v>24</v>
      </c>
      <c r="H441" s="11" t="s">
        <v>78</v>
      </c>
      <c r="I441" s="11" t="s">
        <v>16</v>
      </c>
      <c r="J441" s="11">
        <v>25</v>
      </c>
      <c r="K441" s="11">
        <v>42</v>
      </c>
      <c r="L441" s="11" t="s">
        <v>643</v>
      </c>
      <c r="M441" s="11">
        <f t="shared" si="12"/>
        <v>1400</v>
      </c>
      <c r="N441" s="11">
        <f>IF(Table1[[#This Row],[Transaction Type]]="Sale",ABS(E441)*K441,0)</f>
        <v>0</v>
      </c>
      <c r="O441" s="29">
        <f>IF(Table1[[#This Row],[Transaction Type]]="Purchase",E441*J441,0)</f>
        <v>1400</v>
      </c>
    </row>
    <row r="442" spans="1:15" x14ac:dyDescent="0.35">
      <c r="A442" s="27" t="s">
        <v>644</v>
      </c>
      <c r="B442" s="12">
        <v>45787</v>
      </c>
      <c r="C442" s="11" t="s">
        <v>73</v>
      </c>
      <c r="D442" s="11" t="s">
        <v>40</v>
      </c>
      <c r="E442" s="11">
        <v>49</v>
      </c>
      <c r="F442" s="11">
        <f t="shared" si="13"/>
        <v>49</v>
      </c>
      <c r="G442" s="11" t="s">
        <v>14</v>
      </c>
      <c r="H442" s="11" t="s">
        <v>74</v>
      </c>
      <c r="I442" s="11" t="s">
        <v>75</v>
      </c>
      <c r="J442" s="11">
        <v>30</v>
      </c>
      <c r="K442" s="11">
        <v>48</v>
      </c>
      <c r="L442" s="11" t="s">
        <v>645</v>
      </c>
      <c r="M442" s="11">
        <f t="shared" si="12"/>
        <v>1470</v>
      </c>
      <c r="N442" s="11">
        <f>IF(Table1[[#This Row],[Transaction Type]]="Sale",ABS(E442)*K442,0)</f>
        <v>0</v>
      </c>
      <c r="O442" s="29">
        <f>IF(Table1[[#This Row],[Transaction Type]]="Purchase",E442*J442,0)</f>
        <v>1470</v>
      </c>
    </row>
    <row r="443" spans="1:15" x14ac:dyDescent="0.35">
      <c r="A443" s="27" t="s">
        <v>646</v>
      </c>
      <c r="B443" s="12">
        <v>45787</v>
      </c>
      <c r="C443" s="11" t="s">
        <v>23</v>
      </c>
      <c r="D443" s="11" t="s">
        <v>13</v>
      </c>
      <c r="E443" s="11">
        <v>-12</v>
      </c>
      <c r="F443" s="11">
        <f t="shared" si="13"/>
        <v>-12</v>
      </c>
      <c r="G443" s="11" t="s">
        <v>14</v>
      </c>
      <c r="H443" s="11" t="s">
        <v>25</v>
      </c>
      <c r="I443" s="11" t="s">
        <v>26</v>
      </c>
      <c r="J443" s="11">
        <v>3</v>
      </c>
      <c r="K443" s="11">
        <v>7</v>
      </c>
      <c r="L443" s="11"/>
      <c r="M443" s="11">
        <f t="shared" si="12"/>
        <v>36</v>
      </c>
      <c r="N443" s="11">
        <f>IF(Table1[[#This Row],[Transaction Type]]="Sale",ABS(E443)*K443,0)</f>
        <v>84</v>
      </c>
      <c r="O443" s="29">
        <f>IF(Table1[[#This Row],[Transaction Type]]="Purchase",E443*J443,0)</f>
        <v>0</v>
      </c>
    </row>
    <row r="444" spans="1:15" x14ac:dyDescent="0.35">
      <c r="A444" s="27" t="s">
        <v>647</v>
      </c>
      <c r="B444" s="12">
        <v>45787</v>
      </c>
      <c r="C444" s="11" t="s">
        <v>60</v>
      </c>
      <c r="D444" s="11" t="s">
        <v>40</v>
      </c>
      <c r="E444" s="11">
        <v>61</v>
      </c>
      <c r="F444" s="11">
        <f t="shared" si="13"/>
        <v>61</v>
      </c>
      <c r="G444" s="11" t="s">
        <v>19</v>
      </c>
      <c r="H444" s="11" t="s">
        <v>61</v>
      </c>
      <c r="I444" s="11" t="s">
        <v>62</v>
      </c>
      <c r="J444" s="11">
        <v>3.4</v>
      </c>
      <c r="K444" s="11">
        <v>8</v>
      </c>
      <c r="L444" s="11" t="s">
        <v>648</v>
      </c>
      <c r="M444" s="11">
        <f t="shared" si="12"/>
        <v>207.4</v>
      </c>
      <c r="N444" s="11">
        <f>IF(Table1[[#This Row],[Transaction Type]]="Sale",ABS(E444)*K444,0)</f>
        <v>0</v>
      </c>
      <c r="O444" s="29">
        <f>IF(Table1[[#This Row],[Transaction Type]]="Purchase",E444*J444,0)</f>
        <v>207.4</v>
      </c>
    </row>
    <row r="445" spans="1:15" x14ac:dyDescent="0.35">
      <c r="A445" s="27" t="s">
        <v>649</v>
      </c>
      <c r="B445" s="12">
        <v>45787</v>
      </c>
      <c r="C445" s="11" t="s">
        <v>55</v>
      </c>
      <c r="D445" s="11" t="s">
        <v>40</v>
      </c>
      <c r="E445" s="11">
        <v>63</v>
      </c>
      <c r="F445" s="11">
        <f t="shared" si="13"/>
        <v>63</v>
      </c>
      <c r="G445" s="11" t="s">
        <v>14</v>
      </c>
      <c r="H445" s="11" t="s">
        <v>56</v>
      </c>
      <c r="I445" s="11" t="s">
        <v>16</v>
      </c>
      <c r="J445" s="11">
        <v>4.2</v>
      </c>
      <c r="K445" s="11">
        <v>10</v>
      </c>
      <c r="L445" s="11" t="s">
        <v>650</v>
      </c>
      <c r="M445" s="11">
        <f t="shared" si="12"/>
        <v>264.60000000000002</v>
      </c>
      <c r="N445" s="11">
        <f>IF(Table1[[#This Row],[Transaction Type]]="Sale",ABS(E445)*K445,0)</f>
        <v>0</v>
      </c>
      <c r="O445" s="29">
        <f>IF(Table1[[#This Row],[Transaction Type]]="Purchase",E445*J445,0)</f>
        <v>264.60000000000002</v>
      </c>
    </row>
    <row r="446" spans="1:15" x14ac:dyDescent="0.35">
      <c r="A446" s="27" t="s">
        <v>651</v>
      </c>
      <c r="B446" s="12">
        <v>45787</v>
      </c>
      <c r="C446" s="11" t="s">
        <v>48</v>
      </c>
      <c r="D446" s="11" t="s">
        <v>40</v>
      </c>
      <c r="E446" s="11">
        <v>25</v>
      </c>
      <c r="F446" s="11">
        <f t="shared" si="13"/>
        <v>25</v>
      </c>
      <c r="G446" s="11" t="s">
        <v>19</v>
      </c>
      <c r="H446" s="11" t="s">
        <v>49</v>
      </c>
      <c r="I446" s="11" t="s">
        <v>21</v>
      </c>
      <c r="J446" s="11">
        <v>8.5</v>
      </c>
      <c r="K446" s="11">
        <v>18</v>
      </c>
      <c r="L446" s="11" t="s">
        <v>652</v>
      </c>
      <c r="M446" s="11">
        <f t="shared" si="12"/>
        <v>212.5</v>
      </c>
      <c r="N446" s="11">
        <f>IF(Table1[[#This Row],[Transaction Type]]="Sale",ABS(E446)*K446,0)</f>
        <v>0</v>
      </c>
      <c r="O446" s="29">
        <f>IF(Table1[[#This Row],[Transaction Type]]="Purchase",E446*J446,0)</f>
        <v>212.5</v>
      </c>
    </row>
    <row r="447" spans="1:15" x14ac:dyDescent="0.35">
      <c r="A447" s="27" t="s">
        <v>653</v>
      </c>
      <c r="B447" s="12">
        <v>45788</v>
      </c>
      <c r="C447" s="11" t="s">
        <v>43</v>
      </c>
      <c r="D447" s="11" t="s">
        <v>40</v>
      </c>
      <c r="E447" s="11">
        <v>35</v>
      </c>
      <c r="F447" s="11">
        <f t="shared" si="13"/>
        <v>35</v>
      </c>
      <c r="G447" s="11" t="s">
        <v>24</v>
      </c>
      <c r="H447" s="11" t="s">
        <v>44</v>
      </c>
      <c r="I447" s="11" t="s">
        <v>45</v>
      </c>
      <c r="J447" s="11">
        <v>5.2</v>
      </c>
      <c r="K447" s="11">
        <v>11</v>
      </c>
      <c r="L447" s="11" t="s">
        <v>654</v>
      </c>
      <c r="M447" s="11">
        <f t="shared" si="12"/>
        <v>182</v>
      </c>
      <c r="N447" s="11">
        <f>IF(Table1[[#This Row],[Transaction Type]]="Sale",ABS(E447)*K447,0)</f>
        <v>0</v>
      </c>
      <c r="O447" s="29">
        <f>IF(Table1[[#This Row],[Transaction Type]]="Purchase",E447*J447,0)</f>
        <v>182</v>
      </c>
    </row>
    <row r="448" spans="1:15" x14ac:dyDescent="0.35">
      <c r="A448" s="27" t="s">
        <v>655</v>
      </c>
      <c r="B448" s="12">
        <v>45788</v>
      </c>
      <c r="C448" s="11" t="s">
        <v>55</v>
      </c>
      <c r="D448" s="11" t="s">
        <v>58</v>
      </c>
      <c r="E448" s="11">
        <v>-6</v>
      </c>
      <c r="F448" s="11">
        <f t="shared" si="13"/>
        <v>-6</v>
      </c>
      <c r="G448" s="11" t="s">
        <v>19</v>
      </c>
      <c r="H448" s="11" t="s">
        <v>56</v>
      </c>
      <c r="I448" s="11" t="s">
        <v>16</v>
      </c>
      <c r="J448" s="11">
        <v>4.2</v>
      </c>
      <c r="K448" s="11">
        <v>10</v>
      </c>
      <c r="L448" s="11"/>
      <c r="M448" s="11">
        <f t="shared" si="12"/>
        <v>25.200000000000003</v>
      </c>
      <c r="N448" s="11">
        <f>IF(Table1[[#This Row],[Transaction Type]]="Sale",ABS(E448)*K448,0)</f>
        <v>0</v>
      </c>
      <c r="O448" s="29">
        <f>IF(Table1[[#This Row],[Transaction Type]]="Purchase",E448*J448,0)</f>
        <v>0</v>
      </c>
    </row>
    <row r="449" spans="1:15" x14ac:dyDescent="0.35">
      <c r="A449" s="27" t="s">
        <v>656</v>
      </c>
      <c r="B449" s="12">
        <v>45789</v>
      </c>
      <c r="C449" s="11" t="s">
        <v>48</v>
      </c>
      <c r="D449" s="11" t="s">
        <v>58</v>
      </c>
      <c r="E449" s="11">
        <v>-12</v>
      </c>
      <c r="F449" s="11">
        <f t="shared" si="13"/>
        <v>-12</v>
      </c>
      <c r="G449" s="11" t="s">
        <v>24</v>
      </c>
      <c r="H449" s="11" t="s">
        <v>49</v>
      </c>
      <c r="I449" s="11" t="s">
        <v>21</v>
      </c>
      <c r="J449" s="11">
        <v>8.5</v>
      </c>
      <c r="K449" s="11">
        <v>18</v>
      </c>
      <c r="L449" s="11"/>
      <c r="M449" s="11">
        <f t="shared" si="12"/>
        <v>102</v>
      </c>
      <c r="N449" s="11">
        <f>IF(Table1[[#This Row],[Transaction Type]]="Sale",ABS(E449)*K449,0)</f>
        <v>0</v>
      </c>
      <c r="O449" s="29">
        <f>IF(Table1[[#This Row],[Transaction Type]]="Purchase",E449*J449,0)</f>
        <v>0</v>
      </c>
    </row>
    <row r="450" spans="1:15" x14ac:dyDescent="0.35">
      <c r="A450" s="27" t="s">
        <v>657</v>
      </c>
      <c r="B450" s="12">
        <v>45789</v>
      </c>
      <c r="C450" s="11" t="s">
        <v>52</v>
      </c>
      <c r="D450" s="11" t="s">
        <v>40</v>
      </c>
      <c r="E450" s="11">
        <v>41</v>
      </c>
      <c r="F450" s="11">
        <f t="shared" si="13"/>
        <v>41</v>
      </c>
      <c r="G450" s="11" t="s">
        <v>14</v>
      </c>
      <c r="H450" s="11" t="s">
        <v>20</v>
      </c>
      <c r="I450" s="11" t="s">
        <v>21</v>
      </c>
      <c r="J450" s="11">
        <v>5.5</v>
      </c>
      <c r="K450" s="11">
        <v>12</v>
      </c>
      <c r="L450" s="11" t="s">
        <v>658</v>
      </c>
      <c r="M450" s="11">
        <f t="shared" ref="M450:M513" si="14">ABS(E450)*J450</f>
        <v>225.5</v>
      </c>
      <c r="N450" s="11">
        <f>IF(Table1[[#This Row],[Transaction Type]]="Sale",ABS(E450)*K450,0)</f>
        <v>0</v>
      </c>
      <c r="O450" s="29">
        <f>IF(Table1[[#This Row],[Transaction Type]]="Purchase",E450*J450,0)</f>
        <v>225.5</v>
      </c>
    </row>
    <row r="451" spans="1:15" x14ac:dyDescent="0.35">
      <c r="A451" s="27" t="s">
        <v>659</v>
      </c>
      <c r="B451" s="12">
        <v>45789</v>
      </c>
      <c r="C451" s="11" t="s">
        <v>23</v>
      </c>
      <c r="D451" s="11" t="s">
        <v>13</v>
      </c>
      <c r="E451" s="11">
        <v>-10</v>
      </c>
      <c r="F451" s="11">
        <f t="shared" ref="F451:F514" si="15">E451</f>
        <v>-10</v>
      </c>
      <c r="G451" s="11" t="s">
        <v>14</v>
      </c>
      <c r="H451" s="11" t="s">
        <v>25</v>
      </c>
      <c r="I451" s="11" t="s">
        <v>26</v>
      </c>
      <c r="J451" s="11">
        <v>3</v>
      </c>
      <c r="K451" s="11">
        <v>7</v>
      </c>
      <c r="L451" s="11"/>
      <c r="M451" s="11">
        <f t="shared" si="14"/>
        <v>30</v>
      </c>
      <c r="N451" s="11">
        <f>IF(Table1[[#This Row],[Transaction Type]]="Sale",ABS(E451)*K451,0)</f>
        <v>70</v>
      </c>
      <c r="O451" s="29">
        <f>IF(Table1[[#This Row],[Transaction Type]]="Purchase",E451*J451,0)</f>
        <v>0</v>
      </c>
    </row>
    <row r="452" spans="1:15" x14ac:dyDescent="0.35">
      <c r="A452" s="27" t="s">
        <v>660</v>
      </c>
      <c r="B452" s="12">
        <v>45790</v>
      </c>
      <c r="C452" s="11" t="s">
        <v>98</v>
      </c>
      <c r="D452" s="11" t="s">
        <v>13</v>
      </c>
      <c r="E452" s="11">
        <v>-7</v>
      </c>
      <c r="F452" s="11">
        <f t="shared" si="15"/>
        <v>-7</v>
      </c>
      <c r="G452" s="11" t="s">
        <v>24</v>
      </c>
      <c r="H452" s="11" t="s">
        <v>30</v>
      </c>
      <c r="I452" s="11" t="s">
        <v>16</v>
      </c>
      <c r="J452" s="11">
        <v>16</v>
      </c>
      <c r="K452" s="11">
        <v>29</v>
      </c>
      <c r="L452" s="11"/>
      <c r="M452" s="11">
        <f t="shared" si="14"/>
        <v>112</v>
      </c>
      <c r="N452" s="11">
        <f>IF(Table1[[#This Row],[Transaction Type]]="Sale",ABS(E452)*K452,0)</f>
        <v>203</v>
      </c>
      <c r="O452" s="29">
        <f>IF(Table1[[#This Row],[Transaction Type]]="Purchase",E452*J452,0)</f>
        <v>0</v>
      </c>
    </row>
    <row r="453" spans="1:15" x14ac:dyDescent="0.35">
      <c r="A453" s="27" t="s">
        <v>661</v>
      </c>
      <c r="B453" s="12">
        <v>45790</v>
      </c>
      <c r="C453" s="11" t="s">
        <v>52</v>
      </c>
      <c r="D453" s="11" t="s">
        <v>13</v>
      </c>
      <c r="E453" s="11">
        <v>-13</v>
      </c>
      <c r="F453" s="11">
        <f t="shared" si="15"/>
        <v>-13</v>
      </c>
      <c r="G453" s="11" t="s">
        <v>14</v>
      </c>
      <c r="H453" s="11" t="s">
        <v>20</v>
      </c>
      <c r="I453" s="11" t="s">
        <v>21</v>
      </c>
      <c r="J453" s="11">
        <v>5.5</v>
      </c>
      <c r="K453" s="11">
        <v>12</v>
      </c>
      <c r="L453" s="11"/>
      <c r="M453" s="11">
        <f t="shared" si="14"/>
        <v>71.5</v>
      </c>
      <c r="N453" s="11">
        <f>IF(Table1[[#This Row],[Transaction Type]]="Sale",ABS(E453)*K453,0)</f>
        <v>156</v>
      </c>
      <c r="O453" s="29">
        <f>IF(Table1[[#This Row],[Transaction Type]]="Purchase",E453*J453,0)</f>
        <v>0</v>
      </c>
    </row>
    <row r="454" spans="1:15" x14ac:dyDescent="0.35">
      <c r="A454" s="27" t="s">
        <v>662</v>
      </c>
      <c r="B454" s="12">
        <v>45790</v>
      </c>
      <c r="C454" s="11" t="s">
        <v>65</v>
      </c>
      <c r="D454" s="11" t="s">
        <v>40</v>
      </c>
      <c r="E454" s="11">
        <v>103</v>
      </c>
      <c r="F454" s="11">
        <f t="shared" si="15"/>
        <v>103</v>
      </c>
      <c r="G454" s="11" t="s">
        <v>24</v>
      </c>
      <c r="H454" s="11" t="s">
        <v>67</v>
      </c>
      <c r="I454" s="11" t="s">
        <v>21</v>
      </c>
      <c r="J454" s="11">
        <v>11</v>
      </c>
      <c r="K454" s="11">
        <v>22</v>
      </c>
      <c r="L454" s="11" t="s">
        <v>663</v>
      </c>
      <c r="M454" s="11">
        <f t="shared" si="14"/>
        <v>1133</v>
      </c>
      <c r="N454" s="11">
        <f>IF(Table1[[#This Row],[Transaction Type]]="Sale",ABS(E454)*K454,0)</f>
        <v>0</v>
      </c>
      <c r="O454" s="29">
        <f>IF(Table1[[#This Row],[Transaction Type]]="Purchase",E454*J454,0)</f>
        <v>1133</v>
      </c>
    </row>
    <row r="455" spans="1:15" x14ac:dyDescent="0.35">
      <c r="A455" s="27" t="s">
        <v>664</v>
      </c>
      <c r="B455" s="12">
        <v>45790</v>
      </c>
      <c r="C455" s="11" t="s">
        <v>23</v>
      </c>
      <c r="D455" s="11" t="s">
        <v>13</v>
      </c>
      <c r="E455" s="11">
        <v>-4</v>
      </c>
      <c r="F455" s="11">
        <f t="shared" si="15"/>
        <v>-4</v>
      </c>
      <c r="G455" s="11" t="s">
        <v>24</v>
      </c>
      <c r="H455" s="11" t="s">
        <v>25</v>
      </c>
      <c r="I455" s="11" t="s">
        <v>26</v>
      </c>
      <c r="J455" s="11">
        <v>3</v>
      </c>
      <c r="K455" s="11">
        <v>7</v>
      </c>
      <c r="L455" s="11"/>
      <c r="M455" s="11">
        <f t="shared" si="14"/>
        <v>12</v>
      </c>
      <c r="N455" s="11">
        <f>IF(Table1[[#This Row],[Transaction Type]]="Sale",ABS(E455)*K455,0)</f>
        <v>28</v>
      </c>
      <c r="O455" s="29">
        <f>IF(Table1[[#This Row],[Transaction Type]]="Purchase",E455*J455,0)</f>
        <v>0</v>
      </c>
    </row>
    <row r="456" spans="1:15" x14ac:dyDescent="0.35">
      <c r="A456" s="27" t="s">
        <v>665</v>
      </c>
      <c r="B456" s="12">
        <v>45791</v>
      </c>
      <c r="C456" s="11" t="s">
        <v>55</v>
      </c>
      <c r="D456" s="11" t="s">
        <v>13</v>
      </c>
      <c r="E456" s="11">
        <v>-3</v>
      </c>
      <c r="F456" s="11">
        <f t="shared" si="15"/>
        <v>-3</v>
      </c>
      <c r="G456" s="11" t="s">
        <v>14</v>
      </c>
      <c r="H456" s="11" t="s">
        <v>56</v>
      </c>
      <c r="I456" s="11" t="s">
        <v>16</v>
      </c>
      <c r="J456" s="11">
        <v>4.2</v>
      </c>
      <c r="K456" s="11">
        <v>10</v>
      </c>
      <c r="L456" s="11"/>
      <c r="M456" s="11">
        <f t="shared" si="14"/>
        <v>12.600000000000001</v>
      </c>
      <c r="N456" s="11">
        <f>IF(Table1[[#This Row],[Transaction Type]]="Sale",ABS(E456)*K456,0)</f>
        <v>30</v>
      </c>
      <c r="O456" s="29">
        <f>IF(Table1[[#This Row],[Transaction Type]]="Purchase",E456*J456,0)</f>
        <v>0</v>
      </c>
    </row>
    <row r="457" spans="1:15" x14ac:dyDescent="0.35">
      <c r="A457" s="27" t="s">
        <v>666</v>
      </c>
      <c r="B457" s="12">
        <v>45791</v>
      </c>
      <c r="C457" s="11" t="s">
        <v>52</v>
      </c>
      <c r="D457" s="11" t="s">
        <v>13</v>
      </c>
      <c r="E457" s="11">
        <v>-13</v>
      </c>
      <c r="F457" s="11">
        <f t="shared" si="15"/>
        <v>-13</v>
      </c>
      <c r="G457" s="11" t="s">
        <v>14</v>
      </c>
      <c r="H457" s="11" t="s">
        <v>20</v>
      </c>
      <c r="I457" s="11" t="s">
        <v>21</v>
      </c>
      <c r="J457" s="11">
        <v>5.5</v>
      </c>
      <c r="K457" s="11">
        <v>12</v>
      </c>
      <c r="L457" s="11"/>
      <c r="M457" s="11">
        <f t="shared" si="14"/>
        <v>71.5</v>
      </c>
      <c r="N457" s="11">
        <f>IF(Table1[[#This Row],[Transaction Type]]="Sale",ABS(E457)*K457,0)</f>
        <v>156</v>
      </c>
      <c r="O457" s="29">
        <f>IF(Table1[[#This Row],[Transaction Type]]="Purchase",E457*J457,0)</f>
        <v>0</v>
      </c>
    </row>
    <row r="458" spans="1:15" x14ac:dyDescent="0.35">
      <c r="A458" s="27" t="s">
        <v>667</v>
      </c>
      <c r="B458" s="12">
        <v>45791</v>
      </c>
      <c r="C458" s="11" t="s">
        <v>83</v>
      </c>
      <c r="D458" s="11" t="s">
        <v>40</v>
      </c>
      <c r="E458" s="11">
        <v>98</v>
      </c>
      <c r="F458" s="11">
        <f t="shared" si="15"/>
        <v>98</v>
      </c>
      <c r="G458" s="11" t="s">
        <v>24</v>
      </c>
      <c r="H458" s="11" t="s">
        <v>84</v>
      </c>
      <c r="I458" s="11" t="s">
        <v>45</v>
      </c>
      <c r="J458" s="11">
        <v>130</v>
      </c>
      <c r="K458" s="11">
        <v>185</v>
      </c>
      <c r="L458" s="11" t="s">
        <v>668</v>
      </c>
      <c r="M458" s="11">
        <f t="shared" si="14"/>
        <v>12740</v>
      </c>
      <c r="N458" s="11">
        <f>IF(Table1[[#This Row],[Transaction Type]]="Sale",ABS(E458)*K458,0)</f>
        <v>0</v>
      </c>
      <c r="O458" s="29">
        <f>IF(Table1[[#This Row],[Transaction Type]]="Purchase",E458*J458,0)</f>
        <v>12740</v>
      </c>
    </row>
    <row r="459" spans="1:15" x14ac:dyDescent="0.35">
      <c r="A459" s="27" t="s">
        <v>669</v>
      </c>
      <c r="B459" s="12">
        <v>45792</v>
      </c>
      <c r="C459" s="11" t="s">
        <v>23</v>
      </c>
      <c r="D459" s="11" t="s">
        <v>40</v>
      </c>
      <c r="E459" s="11">
        <v>84</v>
      </c>
      <c r="F459" s="11">
        <f t="shared" si="15"/>
        <v>84</v>
      </c>
      <c r="G459" s="11" t="s">
        <v>19</v>
      </c>
      <c r="H459" s="11" t="s">
        <v>25</v>
      </c>
      <c r="I459" s="11" t="s">
        <v>26</v>
      </c>
      <c r="J459" s="11">
        <v>3</v>
      </c>
      <c r="K459" s="11">
        <v>7</v>
      </c>
      <c r="L459" s="11" t="s">
        <v>670</v>
      </c>
      <c r="M459" s="11">
        <f t="shared" si="14"/>
        <v>252</v>
      </c>
      <c r="N459" s="11">
        <f>IF(Table1[[#This Row],[Transaction Type]]="Sale",ABS(E459)*K459,0)</f>
        <v>0</v>
      </c>
      <c r="O459" s="29">
        <f>IF(Table1[[#This Row],[Transaction Type]]="Purchase",E459*J459,0)</f>
        <v>252</v>
      </c>
    </row>
    <row r="460" spans="1:15" x14ac:dyDescent="0.35">
      <c r="A460" s="27" t="s">
        <v>671</v>
      </c>
      <c r="B460" s="12">
        <v>45792</v>
      </c>
      <c r="C460" s="11" t="s">
        <v>87</v>
      </c>
      <c r="D460" s="11" t="s">
        <v>13</v>
      </c>
      <c r="E460" s="11">
        <v>-1</v>
      </c>
      <c r="F460" s="11">
        <f t="shared" si="15"/>
        <v>-1</v>
      </c>
      <c r="G460" s="11" t="s">
        <v>24</v>
      </c>
      <c r="H460" s="11" t="s">
        <v>88</v>
      </c>
      <c r="I460" s="11" t="s">
        <v>16</v>
      </c>
      <c r="J460" s="11">
        <v>6</v>
      </c>
      <c r="K460" s="11">
        <v>14</v>
      </c>
      <c r="L460" s="11"/>
      <c r="M460" s="11">
        <f t="shared" si="14"/>
        <v>6</v>
      </c>
      <c r="N460" s="11">
        <f>IF(Table1[[#This Row],[Transaction Type]]="Sale",ABS(E460)*K460,0)</f>
        <v>14</v>
      </c>
      <c r="O460" s="29">
        <f>IF(Table1[[#This Row],[Transaction Type]]="Purchase",E460*J460,0)</f>
        <v>0</v>
      </c>
    </row>
    <row r="461" spans="1:15" x14ac:dyDescent="0.35">
      <c r="A461" s="27" t="s">
        <v>672</v>
      </c>
      <c r="B461" s="12">
        <v>45793</v>
      </c>
      <c r="C461" s="11" t="s">
        <v>23</v>
      </c>
      <c r="D461" s="11" t="s">
        <v>13</v>
      </c>
      <c r="E461" s="11">
        <v>-2</v>
      </c>
      <c r="F461" s="11">
        <f t="shared" si="15"/>
        <v>-2</v>
      </c>
      <c r="G461" s="11" t="s">
        <v>14</v>
      </c>
      <c r="H461" s="11" t="s">
        <v>25</v>
      </c>
      <c r="I461" s="11" t="s">
        <v>26</v>
      </c>
      <c r="J461" s="11">
        <v>3</v>
      </c>
      <c r="K461" s="11">
        <v>7</v>
      </c>
      <c r="L461" s="11"/>
      <c r="M461" s="11">
        <f t="shared" si="14"/>
        <v>6</v>
      </c>
      <c r="N461" s="11">
        <f>IF(Table1[[#This Row],[Transaction Type]]="Sale",ABS(E461)*K461,0)</f>
        <v>14</v>
      </c>
      <c r="O461" s="29">
        <f>IF(Table1[[#This Row],[Transaction Type]]="Purchase",E461*J461,0)</f>
        <v>0</v>
      </c>
    </row>
    <row r="462" spans="1:15" x14ac:dyDescent="0.35">
      <c r="A462" s="27" t="s">
        <v>673</v>
      </c>
      <c r="B462" s="12">
        <v>45793</v>
      </c>
      <c r="C462" s="11" t="s">
        <v>60</v>
      </c>
      <c r="D462" s="11" t="s">
        <v>40</v>
      </c>
      <c r="E462" s="11">
        <v>111</v>
      </c>
      <c r="F462" s="11">
        <f t="shared" si="15"/>
        <v>111</v>
      </c>
      <c r="G462" s="11" t="s">
        <v>24</v>
      </c>
      <c r="H462" s="11" t="s">
        <v>61</v>
      </c>
      <c r="I462" s="11" t="s">
        <v>62</v>
      </c>
      <c r="J462" s="11">
        <v>3.4</v>
      </c>
      <c r="K462" s="11">
        <v>8</v>
      </c>
      <c r="L462" s="11" t="s">
        <v>674</v>
      </c>
      <c r="M462" s="11">
        <f t="shared" si="14"/>
        <v>377.4</v>
      </c>
      <c r="N462" s="11">
        <f>IF(Table1[[#This Row],[Transaction Type]]="Sale",ABS(E462)*K462,0)</f>
        <v>0</v>
      </c>
      <c r="O462" s="29">
        <f>IF(Table1[[#This Row],[Transaction Type]]="Purchase",E462*J462,0)</f>
        <v>377.4</v>
      </c>
    </row>
    <row r="463" spans="1:15" x14ac:dyDescent="0.35">
      <c r="A463" s="27" t="s">
        <v>675</v>
      </c>
      <c r="B463" s="12">
        <v>45794</v>
      </c>
      <c r="C463" s="11" t="s">
        <v>52</v>
      </c>
      <c r="D463" s="11" t="s">
        <v>13</v>
      </c>
      <c r="E463" s="11">
        <v>-13</v>
      </c>
      <c r="F463" s="11">
        <f t="shared" si="15"/>
        <v>-13</v>
      </c>
      <c r="G463" s="11" t="s">
        <v>14</v>
      </c>
      <c r="H463" s="11" t="s">
        <v>20</v>
      </c>
      <c r="I463" s="11" t="s">
        <v>21</v>
      </c>
      <c r="J463" s="11">
        <v>5.5</v>
      </c>
      <c r="K463" s="11">
        <v>12</v>
      </c>
      <c r="L463" s="11"/>
      <c r="M463" s="11">
        <f t="shared" si="14"/>
        <v>71.5</v>
      </c>
      <c r="N463" s="11">
        <f>IF(Table1[[#This Row],[Transaction Type]]="Sale",ABS(E463)*K463,0)</f>
        <v>156</v>
      </c>
      <c r="O463" s="29">
        <f>IF(Table1[[#This Row],[Transaction Type]]="Purchase",E463*J463,0)</f>
        <v>0</v>
      </c>
    </row>
    <row r="464" spans="1:15" x14ac:dyDescent="0.35">
      <c r="A464" s="27" t="s">
        <v>676</v>
      </c>
      <c r="B464" s="12">
        <v>45794</v>
      </c>
      <c r="C464" s="11" t="s">
        <v>55</v>
      </c>
      <c r="D464" s="11" t="s">
        <v>13</v>
      </c>
      <c r="E464" s="11">
        <v>-7</v>
      </c>
      <c r="F464" s="11">
        <f t="shared" si="15"/>
        <v>-7</v>
      </c>
      <c r="G464" s="11" t="s">
        <v>24</v>
      </c>
      <c r="H464" s="11" t="s">
        <v>56</v>
      </c>
      <c r="I464" s="11" t="s">
        <v>16</v>
      </c>
      <c r="J464" s="11">
        <v>4.2</v>
      </c>
      <c r="K464" s="11">
        <v>10</v>
      </c>
      <c r="L464" s="11"/>
      <c r="M464" s="11">
        <f t="shared" si="14"/>
        <v>29.400000000000002</v>
      </c>
      <c r="N464" s="11">
        <f>IF(Table1[[#This Row],[Transaction Type]]="Sale",ABS(E464)*K464,0)</f>
        <v>70</v>
      </c>
      <c r="O464" s="29">
        <f>IF(Table1[[#This Row],[Transaction Type]]="Purchase",E464*J464,0)</f>
        <v>0</v>
      </c>
    </row>
    <row r="465" spans="1:15" x14ac:dyDescent="0.35">
      <c r="A465" s="27" t="s">
        <v>677</v>
      </c>
      <c r="B465" s="12">
        <v>45795</v>
      </c>
      <c r="C465" s="11" t="s">
        <v>136</v>
      </c>
      <c r="D465" s="11" t="s">
        <v>13</v>
      </c>
      <c r="E465" s="11">
        <v>-2</v>
      </c>
      <c r="F465" s="11">
        <f t="shared" si="15"/>
        <v>-2</v>
      </c>
      <c r="G465" s="11" t="s">
        <v>19</v>
      </c>
      <c r="H465" s="11" t="s">
        <v>33</v>
      </c>
      <c r="I465" s="11" t="s">
        <v>34</v>
      </c>
      <c r="J465" s="11">
        <v>34</v>
      </c>
      <c r="K465" s="11">
        <v>55</v>
      </c>
      <c r="L465" s="11"/>
      <c r="M465" s="11">
        <f t="shared" si="14"/>
        <v>68</v>
      </c>
      <c r="N465" s="11">
        <f>IF(Table1[[#This Row],[Transaction Type]]="Sale",ABS(E465)*K465,0)</f>
        <v>110</v>
      </c>
      <c r="O465" s="29">
        <f>IF(Table1[[#This Row],[Transaction Type]]="Purchase",E465*J465,0)</f>
        <v>0</v>
      </c>
    </row>
    <row r="466" spans="1:15" x14ac:dyDescent="0.35">
      <c r="A466" s="27" t="s">
        <v>678</v>
      </c>
      <c r="B466" s="12">
        <v>45796</v>
      </c>
      <c r="C466" s="11" t="s">
        <v>55</v>
      </c>
      <c r="D466" s="11" t="s">
        <v>13</v>
      </c>
      <c r="E466" s="11">
        <v>-10</v>
      </c>
      <c r="F466" s="11">
        <f t="shared" si="15"/>
        <v>-10</v>
      </c>
      <c r="G466" s="11" t="s">
        <v>24</v>
      </c>
      <c r="H466" s="11" t="s">
        <v>56</v>
      </c>
      <c r="I466" s="11" t="s">
        <v>16</v>
      </c>
      <c r="J466" s="11">
        <v>4.2</v>
      </c>
      <c r="K466" s="11">
        <v>10</v>
      </c>
      <c r="L466" s="11"/>
      <c r="M466" s="11">
        <f t="shared" si="14"/>
        <v>42</v>
      </c>
      <c r="N466" s="11">
        <f>IF(Table1[[#This Row],[Transaction Type]]="Sale",ABS(E466)*K466,0)</f>
        <v>100</v>
      </c>
      <c r="O466" s="29">
        <f>IF(Table1[[#This Row],[Transaction Type]]="Purchase",E466*J466,0)</f>
        <v>0</v>
      </c>
    </row>
    <row r="467" spans="1:15" x14ac:dyDescent="0.35">
      <c r="A467" s="27" t="s">
        <v>679</v>
      </c>
      <c r="B467" s="12">
        <v>45796</v>
      </c>
      <c r="C467" s="11" t="s">
        <v>43</v>
      </c>
      <c r="D467" s="11" t="s">
        <v>13</v>
      </c>
      <c r="E467" s="11">
        <v>-3</v>
      </c>
      <c r="F467" s="11">
        <f t="shared" si="15"/>
        <v>-3</v>
      </c>
      <c r="G467" s="11" t="s">
        <v>24</v>
      </c>
      <c r="H467" s="11" t="s">
        <v>44</v>
      </c>
      <c r="I467" s="11" t="s">
        <v>45</v>
      </c>
      <c r="J467" s="11">
        <v>5.2</v>
      </c>
      <c r="K467" s="11">
        <v>11</v>
      </c>
      <c r="L467" s="11"/>
      <c r="M467" s="11">
        <f t="shared" si="14"/>
        <v>15.600000000000001</v>
      </c>
      <c r="N467" s="11">
        <f>IF(Table1[[#This Row],[Transaction Type]]="Sale",ABS(E467)*K467,0)</f>
        <v>33</v>
      </c>
      <c r="O467" s="29">
        <f>IF(Table1[[#This Row],[Transaction Type]]="Purchase",E467*J467,0)</f>
        <v>0</v>
      </c>
    </row>
    <row r="468" spans="1:15" x14ac:dyDescent="0.35">
      <c r="A468" s="27" t="s">
        <v>680</v>
      </c>
      <c r="B468" s="12">
        <v>45796</v>
      </c>
      <c r="C468" s="11" t="s">
        <v>48</v>
      </c>
      <c r="D468" s="11" t="s">
        <v>13</v>
      </c>
      <c r="E468" s="11">
        <v>-9</v>
      </c>
      <c r="F468" s="11">
        <f t="shared" si="15"/>
        <v>-9</v>
      </c>
      <c r="G468" s="11" t="s">
        <v>14</v>
      </c>
      <c r="H468" s="11" t="s">
        <v>49</v>
      </c>
      <c r="I468" s="11" t="s">
        <v>21</v>
      </c>
      <c r="J468" s="11">
        <v>8.5</v>
      </c>
      <c r="K468" s="11">
        <v>18</v>
      </c>
      <c r="L468" s="11"/>
      <c r="M468" s="11">
        <f t="shared" si="14"/>
        <v>76.5</v>
      </c>
      <c r="N468" s="11">
        <f>IF(Table1[[#This Row],[Transaction Type]]="Sale",ABS(E468)*K468,0)</f>
        <v>162</v>
      </c>
      <c r="O468" s="29">
        <f>IF(Table1[[#This Row],[Transaction Type]]="Purchase",E468*J468,0)</f>
        <v>0</v>
      </c>
    </row>
    <row r="469" spans="1:15" x14ac:dyDescent="0.35">
      <c r="A469" s="27" t="s">
        <v>681</v>
      </c>
      <c r="B469" s="12">
        <v>45797</v>
      </c>
      <c r="C469" s="11" t="s">
        <v>69</v>
      </c>
      <c r="D469" s="11" t="s">
        <v>40</v>
      </c>
      <c r="E469" s="11">
        <v>26</v>
      </c>
      <c r="F469" s="11">
        <f t="shared" si="15"/>
        <v>26</v>
      </c>
      <c r="G469" s="11" t="s">
        <v>14</v>
      </c>
      <c r="H469" s="11" t="s">
        <v>70</v>
      </c>
      <c r="I469" s="11" t="s">
        <v>16</v>
      </c>
      <c r="J469" s="11">
        <v>23</v>
      </c>
      <c r="K469" s="11">
        <v>38</v>
      </c>
      <c r="L469" s="11" t="s">
        <v>682</v>
      </c>
      <c r="M469" s="11">
        <f t="shared" si="14"/>
        <v>598</v>
      </c>
      <c r="N469" s="11">
        <f>IF(Table1[[#This Row],[Transaction Type]]="Sale",ABS(E469)*K469,0)</f>
        <v>0</v>
      </c>
      <c r="O469" s="29">
        <f>IF(Table1[[#This Row],[Transaction Type]]="Purchase",E469*J469,0)</f>
        <v>598</v>
      </c>
    </row>
    <row r="470" spans="1:15" x14ac:dyDescent="0.35">
      <c r="A470" s="27" t="s">
        <v>683</v>
      </c>
      <c r="B470" s="12">
        <v>45797</v>
      </c>
      <c r="C470" s="11" t="s">
        <v>98</v>
      </c>
      <c r="D470" s="11" t="s">
        <v>40</v>
      </c>
      <c r="E470" s="11">
        <v>20</v>
      </c>
      <c r="F470" s="11">
        <f t="shared" si="15"/>
        <v>20</v>
      </c>
      <c r="G470" s="11" t="s">
        <v>19</v>
      </c>
      <c r="H470" s="11" t="s">
        <v>30</v>
      </c>
      <c r="I470" s="11" t="s">
        <v>16</v>
      </c>
      <c r="J470" s="11">
        <v>16</v>
      </c>
      <c r="K470" s="11">
        <v>29</v>
      </c>
      <c r="L470" s="11" t="s">
        <v>684</v>
      </c>
      <c r="M470" s="11">
        <f t="shared" si="14"/>
        <v>320</v>
      </c>
      <c r="N470" s="11">
        <f>IF(Table1[[#This Row],[Transaction Type]]="Sale",ABS(E470)*K470,0)</f>
        <v>0</v>
      </c>
      <c r="O470" s="29">
        <f>IF(Table1[[#This Row],[Transaction Type]]="Purchase",E470*J470,0)</f>
        <v>320</v>
      </c>
    </row>
    <row r="471" spans="1:15" x14ac:dyDescent="0.35">
      <c r="A471" s="27" t="s">
        <v>685</v>
      </c>
      <c r="B471" s="12">
        <v>45797</v>
      </c>
      <c r="C471" s="11" t="s">
        <v>18</v>
      </c>
      <c r="D471" s="11" t="s">
        <v>13</v>
      </c>
      <c r="E471" s="11">
        <v>-4</v>
      </c>
      <c r="F471" s="11">
        <f t="shared" si="15"/>
        <v>-4</v>
      </c>
      <c r="G471" s="11" t="s">
        <v>14</v>
      </c>
      <c r="H471" s="11" t="s">
        <v>20</v>
      </c>
      <c r="I471" s="11" t="s">
        <v>21</v>
      </c>
      <c r="J471" s="11">
        <v>2.6</v>
      </c>
      <c r="K471" s="11">
        <v>5.5</v>
      </c>
      <c r="L471" s="11"/>
      <c r="M471" s="11">
        <f t="shared" si="14"/>
        <v>10.4</v>
      </c>
      <c r="N471" s="11">
        <f>IF(Table1[[#This Row],[Transaction Type]]="Sale",ABS(E471)*K471,0)</f>
        <v>22</v>
      </c>
      <c r="O471" s="29">
        <f>IF(Table1[[#This Row],[Transaction Type]]="Purchase",E471*J471,0)</f>
        <v>0</v>
      </c>
    </row>
    <row r="472" spans="1:15" x14ac:dyDescent="0.35">
      <c r="A472" s="27" t="s">
        <v>686</v>
      </c>
      <c r="B472" s="12">
        <v>45797</v>
      </c>
      <c r="C472" s="11" t="s">
        <v>65</v>
      </c>
      <c r="D472" s="11" t="s">
        <v>40</v>
      </c>
      <c r="E472" s="11">
        <v>119</v>
      </c>
      <c r="F472" s="11">
        <f t="shared" si="15"/>
        <v>119</v>
      </c>
      <c r="G472" s="11" t="s">
        <v>19</v>
      </c>
      <c r="H472" s="11" t="s">
        <v>67</v>
      </c>
      <c r="I472" s="11" t="s">
        <v>21</v>
      </c>
      <c r="J472" s="11">
        <v>11</v>
      </c>
      <c r="K472" s="11">
        <v>22</v>
      </c>
      <c r="L472" s="11" t="s">
        <v>687</v>
      </c>
      <c r="M472" s="11">
        <f t="shared" si="14"/>
        <v>1309</v>
      </c>
      <c r="N472" s="11">
        <f>IF(Table1[[#This Row],[Transaction Type]]="Sale",ABS(E472)*K472,0)</f>
        <v>0</v>
      </c>
      <c r="O472" s="29">
        <f>IF(Table1[[#This Row],[Transaction Type]]="Purchase",E472*J472,0)</f>
        <v>1309</v>
      </c>
    </row>
    <row r="473" spans="1:15" x14ac:dyDescent="0.35">
      <c r="A473" s="27" t="s">
        <v>688</v>
      </c>
      <c r="B473" s="12">
        <v>45797</v>
      </c>
      <c r="C473" s="11" t="s">
        <v>12</v>
      </c>
      <c r="D473" s="11" t="s">
        <v>40</v>
      </c>
      <c r="E473" s="11">
        <v>104</v>
      </c>
      <c r="F473" s="11">
        <f t="shared" si="15"/>
        <v>104</v>
      </c>
      <c r="G473" s="11" t="s">
        <v>14</v>
      </c>
      <c r="H473" s="11" t="s">
        <v>15</v>
      </c>
      <c r="I473" s="11" t="s">
        <v>16</v>
      </c>
      <c r="J473" s="11">
        <v>13.5</v>
      </c>
      <c r="K473" s="11">
        <v>24</v>
      </c>
      <c r="L473" s="11" t="s">
        <v>689</v>
      </c>
      <c r="M473" s="11">
        <f t="shared" si="14"/>
        <v>1404</v>
      </c>
      <c r="N473" s="11">
        <f>IF(Table1[[#This Row],[Transaction Type]]="Sale",ABS(E473)*K473,0)</f>
        <v>0</v>
      </c>
      <c r="O473" s="29">
        <f>IF(Table1[[#This Row],[Transaction Type]]="Purchase",E473*J473,0)</f>
        <v>1404</v>
      </c>
    </row>
    <row r="474" spans="1:15" x14ac:dyDescent="0.35">
      <c r="A474" s="27" t="s">
        <v>690</v>
      </c>
      <c r="B474" s="12">
        <v>45798</v>
      </c>
      <c r="C474" s="11" t="s">
        <v>36</v>
      </c>
      <c r="D474" s="11" t="s">
        <v>40</v>
      </c>
      <c r="E474" s="11">
        <v>106</v>
      </c>
      <c r="F474" s="11">
        <f t="shared" si="15"/>
        <v>106</v>
      </c>
      <c r="G474" s="11" t="s">
        <v>24</v>
      </c>
      <c r="H474" s="11" t="s">
        <v>37</v>
      </c>
      <c r="I474" s="11" t="s">
        <v>16</v>
      </c>
      <c r="J474" s="11">
        <v>7.2</v>
      </c>
      <c r="K474" s="11">
        <v>12.5</v>
      </c>
      <c r="L474" s="11" t="s">
        <v>691</v>
      </c>
      <c r="M474" s="11">
        <f t="shared" si="14"/>
        <v>763.2</v>
      </c>
      <c r="N474" s="11">
        <f>IF(Table1[[#This Row],[Transaction Type]]="Sale",ABS(E474)*K474,0)</f>
        <v>0</v>
      </c>
      <c r="O474" s="29">
        <f>IF(Table1[[#This Row],[Transaction Type]]="Purchase",E474*J474,0)</f>
        <v>763.2</v>
      </c>
    </row>
    <row r="475" spans="1:15" x14ac:dyDescent="0.35">
      <c r="A475" s="27" t="s">
        <v>692</v>
      </c>
      <c r="B475" s="12">
        <v>45798</v>
      </c>
      <c r="C475" s="11" t="s">
        <v>170</v>
      </c>
      <c r="D475" s="11" t="s">
        <v>13</v>
      </c>
      <c r="E475" s="11">
        <v>-8</v>
      </c>
      <c r="F475" s="11">
        <f t="shared" si="15"/>
        <v>-8</v>
      </c>
      <c r="G475" s="11" t="s">
        <v>14</v>
      </c>
      <c r="H475" s="11" t="s">
        <v>171</v>
      </c>
      <c r="I475" s="11" t="s">
        <v>34</v>
      </c>
      <c r="J475" s="11">
        <v>25</v>
      </c>
      <c r="K475" s="11">
        <v>45</v>
      </c>
      <c r="L475" s="11"/>
      <c r="M475" s="11">
        <f t="shared" si="14"/>
        <v>200</v>
      </c>
      <c r="N475" s="11">
        <f>IF(Table1[[#This Row],[Transaction Type]]="Sale",ABS(E475)*K475,0)</f>
        <v>360</v>
      </c>
      <c r="O475" s="29">
        <f>IF(Table1[[#This Row],[Transaction Type]]="Purchase",E475*J475,0)</f>
        <v>0</v>
      </c>
    </row>
    <row r="476" spans="1:15" x14ac:dyDescent="0.35">
      <c r="A476" s="27" t="s">
        <v>693</v>
      </c>
      <c r="B476" s="12">
        <v>45798</v>
      </c>
      <c r="C476" s="11" t="s">
        <v>18</v>
      </c>
      <c r="D476" s="11" t="s">
        <v>13</v>
      </c>
      <c r="E476" s="11">
        <v>-3</v>
      </c>
      <c r="F476" s="11">
        <f t="shared" si="15"/>
        <v>-3</v>
      </c>
      <c r="G476" s="11" t="s">
        <v>14</v>
      </c>
      <c r="H476" s="11" t="s">
        <v>20</v>
      </c>
      <c r="I476" s="11" t="s">
        <v>21</v>
      </c>
      <c r="J476" s="11">
        <v>2.6</v>
      </c>
      <c r="K476" s="11">
        <v>5.5</v>
      </c>
      <c r="L476" s="11"/>
      <c r="M476" s="11">
        <f t="shared" si="14"/>
        <v>7.8000000000000007</v>
      </c>
      <c r="N476" s="11">
        <f>IF(Table1[[#This Row],[Transaction Type]]="Sale",ABS(E476)*K476,0)</f>
        <v>16.5</v>
      </c>
      <c r="O476" s="29">
        <f>IF(Table1[[#This Row],[Transaction Type]]="Purchase",E476*J476,0)</f>
        <v>0</v>
      </c>
    </row>
    <row r="477" spans="1:15" x14ac:dyDescent="0.35">
      <c r="A477" s="27" t="s">
        <v>694</v>
      </c>
      <c r="B477" s="12">
        <v>45798</v>
      </c>
      <c r="C477" s="11" t="s">
        <v>43</v>
      </c>
      <c r="D477" s="11" t="s">
        <v>13</v>
      </c>
      <c r="E477" s="11">
        <v>-9</v>
      </c>
      <c r="F477" s="11">
        <f t="shared" si="15"/>
        <v>-9</v>
      </c>
      <c r="G477" s="11" t="s">
        <v>24</v>
      </c>
      <c r="H477" s="11" t="s">
        <v>44</v>
      </c>
      <c r="I477" s="11" t="s">
        <v>45</v>
      </c>
      <c r="J477" s="11">
        <v>5.2</v>
      </c>
      <c r="K477" s="11">
        <v>11</v>
      </c>
      <c r="L477" s="11"/>
      <c r="M477" s="11">
        <f t="shared" si="14"/>
        <v>46.800000000000004</v>
      </c>
      <c r="N477" s="11">
        <f>IF(Table1[[#This Row],[Transaction Type]]="Sale",ABS(E477)*K477,0)</f>
        <v>99</v>
      </c>
      <c r="O477" s="29">
        <f>IF(Table1[[#This Row],[Transaction Type]]="Purchase",E477*J477,0)</f>
        <v>0</v>
      </c>
    </row>
    <row r="478" spans="1:15" x14ac:dyDescent="0.35">
      <c r="A478" s="27" t="s">
        <v>695</v>
      </c>
      <c r="B478" s="12">
        <v>45800</v>
      </c>
      <c r="C478" s="11" t="s">
        <v>139</v>
      </c>
      <c r="D478" s="11" t="s">
        <v>13</v>
      </c>
      <c r="E478" s="11">
        <v>-4</v>
      </c>
      <c r="F478" s="11">
        <f t="shared" si="15"/>
        <v>-4</v>
      </c>
      <c r="G478" s="11" t="s">
        <v>14</v>
      </c>
      <c r="H478" s="11" t="s">
        <v>56</v>
      </c>
      <c r="I478" s="11" t="s">
        <v>16</v>
      </c>
      <c r="J478" s="11">
        <v>16.5</v>
      </c>
      <c r="K478" s="11">
        <v>28</v>
      </c>
      <c r="L478" s="11"/>
      <c r="M478" s="11">
        <f t="shared" si="14"/>
        <v>66</v>
      </c>
      <c r="N478" s="11">
        <f>IF(Table1[[#This Row],[Transaction Type]]="Sale",ABS(E478)*K478,0)</f>
        <v>112</v>
      </c>
      <c r="O478" s="29">
        <f>IF(Table1[[#This Row],[Transaction Type]]="Purchase",E478*J478,0)</f>
        <v>0</v>
      </c>
    </row>
    <row r="479" spans="1:15" x14ac:dyDescent="0.35">
      <c r="A479" s="27" t="s">
        <v>696</v>
      </c>
      <c r="B479" s="12">
        <v>45800</v>
      </c>
      <c r="C479" s="11" t="s">
        <v>36</v>
      </c>
      <c r="D479" s="11" t="s">
        <v>13</v>
      </c>
      <c r="E479" s="11">
        <v>-2</v>
      </c>
      <c r="F479" s="11">
        <f t="shared" si="15"/>
        <v>-2</v>
      </c>
      <c r="G479" s="11" t="s">
        <v>14</v>
      </c>
      <c r="H479" s="11" t="s">
        <v>37</v>
      </c>
      <c r="I479" s="11" t="s">
        <v>16</v>
      </c>
      <c r="J479" s="11">
        <v>7.2</v>
      </c>
      <c r="K479" s="11">
        <v>12.5</v>
      </c>
      <c r="L479" s="11"/>
      <c r="M479" s="11">
        <f t="shared" si="14"/>
        <v>14.4</v>
      </c>
      <c r="N479" s="11">
        <f>IF(Table1[[#This Row],[Transaction Type]]="Sale",ABS(E479)*K479,0)</f>
        <v>25</v>
      </c>
      <c r="O479" s="29">
        <f>IF(Table1[[#This Row],[Transaction Type]]="Purchase",E479*J479,0)</f>
        <v>0</v>
      </c>
    </row>
    <row r="480" spans="1:15" x14ac:dyDescent="0.35">
      <c r="A480" s="27" t="s">
        <v>697</v>
      </c>
      <c r="B480" s="12">
        <v>45800</v>
      </c>
      <c r="C480" s="11" t="s">
        <v>55</v>
      </c>
      <c r="D480" s="11" t="s">
        <v>13</v>
      </c>
      <c r="E480" s="11">
        <v>-3</v>
      </c>
      <c r="F480" s="11">
        <f t="shared" si="15"/>
        <v>-3</v>
      </c>
      <c r="G480" s="11" t="s">
        <v>24</v>
      </c>
      <c r="H480" s="11" t="s">
        <v>56</v>
      </c>
      <c r="I480" s="11" t="s">
        <v>16</v>
      </c>
      <c r="J480" s="11">
        <v>4.2</v>
      </c>
      <c r="K480" s="11">
        <v>10</v>
      </c>
      <c r="L480" s="11"/>
      <c r="M480" s="11">
        <f t="shared" si="14"/>
        <v>12.600000000000001</v>
      </c>
      <c r="N480" s="11">
        <f>IF(Table1[[#This Row],[Transaction Type]]="Sale",ABS(E480)*K480,0)</f>
        <v>30</v>
      </c>
      <c r="O480" s="29">
        <f>IF(Table1[[#This Row],[Transaction Type]]="Purchase",E480*J480,0)</f>
        <v>0</v>
      </c>
    </row>
    <row r="481" spans="1:15" x14ac:dyDescent="0.35">
      <c r="A481" s="27" t="s">
        <v>698</v>
      </c>
      <c r="B481" s="12">
        <v>45801</v>
      </c>
      <c r="C481" s="11" t="s">
        <v>60</v>
      </c>
      <c r="D481" s="11" t="s">
        <v>13</v>
      </c>
      <c r="E481" s="11">
        <v>-8</v>
      </c>
      <c r="F481" s="11">
        <f t="shared" si="15"/>
        <v>-8</v>
      </c>
      <c r="G481" s="11" t="s">
        <v>14</v>
      </c>
      <c r="H481" s="11" t="s">
        <v>61</v>
      </c>
      <c r="I481" s="11" t="s">
        <v>62</v>
      </c>
      <c r="J481" s="11">
        <v>3.4</v>
      </c>
      <c r="K481" s="11">
        <v>8</v>
      </c>
      <c r="L481" s="11"/>
      <c r="M481" s="11">
        <f t="shared" si="14"/>
        <v>27.2</v>
      </c>
      <c r="N481" s="11">
        <f>IF(Table1[[#This Row],[Transaction Type]]="Sale",ABS(E481)*K481,0)</f>
        <v>64</v>
      </c>
      <c r="O481" s="29">
        <f>IF(Table1[[#This Row],[Transaction Type]]="Purchase",E481*J481,0)</f>
        <v>0</v>
      </c>
    </row>
    <row r="482" spans="1:15" x14ac:dyDescent="0.35">
      <c r="A482" s="27" t="s">
        <v>699</v>
      </c>
      <c r="B482" s="12">
        <v>45801</v>
      </c>
      <c r="C482" s="11" t="s">
        <v>65</v>
      </c>
      <c r="D482" s="11" t="s">
        <v>40</v>
      </c>
      <c r="E482" s="11">
        <v>114</v>
      </c>
      <c r="F482" s="11">
        <f t="shared" si="15"/>
        <v>114</v>
      </c>
      <c r="G482" s="11" t="s">
        <v>14</v>
      </c>
      <c r="H482" s="11" t="s">
        <v>67</v>
      </c>
      <c r="I482" s="11" t="s">
        <v>21</v>
      </c>
      <c r="J482" s="11">
        <v>11</v>
      </c>
      <c r="K482" s="11">
        <v>22</v>
      </c>
      <c r="L482" s="11" t="s">
        <v>700</v>
      </c>
      <c r="M482" s="11">
        <f t="shared" si="14"/>
        <v>1254</v>
      </c>
      <c r="N482" s="11">
        <f>IF(Table1[[#This Row],[Transaction Type]]="Sale",ABS(E482)*K482,0)</f>
        <v>0</v>
      </c>
      <c r="O482" s="29">
        <f>IF(Table1[[#This Row],[Transaction Type]]="Purchase",E482*J482,0)</f>
        <v>1254</v>
      </c>
    </row>
    <row r="483" spans="1:15" x14ac:dyDescent="0.35">
      <c r="A483" s="27" t="s">
        <v>701</v>
      </c>
      <c r="B483" s="12">
        <v>45801</v>
      </c>
      <c r="C483" s="11" t="s">
        <v>65</v>
      </c>
      <c r="D483" s="11" t="s">
        <v>13</v>
      </c>
      <c r="E483" s="11">
        <v>-10</v>
      </c>
      <c r="F483" s="11">
        <f t="shared" si="15"/>
        <v>-10</v>
      </c>
      <c r="G483" s="11" t="s">
        <v>14</v>
      </c>
      <c r="H483" s="11" t="s">
        <v>67</v>
      </c>
      <c r="I483" s="11" t="s">
        <v>21</v>
      </c>
      <c r="J483" s="11">
        <v>11</v>
      </c>
      <c r="K483" s="11">
        <v>22</v>
      </c>
      <c r="L483" s="11"/>
      <c r="M483" s="11">
        <f t="shared" si="14"/>
        <v>110</v>
      </c>
      <c r="N483" s="11">
        <f>IF(Table1[[#This Row],[Transaction Type]]="Sale",ABS(E483)*K483,0)</f>
        <v>220</v>
      </c>
      <c r="O483" s="29">
        <f>IF(Table1[[#This Row],[Transaction Type]]="Purchase",E483*J483,0)</f>
        <v>0</v>
      </c>
    </row>
    <row r="484" spans="1:15" x14ac:dyDescent="0.35">
      <c r="A484" s="27" t="s">
        <v>702</v>
      </c>
      <c r="B484" s="12">
        <v>45802</v>
      </c>
      <c r="C484" s="11" t="s">
        <v>81</v>
      </c>
      <c r="D484" s="11" t="s">
        <v>40</v>
      </c>
      <c r="E484" s="11">
        <v>67</v>
      </c>
      <c r="F484" s="11">
        <f t="shared" si="15"/>
        <v>67</v>
      </c>
      <c r="G484" s="11" t="s">
        <v>14</v>
      </c>
      <c r="H484" s="11" t="s">
        <v>30</v>
      </c>
      <c r="I484" s="11" t="s">
        <v>16</v>
      </c>
      <c r="J484" s="11">
        <v>8</v>
      </c>
      <c r="K484" s="11">
        <v>15</v>
      </c>
      <c r="L484" s="11" t="s">
        <v>703</v>
      </c>
      <c r="M484" s="11">
        <f t="shared" si="14"/>
        <v>536</v>
      </c>
      <c r="N484" s="11">
        <f>IF(Table1[[#This Row],[Transaction Type]]="Sale",ABS(E484)*K484,0)</f>
        <v>0</v>
      </c>
      <c r="O484" s="29">
        <f>IF(Table1[[#This Row],[Transaction Type]]="Purchase",E484*J484,0)</f>
        <v>536</v>
      </c>
    </row>
    <row r="485" spans="1:15" x14ac:dyDescent="0.35">
      <c r="A485" s="27" t="s">
        <v>704</v>
      </c>
      <c r="B485" s="12">
        <v>45802</v>
      </c>
      <c r="C485" s="11" t="s">
        <v>139</v>
      </c>
      <c r="D485" s="11" t="s">
        <v>40</v>
      </c>
      <c r="E485" s="11">
        <v>23</v>
      </c>
      <c r="F485" s="11">
        <f t="shared" si="15"/>
        <v>23</v>
      </c>
      <c r="G485" s="11" t="s">
        <v>14</v>
      </c>
      <c r="H485" s="11" t="s">
        <v>56</v>
      </c>
      <c r="I485" s="11" t="s">
        <v>16</v>
      </c>
      <c r="J485" s="11">
        <v>16.5</v>
      </c>
      <c r="K485" s="11">
        <v>28</v>
      </c>
      <c r="L485" s="11" t="s">
        <v>705</v>
      </c>
      <c r="M485" s="11">
        <f t="shared" si="14"/>
        <v>379.5</v>
      </c>
      <c r="N485" s="11">
        <f>IF(Table1[[#This Row],[Transaction Type]]="Sale",ABS(E485)*K485,0)</f>
        <v>0</v>
      </c>
      <c r="O485" s="29">
        <f>IF(Table1[[#This Row],[Transaction Type]]="Purchase",E485*J485,0)</f>
        <v>379.5</v>
      </c>
    </row>
    <row r="486" spans="1:15" x14ac:dyDescent="0.35">
      <c r="A486" s="27" t="s">
        <v>706</v>
      </c>
      <c r="B486" s="12">
        <v>45802</v>
      </c>
      <c r="C486" s="11" t="s">
        <v>87</v>
      </c>
      <c r="D486" s="11" t="s">
        <v>40</v>
      </c>
      <c r="E486" s="11">
        <v>22</v>
      </c>
      <c r="F486" s="11">
        <f t="shared" si="15"/>
        <v>22</v>
      </c>
      <c r="G486" s="11" t="s">
        <v>14</v>
      </c>
      <c r="H486" s="11" t="s">
        <v>88</v>
      </c>
      <c r="I486" s="11" t="s">
        <v>16</v>
      </c>
      <c r="J486" s="11">
        <v>6</v>
      </c>
      <c r="K486" s="11">
        <v>14</v>
      </c>
      <c r="L486" s="11" t="s">
        <v>707</v>
      </c>
      <c r="M486" s="11">
        <f t="shared" si="14"/>
        <v>132</v>
      </c>
      <c r="N486" s="11">
        <f>IF(Table1[[#This Row],[Transaction Type]]="Sale",ABS(E486)*K486,0)</f>
        <v>0</v>
      </c>
      <c r="O486" s="29">
        <f>IF(Table1[[#This Row],[Transaction Type]]="Purchase",E486*J486,0)</f>
        <v>132</v>
      </c>
    </row>
    <row r="487" spans="1:15" x14ac:dyDescent="0.35">
      <c r="A487" s="27" t="s">
        <v>708</v>
      </c>
      <c r="B487" s="12">
        <v>45803</v>
      </c>
      <c r="C487" s="11" t="s">
        <v>65</v>
      </c>
      <c r="D487" s="11" t="s">
        <v>40</v>
      </c>
      <c r="E487" s="11">
        <v>41</v>
      </c>
      <c r="F487" s="11">
        <f t="shared" si="15"/>
        <v>41</v>
      </c>
      <c r="G487" s="11" t="s">
        <v>14</v>
      </c>
      <c r="H487" s="11" t="s">
        <v>67</v>
      </c>
      <c r="I487" s="11" t="s">
        <v>21</v>
      </c>
      <c r="J487" s="11">
        <v>11</v>
      </c>
      <c r="K487" s="11">
        <v>22</v>
      </c>
      <c r="L487" s="11" t="s">
        <v>709</v>
      </c>
      <c r="M487" s="11">
        <f t="shared" si="14"/>
        <v>451</v>
      </c>
      <c r="N487" s="11">
        <f>IF(Table1[[#This Row],[Transaction Type]]="Sale",ABS(E487)*K487,0)</f>
        <v>0</v>
      </c>
      <c r="O487" s="29">
        <f>IF(Table1[[#This Row],[Transaction Type]]="Purchase",E487*J487,0)</f>
        <v>451</v>
      </c>
    </row>
    <row r="488" spans="1:15" x14ac:dyDescent="0.35">
      <c r="A488" s="27" t="s">
        <v>710</v>
      </c>
      <c r="B488" s="12">
        <v>45803</v>
      </c>
      <c r="C488" s="11" t="s">
        <v>12</v>
      </c>
      <c r="D488" s="11" t="s">
        <v>13</v>
      </c>
      <c r="E488" s="11">
        <v>-4</v>
      </c>
      <c r="F488" s="11">
        <f t="shared" si="15"/>
        <v>-4</v>
      </c>
      <c r="G488" s="11" t="s">
        <v>14</v>
      </c>
      <c r="H488" s="11" t="s">
        <v>15</v>
      </c>
      <c r="I488" s="11" t="s">
        <v>16</v>
      </c>
      <c r="J488" s="11">
        <v>13.5</v>
      </c>
      <c r="K488" s="11">
        <v>24</v>
      </c>
      <c r="L488" s="11"/>
      <c r="M488" s="11">
        <f t="shared" si="14"/>
        <v>54</v>
      </c>
      <c r="N488" s="11">
        <f>IF(Table1[[#This Row],[Transaction Type]]="Sale",ABS(E488)*K488,0)</f>
        <v>96</v>
      </c>
      <c r="O488" s="29">
        <f>IF(Table1[[#This Row],[Transaction Type]]="Purchase",E488*J488,0)</f>
        <v>0</v>
      </c>
    </row>
    <row r="489" spans="1:15" x14ac:dyDescent="0.35">
      <c r="A489" s="27" t="s">
        <v>711</v>
      </c>
      <c r="B489" s="12">
        <v>45803</v>
      </c>
      <c r="C489" s="11" t="s">
        <v>18</v>
      </c>
      <c r="D489" s="11" t="s">
        <v>13</v>
      </c>
      <c r="E489" s="11">
        <v>-3</v>
      </c>
      <c r="F489" s="11">
        <f t="shared" si="15"/>
        <v>-3</v>
      </c>
      <c r="G489" s="11" t="s">
        <v>14</v>
      </c>
      <c r="H489" s="11" t="s">
        <v>20</v>
      </c>
      <c r="I489" s="11" t="s">
        <v>21</v>
      </c>
      <c r="J489" s="11">
        <v>2.6</v>
      </c>
      <c r="K489" s="11">
        <v>5.5</v>
      </c>
      <c r="L489" s="11"/>
      <c r="M489" s="11">
        <f t="shared" si="14"/>
        <v>7.8000000000000007</v>
      </c>
      <c r="N489" s="11">
        <f>IF(Table1[[#This Row],[Transaction Type]]="Sale",ABS(E489)*K489,0)</f>
        <v>16.5</v>
      </c>
      <c r="O489" s="29">
        <f>IF(Table1[[#This Row],[Transaction Type]]="Purchase",E489*J489,0)</f>
        <v>0</v>
      </c>
    </row>
    <row r="490" spans="1:15" x14ac:dyDescent="0.35">
      <c r="A490" s="27" t="s">
        <v>712</v>
      </c>
      <c r="B490" s="12">
        <v>45803</v>
      </c>
      <c r="C490" s="11" t="s">
        <v>29</v>
      </c>
      <c r="D490" s="11" t="s">
        <v>13</v>
      </c>
      <c r="E490" s="11">
        <v>-11</v>
      </c>
      <c r="F490" s="11">
        <f t="shared" si="15"/>
        <v>-11</v>
      </c>
      <c r="G490" s="11" t="s">
        <v>24</v>
      </c>
      <c r="H490" s="11" t="s">
        <v>30</v>
      </c>
      <c r="I490" s="11" t="s">
        <v>16</v>
      </c>
      <c r="J490" s="11">
        <v>8.8000000000000007</v>
      </c>
      <c r="K490" s="11">
        <v>17</v>
      </c>
      <c r="L490" s="11"/>
      <c r="M490" s="11">
        <f t="shared" si="14"/>
        <v>96.800000000000011</v>
      </c>
      <c r="N490" s="11">
        <f>IF(Table1[[#This Row],[Transaction Type]]="Sale",ABS(E490)*K490,0)</f>
        <v>187</v>
      </c>
      <c r="O490" s="29">
        <f>IF(Table1[[#This Row],[Transaction Type]]="Purchase",E490*J490,0)</f>
        <v>0</v>
      </c>
    </row>
    <row r="491" spans="1:15" x14ac:dyDescent="0.35">
      <c r="A491" s="27" t="s">
        <v>713</v>
      </c>
      <c r="B491" s="12">
        <v>45804</v>
      </c>
      <c r="C491" s="11" t="s">
        <v>36</v>
      </c>
      <c r="D491" s="11" t="s">
        <v>13</v>
      </c>
      <c r="E491" s="11">
        <v>-8</v>
      </c>
      <c r="F491" s="11">
        <f t="shared" si="15"/>
        <v>-8</v>
      </c>
      <c r="G491" s="11" t="s">
        <v>19</v>
      </c>
      <c r="H491" s="11" t="s">
        <v>37</v>
      </c>
      <c r="I491" s="11" t="s">
        <v>16</v>
      </c>
      <c r="J491" s="11">
        <v>7.2</v>
      </c>
      <c r="K491" s="11">
        <v>12.5</v>
      </c>
      <c r="L491" s="11"/>
      <c r="M491" s="11">
        <f t="shared" si="14"/>
        <v>57.6</v>
      </c>
      <c r="N491" s="11">
        <f>IF(Table1[[#This Row],[Transaction Type]]="Sale",ABS(E491)*K491,0)</f>
        <v>100</v>
      </c>
      <c r="O491" s="29">
        <f>IF(Table1[[#This Row],[Transaction Type]]="Purchase",E491*J491,0)</f>
        <v>0</v>
      </c>
    </row>
    <row r="492" spans="1:15" x14ac:dyDescent="0.35">
      <c r="A492" s="27" t="s">
        <v>714</v>
      </c>
      <c r="B492" s="12">
        <v>45804</v>
      </c>
      <c r="C492" s="11" t="s">
        <v>60</v>
      </c>
      <c r="D492" s="11" t="s">
        <v>58</v>
      </c>
      <c r="E492" s="11">
        <v>12</v>
      </c>
      <c r="F492" s="11">
        <f t="shared" si="15"/>
        <v>12</v>
      </c>
      <c r="G492" s="11" t="s">
        <v>14</v>
      </c>
      <c r="H492" s="11" t="s">
        <v>61</v>
      </c>
      <c r="I492" s="11" t="s">
        <v>62</v>
      </c>
      <c r="J492" s="11">
        <v>3.4</v>
      </c>
      <c r="K492" s="11">
        <v>8</v>
      </c>
      <c r="L492" s="11"/>
      <c r="M492" s="11">
        <f t="shared" si="14"/>
        <v>40.799999999999997</v>
      </c>
      <c r="N492" s="11">
        <f>IF(Table1[[#This Row],[Transaction Type]]="Sale",ABS(E492)*K492,0)</f>
        <v>0</v>
      </c>
      <c r="O492" s="29">
        <f>IF(Table1[[#This Row],[Transaction Type]]="Purchase",E492*J492,0)</f>
        <v>0</v>
      </c>
    </row>
    <row r="493" spans="1:15" x14ac:dyDescent="0.35">
      <c r="A493" s="27" t="s">
        <v>715</v>
      </c>
      <c r="B493" s="12">
        <v>45804</v>
      </c>
      <c r="C493" s="11" t="s">
        <v>227</v>
      </c>
      <c r="D493" s="11" t="s">
        <v>40</v>
      </c>
      <c r="E493" s="11">
        <v>63</v>
      </c>
      <c r="F493" s="11">
        <f t="shared" si="15"/>
        <v>63</v>
      </c>
      <c r="G493" s="11" t="s">
        <v>14</v>
      </c>
      <c r="H493" s="11" t="s">
        <v>228</v>
      </c>
      <c r="I493" s="11" t="s">
        <v>16</v>
      </c>
      <c r="J493" s="11">
        <v>78</v>
      </c>
      <c r="K493" s="11">
        <v>125</v>
      </c>
      <c r="L493" s="11" t="s">
        <v>716</v>
      </c>
      <c r="M493" s="11">
        <f t="shared" si="14"/>
        <v>4914</v>
      </c>
      <c r="N493" s="11">
        <f>IF(Table1[[#This Row],[Transaction Type]]="Sale",ABS(E493)*K493,0)</f>
        <v>0</v>
      </c>
      <c r="O493" s="29">
        <f>IF(Table1[[#This Row],[Transaction Type]]="Purchase",E493*J493,0)</f>
        <v>4914</v>
      </c>
    </row>
    <row r="494" spans="1:15" x14ac:dyDescent="0.35">
      <c r="A494" s="27" t="s">
        <v>717</v>
      </c>
      <c r="B494" s="12">
        <v>45805</v>
      </c>
      <c r="C494" s="11" t="s">
        <v>43</v>
      </c>
      <c r="D494" s="11" t="s">
        <v>13</v>
      </c>
      <c r="E494" s="11">
        <v>-3</v>
      </c>
      <c r="F494" s="11">
        <f t="shared" si="15"/>
        <v>-3</v>
      </c>
      <c r="G494" s="11" t="s">
        <v>14</v>
      </c>
      <c r="H494" s="11" t="s">
        <v>44</v>
      </c>
      <c r="I494" s="11" t="s">
        <v>45</v>
      </c>
      <c r="J494" s="11">
        <v>5.2</v>
      </c>
      <c r="K494" s="11">
        <v>11</v>
      </c>
      <c r="L494" s="11"/>
      <c r="M494" s="11">
        <f t="shared" si="14"/>
        <v>15.600000000000001</v>
      </c>
      <c r="N494" s="11">
        <f>IF(Table1[[#This Row],[Transaction Type]]="Sale",ABS(E494)*K494,0)</f>
        <v>33</v>
      </c>
      <c r="O494" s="29">
        <f>IF(Table1[[#This Row],[Transaction Type]]="Purchase",E494*J494,0)</f>
        <v>0</v>
      </c>
    </row>
    <row r="495" spans="1:15" x14ac:dyDescent="0.35">
      <c r="A495" s="27" t="s">
        <v>718</v>
      </c>
      <c r="B495" s="12">
        <v>45806</v>
      </c>
      <c r="C495" s="11" t="s">
        <v>170</v>
      </c>
      <c r="D495" s="11" t="s">
        <v>13</v>
      </c>
      <c r="E495" s="11">
        <v>-7</v>
      </c>
      <c r="F495" s="11">
        <f t="shared" si="15"/>
        <v>-7</v>
      </c>
      <c r="G495" s="11" t="s">
        <v>14</v>
      </c>
      <c r="H495" s="11" t="s">
        <v>171</v>
      </c>
      <c r="I495" s="11" t="s">
        <v>34</v>
      </c>
      <c r="J495" s="11">
        <v>25</v>
      </c>
      <c r="K495" s="11">
        <v>45</v>
      </c>
      <c r="L495" s="11"/>
      <c r="M495" s="11">
        <f t="shared" si="14"/>
        <v>175</v>
      </c>
      <c r="N495" s="11">
        <f>IF(Table1[[#This Row],[Transaction Type]]="Sale",ABS(E495)*K495,0)</f>
        <v>315</v>
      </c>
      <c r="O495" s="29">
        <f>IF(Table1[[#This Row],[Transaction Type]]="Purchase",E495*J495,0)</f>
        <v>0</v>
      </c>
    </row>
    <row r="496" spans="1:15" x14ac:dyDescent="0.35">
      <c r="A496" s="27" t="s">
        <v>719</v>
      </c>
      <c r="B496" s="12">
        <v>45806</v>
      </c>
      <c r="C496" s="11" t="s">
        <v>139</v>
      </c>
      <c r="D496" s="11" t="s">
        <v>13</v>
      </c>
      <c r="E496" s="11">
        <v>-2</v>
      </c>
      <c r="F496" s="11">
        <f t="shared" si="15"/>
        <v>-2</v>
      </c>
      <c r="G496" s="11" t="s">
        <v>14</v>
      </c>
      <c r="H496" s="11" t="s">
        <v>56</v>
      </c>
      <c r="I496" s="11" t="s">
        <v>16</v>
      </c>
      <c r="J496" s="11">
        <v>16.5</v>
      </c>
      <c r="K496" s="11">
        <v>28</v>
      </c>
      <c r="L496" s="11"/>
      <c r="M496" s="11">
        <f t="shared" si="14"/>
        <v>33</v>
      </c>
      <c r="N496" s="11">
        <f>IF(Table1[[#This Row],[Transaction Type]]="Sale",ABS(E496)*K496,0)</f>
        <v>56</v>
      </c>
      <c r="O496" s="29">
        <f>IF(Table1[[#This Row],[Transaction Type]]="Purchase",E496*J496,0)</f>
        <v>0</v>
      </c>
    </row>
    <row r="497" spans="1:15" x14ac:dyDescent="0.35">
      <c r="A497" s="27" t="s">
        <v>720</v>
      </c>
      <c r="B497" s="12">
        <v>45806</v>
      </c>
      <c r="C497" s="11" t="s">
        <v>170</v>
      </c>
      <c r="D497" s="11" t="s">
        <v>13</v>
      </c>
      <c r="E497" s="11">
        <v>-1</v>
      </c>
      <c r="F497" s="11">
        <f t="shared" si="15"/>
        <v>-1</v>
      </c>
      <c r="G497" s="11" t="s">
        <v>24</v>
      </c>
      <c r="H497" s="11" t="s">
        <v>171</v>
      </c>
      <c r="I497" s="11" t="s">
        <v>34</v>
      </c>
      <c r="J497" s="11">
        <v>25</v>
      </c>
      <c r="K497" s="11">
        <v>45</v>
      </c>
      <c r="L497" s="11"/>
      <c r="M497" s="11">
        <f t="shared" si="14"/>
        <v>25</v>
      </c>
      <c r="N497" s="11">
        <f>IF(Table1[[#This Row],[Transaction Type]]="Sale",ABS(E497)*K497,0)</f>
        <v>45</v>
      </c>
      <c r="O497" s="29">
        <f>IF(Table1[[#This Row],[Transaction Type]]="Purchase",E497*J497,0)</f>
        <v>0</v>
      </c>
    </row>
    <row r="498" spans="1:15" x14ac:dyDescent="0.35">
      <c r="A498" s="27" t="s">
        <v>721</v>
      </c>
      <c r="B498" s="12">
        <v>45806</v>
      </c>
      <c r="C498" s="11" t="s">
        <v>81</v>
      </c>
      <c r="D498" s="11" t="s">
        <v>40</v>
      </c>
      <c r="E498" s="11">
        <v>72</v>
      </c>
      <c r="F498" s="11">
        <f t="shared" si="15"/>
        <v>72</v>
      </c>
      <c r="G498" s="11" t="s">
        <v>24</v>
      </c>
      <c r="H498" s="11" t="s">
        <v>30</v>
      </c>
      <c r="I498" s="11" t="s">
        <v>16</v>
      </c>
      <c r="J498" s="11">
        <v>8</v>
      </c>
      <c r="K498" s="11">
        <v>15</v>
      </c>
      <c r="L498" s="11" t="s">
        <v>722</v>
      </c>
      <c r="M498" s="11">
        <f t="shared" si="14"/>
        <v>576</v>
      </c>
      <c r="N498" s="11">
        <f>IF(Table1[[#This Row],[Transaction Type]]="Sale",ABS(E498)*K498,0)</f>
        <v>0</v>
      </c>
      <c r="O498" s="29">
        <f>IF(Table1[[#This Row],[Transaction Type]]="Purchase",E498*J498,0)</f>
        <v>576</v>
      </c>
    </row>
    <row r="499" spans="1:15" x14ac:dyDescent="0.35">
      <c r="A499" s="27" t="s">
        <v>723</v>
      </c>
      <c r="B499" s="12">
        <v>45807</v>
      </c>
      <c r="C499" s="11" t="s">
        <v>73</v>
      </c>
      <c r="D499" s="11" t="s">
        <v>40</v>
      </c>
      <c r="E499" s="11">
        <v>88</v>
      </c>
      <c r="F499" s="11">
        <f t="shared" si="15"/>
        <v>88</v>
      </c>
      <c r="G499" s="11" t="s">
        <v>19</v>
      </c>
      <c r="H499" s="11" t="s">
        <v>74</v>
      </c>
      <c r="I499" s="11" t="s">
        <v>75</v>
      </c>
      <c r="J499" s="11">
        <v>30</v>
      </c>
      <c r="K499" s="11">
        <v>48</v>
      </c>
      <c r="L499" s="11" t="s">
        <v>724</v>
      </c>
      <c r="M499" s="11">
        <f t="shared" si="14"/>
        <v>2640</v>
      </c>
      <c r="N499" s="11">
        <f>IF(Table1[[#This Row],[Transaction Type]]="Sale",ABS(E499)*K499,0)</f>
        <v>0</v>
      </c>
      <c r="O499" s="29">
        <f>IF(Table1[[#This Row],[Transaction Type]]="Purchase",E499*J499,0)</f>
        <v>2640</v>
      </c>
    </row>
    <row r="500" spans="1:15" x14ac:dyDescent="0.35">
      <c r="A500" s="27" t="s">
        <v>725</v>
      </c>
      <c r="B500" s="12">
        <v>45807</v>
      </c>
      <c r="C500" s="11" t="s">
        <v>23</v>
      </c>
      <c r="D500" s="11" t="s">
        <v>40</v>
      </c>
      <c r="E500" s="11">
        <v>103</v>
      </c>
      <c r="F500" s="11">
        <f t="shared" si="15"/>
        <v>103</v>
      </c>
      <c r="G500" s="11" t="s">
        <v>24</v>
      </c>
      <c r="H500" s="11" t="s">
        <v>25</v>
      </c>
      <c r="I500" s="11" t="s">
        <v>26</v>
      </c>
      <c r="J500" s="11">
        <v>3</v>
      </c>
      <c r="K500" s="11">
        <v>7</v>
      </c>
      <c r="L500" s="11" t="s">
        <v>726</v>
      </c>
      <c r="M500" s="11">
        <f t="shared" si="14"/>
        <v>309</v>
      </c>
      <c r="N500" s="11">
        <f>IF(Table1[[#This Row],[Transaction Type]]="Sale",ABS(E500)*K500,0)</f>
        <v>0</v>
      </c>
      <c r="O500" s="29">
        <f>IF(Table1[[#This Row],[Transaction Type]]="Purchase",E500*J500,0)</f>
        <v>309</v>
      </c>
    </row>
    <row r="501" spans="1:15" x14ac:dyDescent="0.35">
      <c r="A501" s="27" t="s">
        <v>727</v>
      </c>
      <c r="B501" s="12">
        <v>45807</v>
      </c>
      <c r="C501" s="11" t="s">
        <v>48</v>
      </c>
      <c r="D501" s="11" t="s">
        <v>40</v>
      </c>
      <c r="E501" s="11">
        <v>85</v>
      </c>
      <c r="F501" s="11">
        <f t="shared" si="15"/>
        <v>85</v>
      </c>
      <c r="G501" s="11" t="s">
        <v>24</v>
      </c>
      <c r="H501" s="11" t="s">
        <v>49</v>
      </c>
      <c r="I501" s="11" t="s">
        <v>21</v>
      </c>
      <c r="J501" s="11">
        <v>8.5</v>
      </c>
      <c r="K501" s="11">
        <v>18</v>
      </c>
      <c r="L501" s="11" t="s">
        <v>728</v>
      </c>
      <c r="M501" s="11">
        <f t="shared" si="14"/>
        <v>722.5</v>
      </c>
      <c r="N501" s="11">
        <f>IF(Table1[[#This Row],[Transaction Type]]="Sale",ABS(E501)*K501,0)</f>
        <v>0</v>
      </c>
      <c r="O501" s="29">
        <f>IF(Table1[[#This Row],[Transaction Type]]="Purchase",E501*J501,0)</f>
        <v>722.5</v>
      </c>
    </row>
    <row r="502" spans="1:15" x14ac:dyDescent="0.35">
      <c r="A502" s="27" t="s">
        <v>729</v>
      </c>
      <c r="B502" s="12">
        <v>45807</v>
      </c>
      <c r="C502" s="11" t="s">
        <v>87</v>
      </c>
      <c r="D502" s="11" t="s">
        <v>13</v>
      </c>
      <c r="E502" s="11">
        <v>-4</v>
      </c>
      <c r="F502" s="11">
        <f t="shared" si="15"/>
        <v>-4</v>
      </c>
      <c r="G502" s="11" t="s">
        <v>24</v>
      </c>
      <c r="H502" s="11" t="s">
        <v>88</v>
      </c>
      <c r="I502" s="11" t="s">
        <v>16</v>
      </c>
      <c r="J502" s="11">
        <v>6</v>
      </c>
      <c r="K502" s="11">
        <v>14</v>
      </c>
      <c r="L502" s="11"/>
      <c r="M502" s="11">
        <f t="shared" si="14"/>
        <v>24</v>
      </c>
      <c r="N502" s="11">
        <f>IF(Table1[[#This Row],[Transaction Type]]="Sale",ABS(E502)*K502,0)</f>
        <v>56</v>
      </c>
      <c r="O502" s="29">
        <f>IF(Table1[[#This Row],[Transaction Type]]="Purchase",E502*J502,0)</f>
        <v>0</v>
      </c>
    </row>
    <row r="503" spans="1:15" x14ac:dyDescent="0.35">
      <c r="A503" s="27" t="s">
        <v>730</v>
      </c>
      <c r="B503" s="12">
        <v>45808</v>
      </c>
      <c r="C503" s="11" t="s">
        <v>36</v>
      </c>
      <c r="D503" s="11" t="s">
        <v>13</v>
      </c>
      <c r="E503" s="11">
        <v>-9</v>
      </c>
      <c r="F503" s="11">
        <f t="shared" si="15"/>
        <v>-9</v>
      </c>
      <c r="G503" s="11" t="s">
        <v>14</v>
      </c>
      <c r="H503" s="11" t="s">
        <v>37</v>
      </c>
      <c r="I503" s="11" t="s">
        <v>16</v>
      </c>
      <c r="J503" s="11">
        <v>7.2</v>
      </c>
      <c r="K503" s="11">
        <v>12.5</v>
      </c>
      <c r="L503" s="11"/>
      <c r="M503" s="11">
        <f t="shared" si="14"/>
        <v>64.8</v>
      </c>
      <c r="N503" s="11">
        <f>IF(Table1[[#This Row],[Transaction Type]]="Sale",ABS(E503)*K503,0)</f>
        <v>112.5</v>
      </c>
      <c r="O503" s="29">
        <f>IF(Table1[[#This Row],[Transaction Type]]="Purchase",E503*J503,0)</f>
        <v>0</v>
      </c>
    </row>
    <row r="504" spans="1:15" x14ac:dyDescent="0.35">
      <c r="A504" s="27" t="s">
        <v>731</v>
      </c>
      <c r="B504" s="12">
        <v>45808</v>
      </c>
      <c r="C504" s="11" t="s">
        <v>194</v>
      </c>
      <c r="D504" s="11" t="s">
        <v>13</v>
      </c>
      <c r="E504" s="11">
        <v>-7</v>
      </c>
      <c r="F504" s="11">
        <f t="shared" si="15"/>
        <v>-7</v>
      </c>
      <c r="G504" s="11" t="s">
        <v>19</v>
      </c>
      <c r="H504" s="11" t="s">
        <v>195</v>
      </c>
      <c r="I504" s="11" t="s">
        <v>21</v>
      </c>
      <c r="J504" s="11">
        <v>220</v>
      </c>
      <c r="K504" s="11">
        <v>320</v>
      </c>
      <c r="L504" s="11"/>
      <c r="M504" s="11">
        <f t="shared" si="14"/>
        <v>1540</v>
      </c>
      <c r="N504" s="11">
        <f>IF(Table1[[#This Row],[Transaction Type]]="Sale",ABS(E504)*K504,0)</f>
        <v>2240</v>
      </c>
      <c r="O504" s="29">
        <f>IF(Table1[[#This Row],[Transaction Type]]="Purchase",E504*J504,0)</f>
        <v>0</v>
      </c>
    </row>
    <row r="505" spans="1:15" x14ac:dyDescent="0.35">
      <c r="A505" s="27" t="s">
        <v>732</v>
      </c>
      <c r="B505" s="12">
        <v>45808</v>
      </c>
      <c r="C505" s="11" t="s">
        <v>227</v>
      </c>
      <c r="D505" s="11" t="s">
        <v>40</v>
      </c>
      <c r="E505" s="11">
        <v>36</v>
      </c>
      <c r="F505" s="11">
        <f t="shared" si="15"/>
        <v>36</v>
      </c>
      <c r="G505" s="11" t="s">
        <v>19</v>
      </c>
      <c r="H505" s="11" t="s">
        <v>228</v>
      </c>
      <c r="I505" s="11" t="s">
        <v>16</v>
      </c>
      <c r="J505" s="11">
        <v>78</v>
      </c>
      <c r="K505" s="11">
        <v>125</v>
      </c>
      <c r="L505" s="11" t="s">
        <v>733</v>
      </c>
      <c r="M505" s="11">
        <f t="shared" si="14"/>
        <v>2808</v>
      </c>
      <c r="N505" s="11">
        <f>IF(Table1[[#This Row],[Transaction Type]]="Sale",ABS(E505)*K505,0)</f>
        <v>0</v>
      </c>
      <c r="O505" s="29">
        <f>IF(Table1[[#This Row],[Transaction Type]]="Purchase",E505*J505,0)</f>
        <v>2808</v>
      </c>
    </row>
    <row r="506" spans="1:15" x14ac:dyDescent="0.35">
      <c r="A506" s="27" t="s">
        <v>734</v>
      </c>
      <c r="B506" s="12">
        <v>45809</v>
      </c>
      <c r="C506" s="11" t="s">
        <v>141</v>
      </c>
      <c r="D506" s="11" t="s">
        <v>13</v>
      </c>
      <c r="E506" s="11">
        <v>-10</v>
      </c>
      <c r="F506" s="11">
        <f t="shared" si="15"/>
        <v>-10</v>
      </c>
      <c r="G506" s="11" t="s">
        <v>14</v>
      </c>
      <c r="H506" s="11" t="s">
        <v>25</v>
      </c>
      <c r="I506" s="11" t="s">
        <v>26</v>
      </c>
      <c r="J506" s="11">
        <v>4</v>
      </c>
      <c r="K506" s="11">
        <v>9</v>
      </c>
      <c r="L506" s="11"/>
      <c r="M506" s="11">
        <f t="shared" si="14"/>
        <v>40</v>
      </c>
      <c r="N506" s="11">
        <f>IF(Table1[[#This Row],[Transaction Type]]="Sale",ABS(E506)*K506,0)</f>
        <v>90</v>
      </c>
      <c r="O506" s="29">
        <f>IF(Table1[[#This Row],[Transaction Type]]="Purchase",E506*J506,0)</f>
        <v>0</v>
      </c>
    </row>
    <row r="507" spans="1:15" x14ac:dyDescent="0.35">
      <c r="A507" s="27" t="s">
        <v>735</v>
      </c>
      <c r="B507" s="12">
        <v>45809</v>
      </c>
      <c r="C507" s="11" t="s">
        <v>94</v>
      </c>
      <c r="D507" s="11" t="s">
        <v>13</v>
      </c>
      <c r="E507" s="11">
        <v>-10</v>
      </c>
      <c r="F507" s="11">
        <f t="shared" si="15"/>
        <v>-10</v>
      </c>
      <c r="G507" s="11" t="s">
        <v>14</v>
      </c>
      <c r="H507" s="11" t="s">
        <v>95</v>
      </c>
      <c r="I507" s="11" t="s">
        <v>16</v>
      </c>
      <c r="J507" s="11">
        <v>18.5</v>
      </c>
      <c r="K507" s="11">
        <v>31</v>
      </c>
      <c r="L507" s="11"/>
      <c r="M507" s="11">
        <f t="shared" si="14"/>
        <v>185</v>
      </c>
      <c r="N507" s="11">
        <f>IF(Table1[[#This Row],[Transaction Type]]="Sale",ABS(E507)*K507,0)</f>
        <v>310</v>
      </c>
      <c r="O507" s="29">
        <f>IF(Table1[[#This Row],[Transaction Type]]="Purchase",E507*J507,0)</f>
        <v>0</v>
      </c>
    </row>
    <row r="508" spans="1:15" x14ac:dyDescent="0.35">
      <c r="A508" s="27" t="s">
        <v>736</v>
      </c>
      <c r="B508" s="12">
        <v>45809</v>
      </c>
      <c r="C508" s="11" t="s">
        <v>52</v>
      </c>
      <c r="D508" s="11" t="s">
        <v>13</v>
      </c>
      <c r="E508" s="11">
        <v>-9</v>
      </c>
      <c r="F508" s="11">
        <f t="shared" si="15"/>
        <v>-9</v>
      </c>
      <c r="G508" s="11" t="s">
        <v>24</v>
      </c>
      <c r="H508" s="11" t="s">
        <v>20</v>
      </c>
      <c r="I508" s="11" t="s">
        <v>21</v>
      </c>
      <c r="J508" s="11">
        <v>5.5</v>
      </c>
      <c r="K508" s="11">
        <v>12</v>
      </c>
      <c r="L508" s="11"/>
      <c r="M508" s="11">
        <f t="shared" si="14"/>
        <v>49.5</v>
      </c>
      <c r="N508" s="11">
        <f>IF(Table1[[#This Row],[Transaction Type]]="Sale",ABS(E508)*K508,0)</f>
        <v>108</v>
      </c>
      <c r="O508" s="29">
        <f>IF(Table1[[#This Row],[Transaction Type]]="Purchase",E508*J508,0)</f>
        <v>0</v>
      </c>
    </row>
    <row r="509" spans="1:15" x14ac:dyDescent="0.35">
      <c r="A509" s="27" t="s">
        <v>737</v>
      </c>
      <c r="B509" s="12">
        <v>45810</v>
      </c>
      <c r="C509" s="11" t="s">
        <v>98</v>
      </c>
      <c r="D509" s="11" t="s">
        <v>13</v>
      </c>
      <c r="E509" s="11">
        <v>-12</v>
      </c>
      <c r="F509" s="11">
        <f t="shared" si="15"/>
        <v>-12</v>
      </c>
      <c r="G509" s="11" t="s">
        <v>14</v>
      </c>
      <c r="H509" s="11" t="s">
        <v>30</v>
      </c>
      <c r="I509" s="11" t="s">
        <v>16</v>
      </c>
      <c r="J509" s="11">
        <v>16</v>
      </c>
      <c r="K509" s="11">
        <v>29</v>
      </c>
      <c r="L509" s="11"/>
      <c r="M509" s="11">
        <f t="shared" si="14"/>
        <v>192</v>
      </c>
      <c r="N509" s="11">
        <f>IF(Table1[[#This Row],[Transaction Type]]="Sale",ABS(E509)*K509,0)</f>
        <v>348</v>
      </c>
      <c r="O509" s="29">
        <f>IF(Table1[[#This Row],[Transaction Type]]="Purchase",E509*J509,0)</f>
        <v>0</v>
      </c>
    </row>
    <row r="510" spans="1:15" x14ac:dyDescent="0.35">
      <c r="A510" s="27" t="s">
        <v>738</v>
      </c>
      <c r="B510" s="12">
        <v>45810</v>
      </c>
      <c r="C510" s="11" t="s">
        <v>139</v>
      </c>
      <c r="D510" s="11" t="s">
        <v>13</v>
      </c>
      <c r="E510" s="11">
        <v>-6</v>
      </c>
      <c r="F510" s="11">
        <f t="shared" si="15"/>
        <v>-6</v>
      </c>
      <c r="G510" s="11" t="s">
        <v>24</v>
      </c>
      <c r="H510" s="11" t="s">
        <v>56</v>
      </c>
      <c r="I510" s="11" t="s">
        <v>16</v>
      </c>
      <c r="J510" s="11">
        <v>16.5</v>
      </c>
      <c r="K510" s="11">
        <v>28</v>
      </c>
      <c r="L510" s="11"/>
      <c r="M510" s="11">
        <f t="shared" si="14"/>
        <v>99</v>
      </c>
      <c r="N510" s="11">
        <f>IF(Table1[[#This Row],[Transaction Type]]="Sale",ABS(E510)*K510,0)</f>
        <v>168</v>
      </c>
      <c r="O510" s="29">
        <f>IF(Table1[[#This Row],[Transaction Type]]="Purchase",E510*J510,0)</f>
        <v>0</v>
      </c>
    </row>
    <row r="511" spans="1:15" x14ac:dyDescent="0.35">
      <c r="A511" s="27" t="s">
        <v>739</v>
      </c>
      <c r="B511" s="12">
        <v>45811</v>
      </c>
      <c r="C511" s="11" t="s">
        <v>73</v>
      </c>
      <c r="D511" s="11" t="s">
        <v>40</v>
      </c>
      <c r="E511" s="11">
        <v>107</v>
      </c>
      <c r="F511" s="11">
        <f t="shared" si="15"/>
        <v>107</v>
      </c>
      <c r="G511" s="11" t="s">
        <v>24</v>
      </c>
      <c r="H511" s="11" t="s">
        <v>74</v>
      </c>
      <c r="I511" s="11" t="s">
        <v>75</v>
      </c>
      <c r="J511" s="11">
        <v>30</v>
      </c>
      <c r="K511" s="11">
        <v>48</v>
      </c>
      <c r="L511" s="11" t="s">
        <v>740</v>
      </c>
      <c r="M511" s="11">
        <f t="shared" si="14"/>
        <v>3210</v>
      </c>
      <c r="N511" s="11">
        <f>IF(Table1[[#This Row],[Transaction Type]]="Sale",ABS(E511)*K511,0)</f>
        <v>0</v>
      </c>
      <c r="O511" s="29">
        <f>IF(Table1[[#This Row],[Transaction Type]]="Purchase",E511*J511,0)</f>
        <v>3210</v>
      </c>
    </row>
    <row r="512" spans="1:15" x14ac:dyDescent="0.35">
      <c r="A512" s="27" t="s">
        <v>741</v>
      </c>
      <c r="B512" s="12">
        <v>45811</v>
      </c>
      <c r="C512" s="11" t="s">
        <v>36</v>
      </c>
      <c r="D512" s="11" t="s">
        <v>13</v>
      </c>
      <c r="E512" s="11">
        <v>-2</v>
      </c>
      <c r="F512" s="11">
        <f t="shared" si="15"/>
        <v>-2</v>
      </c>
      <c r="G512" s="11" t="s">
        <v>14</v>
      </c>
      <c r="H512" s="11" t="s">
        <v>37</v>
      </c>
      <c r="I512" s="11" t="s">
        <v>16</v>
      </c>
      <c r="J512" s="11">
        <v>7.2</v>
      </c>
      <c r="K512" s="11">
        <v>12.5</v>
      </c>
      <c r="L512" s="11"/>
      <c r="M512" s="11">
        <f t="shared" si="14"/>
        <v>14.4</v>
      </c>
      <c r="N512" s="11">
        <f>IF(Table1[[#This Row],[Transaction Type]]="Sale",ABS(E512)*K512,0)</f>
        <v>25</v>
      </c>
      <c r="O512" s="29">
        <f>IF(Table1[[#This Row],[Transaction Type]]="Purchase",E512*J512,0)</f>
        <v>0</v>
      </c>
    </row>
    <row r="513" spans="1:15" x14ac:dyDescent="0.35">
      <c r="A513" s="27" t="s">
        <v>742</v>
      </c>
      <c r="B513" s="12">
        <v>45811</v>
      </c>
      <c r="C513" s="11" t="s">
        <v>136</v>
      </c>
      <c r="D513" s="11" t="s">
        <v>13</v>
      </c>
      <c r="E513" s="11">
        <v>-1</v>
      </c>
      <c r="F513" s="11">
        <f t="shared" si="15"/>
        <v>-1</v>
      </c>
      <c r="G513" s="11" t="s">
        <v>14</v>
      </c>
      <c r="H513" s="11" t="s">
        <v>33</v>
      </c>
      <c r="I513" s="11" t="s">
        <v>34</v>
      </c>
      <c r="J513" s="11">
        <v>34</v>
      </c>
      <c r="K513" s="11">
        <v>55</v>
      </c>
      <c r="L513" s="11"/>
      <c r="M513" s="11">
        <f t="shared" si="14"/>
        <v>34</v>
      </c>
      <c r="N513" s="11">
        <f>IF(Table1[[#This Row],[Transaction Type]]="Sale",ABS(E513)*K513,0)</f>
        <v>55</v>
      </c>
      <c r="O513" s="29">
        <f>IF(Table1[[#This Row],[Transaction Type]]="Purchase",E513*J513,0)</f>
        <v>0</v>
      </c>
    </row>
    <row r="514" spans="1:15" x14ac:dyDescent="0.35">
      <c r="A514" s="27" t="s">
        <v>743</v>
      </c>
      <c r="B514" s="12">
        <v>45811</v>
      </c>
      <c r="C514" s="11" t="s">
        <v>83</v>
      </c>
      <c r="D514" s="11" t="s">
        <v>13</v>
      </c>
      <c r="E514" s="11">
        <v>-13</v>
      </c>
      <c r="F514" s="11">
        <f t="shared" si="15"/>
        <v>-13</v>
      </c>
      <c r="G514" s="11" t="s">
        <v>19</v>
      </c>
      <c r="H514" s="11" t="s">
        <v>84</v>
      </c>
      <c r="I514" s="11" t="s">
        <v>45</v>
      </c>
      <c r="J514" s="11">
        <v>130</v>
      </c>
      <c r="K514" s="11">
        <v>185</v>
      </c>
      <c r="L514" s="11"/>
      <c r="M514" s="11">
        <f t="shared" ref="M514:M577" si="16">ABS(E514)*J514</f>
        <v>1690</v>
      </c>
      <c r="N514" s="11">
        <f>IF(Table1[[#This Row],[Transaction Type]]="Sale",ABS(E514)*K514,0)</f>
        <v>2405</v>
      </c>
      <c r="O514" s="29">
        <f>IF(Table1[[#This Row],[Transaction Type]]="Purchase",E514*J514,0)</f>
        <v>0</v>
      </c>
    </row>
    <row r="515" spans="1:15" x14ac:dyDescent="0.35">
      <c r="A515" s="27" t="s">
        <v>744</v>
      </c>
      <c r="B515" s="12">
        <v>45811</v>
      </c>
      <c r="C515" s="11" t="s">
        <v>29</v>
      </c>
      <c r="D515" s="11" t="s">
        <v>13</v>
      </c>
      <c r="E515" s="11">
        <v>-14</v>
      </c>
      <c r="F515" s="11">
        <f t="shared" ref="F515:F578" si="17">E515</f>
        <v>-14</v>
      </c>
      <c r="G515" s="11" t="s">
        <v>14</v>
      </c>
      <c r="H515" s="11" t="s">
        <v>30</v>
      </c>
      <c r="I515" s="11" t="s">
        <v>16</v>
      </c>
      <c r="J515" s="11">
        <v>8.8000000000000007</v>
      </c>
      <c r="K515" s="11">
        <v>17</v>
      </c>
      <c r="L515" s="11"/>
      <c r="M515" s="11">
        <f t="shared" si="16"/>
        <v>123.20000000000002</v>
      </c>
      <c r="N515" s="11">
        <f>IF(Table1[[#This Row],[Transaction Type]]="Sale",ABS(E515)*K515,0)</f>
        <v>238</v>
      </c>
      <c r="O515" s="29">
        <f>IF(Table1[[#This Row],[Transaction Type]]="Purchase",E515*J515,0)</f>
        <v>0</v>
      </c>
    </row>
    <row r="516" spans="1:15" x14ac:dyDescent="0.35">
      <c r="A516" s="27" t="s">
        <v>745</v>
      </c>
      <c r="B516" s="12">
        <v>45812</v>
      </c>
      <c r="C516" s="11" t="s">
        <v>36</v>
      </c>
      <c r="D516" s="11" t="s">
        <v>13</v>
      </c>
      <c r="E516" s="11">
        <v>-6</v>
      </c>
      <c r="F516" s="11">
        <f t="shared" si="17"/>
        <v>-6</v>
      </c>
      <c r="G516" s="11" t="s">
        <v>24</v>
      </c>
      <c r="H516" s="11" t="s">
        <v>37</v>
      </c>
      <c r="I516" s="11" t="s">
        <v>16</v>
      </c>
      <c r="J516" s="11">
        <v>7.2</v>
      </c>
      <c r="K516" s="11">
        <v>12.5</v>
      </c>
      <c r="L516" s="11"/>
      <c r="M516" s="11">
        <f t="shared" si="16"/>
        <v>43.2</v>
      </c>
      <c r="N516" s="11">
        <f>IF(Table1[[#This Row],[Transaction Type]]="Sale",ABS(E516)*K516,0)</f>
        <v>75</v>
      </c>
      <c r="O516" s="29">
        <f>IF(Table1[[#This Row],[Transaction Type]]="Purchase",E516*J516,0)</f>
        <v>0</v>
      </c>
    </row>
    <row r="517" spans="1:15" x14ac:dyDescent="0.35">
      <c r="A517" s="27" t="s">
        <v>746</v>
      </c>
      <c r="B517" s="12">
        <v>45812</v>
      </c>
      <c r="C517" s="11" t="s">
        <v>77</v>
      </c>
      <c r="D517" s="11" t="s">
        <v>66</v>
      </c>
      <c r="E517" s="11">
        <v>1</v>
      </c>
      <c r="F517" s="11">
        <f t="shared" si="17"/>
        <v>1</v>
      </c>
      <c r="G517" s="11" t="s">
        <v>24</v>
      </c>
      <c r="H517" s="11" t="s">
        <v>78</v>
      </c>
      <c r="I517" s="11" t="s">
        <v>16</v>
      </c>
      <c r="J517" s="11">
        <v>25</v>
      </c>
      <c r="K517" s="11">
        <v>42</v>
      </c>
      <c r="L517" s="11"/>
      <c r="M517" s="11">
        <f t="shared" si="16"/>
        <v>25</v>
      </c>
      <c r="N517" s="11">
        <f>IF(Table1[[#This Row],[Transaction Type]]="Sale",ABS(E517)*K517,0)</f>
        <v>0</v>
      </c>
      <c r="O517" s="29">
        <f>IF(Table1[[#This Row],[Transaction Type]]="Purchase",E517*J517,0)</f>
        <v>0</v>
      </c>
    </row>
    <row r="518" spans="1:15" x14ac:dyDescent="0.35">
      <c r="A518" s="27" t="s">
        <v>747</v>
      </c>
      <c r="B518" s="12">
        <v>45812</v>
      </c>
      <c r="C518" s="11" t="s">
        <v>43</v>
      </c>
      <c r="D518" s="11" t="s">
        <v>13</v>
      </c>
      <c r="E518" s="11">
        <v>-8</v>
      </c>
      <c r="F518" s="11">
        <f t="shared" si="17"/>
        <v>-8</v>
      </c>
      <c r="G518" s="11" t="s">
        <v>14</v>
      </c>
      <c r="H518" s="11" t="s">
        <v>44</v>
      </c>
      <c r="I518" s="11" t="s">
        <v>45</v>
      </c>
      <c r="J518" s="11">
        <v>5.2</v>
      </c>
      <c r="K518" s="11">
        <v>11</v>
      </c>
      <c r="L518" s="11"/>
      <c r="M518" s="11">
        <f t="shared" si="16"/>
        <v>41.6</v>
      </c>
      <c r="N518" s="11">
        <f>IF(Table1[[#This Row],[Transaction Type]]="Sale",ABS(E518)*K518,0)</f>
        <v>88</v>
      </c>
      <c r="O518" s="29">
        <f>IF(Table1[[#This Row],[Transaction Type]]="Purchase",E518*J518,0)</f>
        <v>0</v>
      </c>
    </row>
    <row r="519" spans="1:15" x14ac:dyDescent="0.35">
      <c r="A519" s="27" t="s">
        <v>748</v>
      </c>
      <c r="B519" s="12">
        <v>45813</v>
      </c>
      <c r="C519" s="11" t="s">
        <v>36</v>
      </c>
      <c r="D519" s="11" t="s">
        <v>40</v>
      </c>
      <c r="E519" s="11">
        <v>67</v>
      </c>
      <c r="F519" s="11">
        <f t="shared" si="17"/>
        <v>67</v>
      </c>
      <c r="G519" s="11" t="s">
        <v>24</v>
      </c>
      <c r="H519" s="11" t="s">
        <v>37</v>
      </c>
      <c r="I519" s="11" t="s">
        <v>16</v>
      </c>
      <c r="J519" s="11">
        <v>7.2</v>
      </c>
      <c r="K519" s="11">
        <v>12.5</v>
      </c>
      <c r="L519" s="11" t="s">
        <v>749</v>
      </c>
      <c r="M519" s="11">
        <f t="shared" si="16"/>
        <v>482.40000000000003</v>
      </c>
      <c r="N519" s="11">
        <f>IF(Table1[[#This Row],[Transaction Type]]="Sale",ABS(E519)*K519,0)</f>
        <v>0</v>
      </c>
      <c r="O519" s="29">
        <f>IF(Table1[[#This Row],[Transaction Type]]="Purchase",E519*J519,0)</f>
        <v>482.40000000000003</v>
      </c>
    </row>
    <row r="520" spans="1:15" x14ac:dyDescent="0.35">
      <c r="A520" s="27" t="s">
        <v>750</v>
      </c>
      <c r="B520" s="12">
        <v>45813</v>
      </c>
      <c r="C520" s="11" t="s">
        <v>12</v>
      </c>
      <c r="D520" s="11" t="s">
        <v>13</v>
      </c>
      <c r="E520" s="11">
        <v>-10</v>
      </c>
      <c r="F520" s="11">
        <f t="shared" si="17"/>
        <v>-10</v>
      </c>
      <c r="G520" s="11" t="s">
        <v>24</v>
      </c>
      <c r="H520" s="11" t="s">
        <v>15</v>
      </c>
      <c r="I520" s="11" t="s">
        <v>16</v>
      </c>
      <c r="J520" s="11">
        <v>13.5</v>
      </c>
      <c r="K520" s="11">
        <v>24</v>
      </c>
      <c r="L520" s="11"/>
      <c r="M520" s="11">
        <f t="shared" si="16"/>
        <v>135</v>
      </c>
      <c r="N520" s="11">
        <f>IF(Table1[[#This Row],[Transaction Type]]="Sale",ABS(E520)*K520,0)</f>
        <v>240</v>
      </c>
      <c r="O520" s="29">
        <f>IF(Table1[[#This Row],[Transaction Type]]="Purchase",E520*J520,0)</f>
        <v>0</v>
      </c>
    </row>
    <row r="521" spans="1:15" x14ac:dyDescent="0.35">
      <c r="A521" s="27" t="s">
        <v>751</v>
      </c>
      <c r="B521" s="12">
        <v>45814</v>
      </c>
      <c r="C521" s="11" t="s">
        <v>23</v>
      </c>
      <c r="D521" s="11" t="s">
        <v>40</v>
      </c>
      <c r="E521" s="11">
        <v>102</v>
      </c>
      <c r="F521" s="11">
        <f t="shared" si="17"/>
        <v>102</v>
      </c>
      <c r="G521" s="11" t="s">
        <v>24</v>
      </c>
      <c r="H521" s="11" t="s">
        <v>25</v>
      </c>
      <c r="I521" s="11" t="s">
        <v>26</v>
      </c>
      <c r="J521" s="11">
        <v>3</v>
      </c>
      <c r="K521" s="11">
        <v>7</v>
      </c>
      <c r="L521" s="11" t="s">
        <v>752</v>
      </c>
      <c r="M521" s="11">
        <f t="shared" si="16"/>
        <v>306</v>
      </c>
      <c r="N521" s="11">
        <f>IF(Table1[[#This Row],[Transaction Type]]="Sale",ABS(E521)*K521,0)</f>
        <v>0</v>
      </c>
      <c r="O521" s="29">
        <f>IF(Table1[[#This Row],[Transaction Type]]="Purchase",E521*J521,0)</f>
        <v>306</v>
      </c>
    </row>
    <row r="522" spans="1:15" x14ac:dyDescent="0.35">
      <c r="A522" s="27" t="s">
        <v>753</v>
      </c>
      <c r="B522" s="12">
        <v>45814</v>
      </c>
      <c r="C522" s="11" t="s">
        <v>98</v>
      </c>
      <c r="D522" s="11" t="s">
        <v>13</v>
      </c>
      <c r="E522" s="11">
        <v>-2</v>
      </c>
      <c r="F522" s="11">
        <f t="shared" si="17"/>
        <v>-2</v>
      </c>
      <c r="G522" s="11" t="s">
        <v>14</v>
      </c>
      <c r="H522" s="11" t="s">
        <v>30</v>
      </c>
      <c r="I522" s="11" t="s">
        <v>16</v>
      </c>
      <c r="J522" s="11">
        <v>16</v>
      </c>
      <c r="K522" s="11">
        <v>29</v>
      </c>
      <c r="L522" s="11"/>
      <c r="M522" s="11">
        <f t="shared" si="16"/>
        <v>32</v>
      </c>
      <c r="N522" s="11">
        <f>IF(Table1[[#This Row],[Transaction Type]]="Sale",ABS(E522)*K522,0)</f>
        <v>58</v>
      </c>
      <c r="O522" s="29">
        <f>IF(Table1[[#This Row],[Transaction Type]]="Purchase",E522*J522,0)</f>
        <v>0</v>
      </c>
    </row>
    <row r="523" spans="1:15" x14ac:dyDescent="0.35">
      <c r="A523" s="27" t="s">
        <v>754</v>
      </c>
      <c r="B523" s="12">
        <v>45814</v>
      </c>
      <c r="C523" s="11" t="s">
        <v>170</v>
      </c>
      <c r="D523" s="11" t="s">
        <v>13</v>
      </c>
      <c r="E523" s="11">
        <v>-8</v>
      </c>
      <c r="F523" s="11">
        <f t="shared" si="17"/>
        <v>-8</v>
      </c>
      <c r="G523" s="11" t="s">
        <v>24</v>
      </c>
      <c r="H523" s="11" t="s">
        <v>171</v>
      </c>
      <c r="I523" s="11" t="s">
        <v>34</v>
      </c>
      <c r="J523" s="11">
        <v>25</v>
      </c>
      <c r="K523" s="11">
        <v>45</v>
      </c>
      <c r="L523" s="11"/>
      <c r="M523" s="11">
        <f t="shared" si="16"/>
        <v>200</v>
      </c>
      <c r="N523" s="11">
        <f>IF(Table1[[#This Row],[Transaction Type]]="Sale",ABS(E523)*K523,0)</f>
        <v>360</v>
      </c>
      <c r="O523" s="29">
        <f>IF(Table1[[#This Row],[Transaction Type]]="Purchase",E523*J523,0)</f>
        <v>0</v>
      </c>
    </row>
    <row r="524" spans="1:15" x14ac:dyDescent="0.35">
      <c r="A524" s="27" t="s">
        <v>755</v>
      </c>
      <c r="B524" s="12">
        <v>45815</v>
      </c>
      <c r="C524" s="11" t="s">
        <v>87</v>
      </c>
      <c r="D524" s="11" t="s">
        <v>13</v>
      </c>
      <c r="E524" s="11">
        <v>-13</v>
      </c>
      <c r="F524" s="11">
        <f t="shared" si="17"/>
        <v>-13</v>
      </c>
      <c r="G524" s="11" t="s">
        <v>14</v>
      </c>
      <c r="H524" s="11" t="s">
        <v>88</v>
      </c>
      <c r="I524" s="11" t="s">
        <v>16</v>
      </c>
      <c r="J524" s="11">
        <v>6</v>
      </c>
      <c r="K524" s="11">
        <v>14</v>
      </c>
      <c r="L524" s="11"/>
      <c r="M524" s="11">
        <f t="shared" si="16"/>
        <v>78</v>
      </c>
      <c r="N524" s="11">
        <f>IF(Table1[[#This Row],[Transaction Type]]="Sale",ABS(E524)*K524,0)</f>
        <v>182</v>
      </c>
      <c r="O524" s="29">
        <f>IF(Table1[[#This Row],[Transaction Type]]="Purchase",E524*J524,0)</f>
        <v>0</v>
      </c>
    </row>
    <row r="525" spans="1:15" x14ac:dyDescent="0.35">
      <c r="A525" s="27" t="s">
        <v>756</v>
      </c>
      <c r="B525" s="12">
        <v>45815</v>
      </c>
      <c r="C525" s="11" t="s">
        <v>12</v>
      </c>
      <c r="D525" s="11" t="s">
        <v>66</v>
      </c>
      <c r="E525" s="11">
        <v>4</v>
      </c>
      <c r="F525" s="11">
        <f t="shared" si="17"/>
        <v>4</v>
      </c>
      <c r="G525" s="11" t="s">
        <v>14</v>
      </c>
      <c r="H525" s="11" t="s">
        <v>15</v>
      </c>
      <c r="I525" s="11" t="s">
        <v>16</v>
      </c>
      <c r="J525" s="11">
        <v>13.5</v>
      </c>
      <c r="K525" s="11">
        <v>24</v>
      </c>
      <c r="L525" s="11"/>
      <c r="M525" s="11">
        <f t="shared" si="16"/>
        <v>54</v>
      </c>
      <c r="N525" s="11">
        <f>IF(Table1[[#This Row],[Transaction Type]]="Sale",ABS(E525)*K525,0)</f>
        <v>0</v>
      </c>
      <c r="O525" s="29">
        <f>IF(Table1[[#This Row],[Transaction Type]]="Purchase",E525*J525,0)</f>
        <v>0</v>
      </c>
    </row>
    <row r="526" spans="1:15" x14ac:dyDescent="0.35">
      <c r="A526" s="27" t="s">
        <v>757</v>
      </c>
      <c r="B526" s="12">
        <v>45815</v>
      </c>
      <c r="C526" s="11" t="s">
        <v>23</v>
      </c>
      <c r="D526" s="11" t="s">
        <v>13</v>
      </c>
      <c r="E526" s="11">
        <v>-2</v>
      </c>
      <c r="F526" s="11">
        <f t="shared" si="17"/>
        <v>-2</v>
      </c>
      <c r="G526" s="11" t="s">
        <v>19</v>
      </c>
      <c r="H526" s="11" t="s">
        <v>25</v>
      </c>
      <c r="I526" s="11" t="s">
        <v>26</v>
      </c>
      <c r="J526" s="11">
        <v>3</v>
      </c>
      <c r="K526" s="11">
        <v>7</v>
      </c>
      <c r="L526" s="11"/>
      <c r="M526" s="11">
        <f t="shared" si="16"/>
        <v>6</v>
      </c>
      <c r="N526" s="11">
        <f>IF(Table1[[#This Row],[Transaction Type]]="Sale",ABS(E526)*K526,0)</f>
        <v>14</v>
      </c>
      <c r="O526" s="29">
        <f>IF(Table1[[#This Row],[Transaction Type]]="Purchase",E526*J526,0)</f>
        <v>0</v>
      </c>
    </row>
    <row r="527" spans="1:15" x14ac:dyDescent="0.35">
      <c r="A527" s="27" t="s">
        <v>758</v>
      </c>
      <c r="B527" s="12">
        <v>45815</v>
      </c>
      <c r="C527" s="11" t="s">
        <v>141</v>
      </c>
      <c r="D527" s="11" t="s">
        <v>40</v>
      </c>
      <c r="E527" s="11">
        <v>50</v>
      </c>
      <c r="F527" s="11">
        <f t="shared" si="17"/>
        <v>50</v>
      </c>
      <c r="G527" s="11" t="s">
        <v>19</v>
      </c>
      <c r="H527" s="11" t="s">
        <v>25</v>
      </c>
      <c r="I527" s="11" t="s">
        <v>26</v>
      </c>
      <c r="J527" s="11">
        <v>4</v>
      </c>
      <c r="K527" s="11">
        <v>9</v>
      </c>
      <c r="L527" s="11" t="s">
        <v>759</v>
      </c>
      <c r="M527" s="11">
        <f t="shared" si="16"/>
        <v>200</v>
      </c>
      <c r="N527" s="11">
        <f>IF(Table1[[#This Row],[Transaction Type]]="Sale",ABS(E527)*K527,0)</f>
        <v>0</v>
      </c>
      <c r="O527" s="29">
        <f>IF(Table1[[#This Row],[Transaction Type]]="Purchase",E527*J527,0)</f>
        <v>200</v>
      </c>
    </row>
    <row r="528" spans="1:15" x14ac:dyDescent="0.35">
      <c r="A528" s="27" t="s">
        <v>760</v>
      </c>
      <c r="B528" s="12">
        <v>45815</v>
      </c>
      <c r="C528" s="11" t="s">
        <v>32</v>
      </c>
      <c r="D528" s="11" t="s">
        <v>40</v>
      </c>
      <c r="E528" s="11">
        <v>35</v>
      </c>
      <c r="F528" s="11">
        <f t="shared" si="17"/>
        <v>35</v>
      </c>
      <c r="G528" s="11" t="s">
        <v>14</v>
      </c>
      <c r="H528" s="11" t="s">
        <v>33</v>
      </c>
      <c r="I528" s="11" t="s">
        <v>34</v>
      </c>
      <c r="J528" s="11">
        <v>20</v>
      </c>
      <c r="K528" s="11">
        <v>35</v>
      </c>
      <c r="L528" s="11" t="s">
        <v>761</v>
      </c>
      <c r="M528" s="11">
        <f t="shared" si="16"/>
        <v>700</v>
      </c>
      <c r="N528" s="11">
        <f>IF(Table1[[#This Row],[Transaction Type]]="Sale",ABS(E528)*K528,0)</f>
        <v>0</v>
      </c>
      <c r="O528" s="29">
        <f>IF(Table1[[#This Row],[Transaction Type]]="Purchase",E528*J528,0)</f>
        <v>700</v>
      </c>
    </row>
    <row r="529" spans="1:15" x14ac:dyDescent="0.35">
      <c r="A529" s="27" t="s">
        <v>762</v>
      </c>
      <c r="B529" s="12">
        <v>45816</v>
      </c>
      <c r="C529" s="11" t="s">
        <v>136</v>
      </c>
      <c r="D529" s="11" t="s">
        <v>40</v>
      </c>
      <c r="E529" s="11">
        <v>79</v>
      </c>
      <c r="F529" s="11">
        <f t="shared" si="17"/>
        <v>79</v>
      </c>
      <c r="G529" s="11" t="s">
        <v>24</v>
      </c>
      <c r="H529" s="11" t="s">
        <v>33</v>
      </c>
      <c r="I529" s="11" t="s">
        <v>34</v>
      </c>
      <c r="J529" s="11">
        <v>34</v>
      </c>
      <c r="K529" s="11">
        <v>55</v>
      </c>
      <c r="L529" s="11" t="s">
        <v>763</v>
      </c>
      <c r="M529" s="11">
        <f t="shared" si="16"/>
        <v>2686</v>
      </c>
      <c r="N529" s="11">
        <f>IF(Table1[[#This Row],[Transaction Type]]="Sale",ABS(E529)*K529,0)</f>
        <v>0</v>
      </c>
      <c r="O529" s="29">
        <f>IF(Table1[[#This Row],[Transaction Type]]="Purchase",E529*J529,0)</f>
        <v>2686</v>
      </c>
    </row>
    <row r="530" spans="1:15" x14ac:dyDescent="0.35">
      <c r="A530" s="27" t="s">
        <v>764</v>
      </c>
      <c r="B530" s="12">
        <v>45816</v>
      </c>
      <c r="C530" s="11" t="s">
        <v>69</v>
      </c>
      <c r="D530" s="11" t="s">
        <v>40</v>
      </c>
      <c r="E530" s="11">
        <v>72</v>
      </c>
      <c r="F530" s="11">
        <f t="shared" si="17"/>
        <v>72</v>
      </c>
      <c r="G530" s="11" t="s">
        <v>14</v>
      </c>
      <c r="H530" s="11" t="s">
        <v>70</v>
      </c>
      <c r="I530" s="11" t="s">
        <v>16</v>
      </c>
      <c r="J530" s="11">
        <v>23</v>
      </c>
      <c r="K530" s="11">
        <v>38</v>
      </c>
      <c r="L530" s="11" t="s">
        <v>765</v>
      </c>
      <c r="M530" s="11">
        <f t="shared" si="16"/>
        <v>1656</v>
      </c>
      <c r="N530" s="11">
        <f>IF(Table1[[#This Row],[Transaction Type]]="Sale",ABS(E530)*K530,0)</f>
        <v>0</v>
      </c>
      <c r="O530" s="29">
        <f>IF(Table1[[#This Row],[Transaction Type]]="Purchase",E530*J530,0)</f>
        <v>1656</v>
      </c>
    </row>
    <row r="531" spans="1:15" x14ac:dyDescent="0.35">
      <c r="A531" s="27" t="s">
        <v>766</v>
      </c>
      <c r="B531" s="12">
        <v>45818</v>
      </c>
      <c r="C531" s="11" t="s">
        <v>36</v>
      </c>
      <c r="D531" s="11" t="s">
        <v>13</v>
      </c>
      <c r="E531" s="11">
        <v>-2</v>
      </c>
      <c r="F531" s="11">
        <f t="shared" si="17"/>
        <v>-2</v>
      </c>
      <c r="G531" s="11" t="s">
        <v>19</v>
      </c>
      <c r="H531" s="11" t="s">
        <v>37</v>
      </c>
      <c r="I531" s="11" t="s">
        <v>16</v>
      </c>
      <c r="J531" s="11">
        <v>7.2</v>
      </c>
      <c r="K531" s="11">
        <v>12.5</v>
      </c>
      <c r="L531" s="11"/>
      <c r="M531" s="11">
        <f t="shared" si="16"/>
        <v>14.4</v>
      </c>
      <c r="N531" s="11">
        <f>IF(Table1[[#This Row],[Transaction Type]]="Sale",ABS(E531)*K531,0)</f>
        <v>25</v>
      </c>
      <c r="O531" s="29">
        <f>IF(Table1[[#This Row],[Transaction Type]]="Purchase",E531*J531,0)</f>
        <v>0</v>
      </c>
    </row>
    <row r="532" spans="1:15" x14ac:dyDescent="0.35">
      <c r="A532" s="27" t="s">
        <v>767</v>
      </c>
      <c r="B532" s="12">
        <v>45818</v>
      </c>
      <c r="C532" s="11" t="s">
        <v>55</v>
      </c>
      <c r="D532" s="11" t="s">
        <v>40</v>
      </c>
      <c r="E532" s="11">
        <v>96</v>
      </c>
      <c r="F532" s="11">
        <f t="shared" si="17"/>
        <v>96</v>
      </c>
      <c r="G532" s="11" t="s">
        <v>14</v>
      </c>
      <c r="H532" s="11" t="s">
        <v>56</v>
      </c>
      <c r="I532" s="11" t="s">
        <v>16</v>
      </c>
      <c r="J532" s="11">
        <v>4.2</v>
      </c>
      <c r="K532" s="11">
        <v>10</v>
      </c>
      <c r="L532" s="11" t="s">
        <v>768</v>
      </c>
      <c r="M532" s="11">
        <f t="shared" si="16"/>
        <v>403.20000000000005</v>
      </c>
      <c r="N532" s="11">
        <f>IF(Table1[[#This Row],[Transaction Type]]="Sale",ABS(E532)*K532,0)</f>
        <v>0</v>
      </c>
      <c r="O532" s="29">
        <f>IF(Table1[[#This Row],[Transaction Type]]="Purchase",E532*J532,0)</f>
        <v>403.20000000000005</v>
      </c>
    </row>
    <row r="533" spans="1:15" x14ac:dyDescent="0.35">
      <c r="A533" s="27" t="s">
        <v>769</v>
      </c>
      <c r="B533" s="12">
        <v>45818</v>
      </c>
      <c r="C533" s="11" t="s">
        <v>55</v>
      </c>
      <c r="D533" s="11" t="s">
        <v>40</v>
      </c>
      <c r="E533" s="11">
        <v>26</v>
      </c>
      <c r="F533" s="11">
        <f t="shared" si="17"/>
        <v>26</v>
      </c>
      <c r="G533" s="11" t="s">
        <v>14</v>
      </c>
      <c r="H533" s="11" t="s">
        <v>56</v>
      </c>
      <c r="I533" s="11" t="s">
        <v>16</v>
      </c>
      <c r="J533" s="11">
        <v>4.2</v>
      </c>
      <c r="K533" s="11">
        <v>10</v>
      </c>
      <c r="L533" s="11" t="s">
        <v>770</v>
      </c>
      <c r="M533" s="11">
        <f t="shared" si="16"/>
        <v>109.2</v>
      </c>
      <c r="N533" s="11">
        <f>IF(Table1[[#This Row],[Transaction Type]]="Sale",ABS(E533)*K533,0)</f>
        <v>0</v>
      </c>
      <c r="O533" s="29">
        <f>IF(Table1[[#This Row],[Transaction Type]]="Purchase",E533*J533,0)</f>
        <v>109.2</v>
      </c>
    </row>
    <row r="534" spans="1:15" x14ac:dyDescent="0.35">
      <c r="A534" s="27" t="s">
        <v>771</v>
      </c>
      <c r="B534" s="12">
        <v>45818</v>
      </c>
      <c r="C534" s="11" t="s">
        <v>141</v>
      </c>
      <c r="D534" s="11" t="s">
        <v>13</v>
      </c>
      <c r="E534" s="11">
        <v>-12</v>
      </c>
      <c r="F534" s="11">
        <f t="shared" si="17"/>
        <v>-12</v>
      </c>
      <c r="G534" s="11" t="s">
        <v>14</v>
      </c>
      <c r="H534" s="11" t="s">
        <v>25</v>
      </c>
      <c r="I534" s="11" t="s">
        <v>26</v>
      </c>
      <c r="J534" s="11">
        <v>4</v>
      </c>
      <c r="K534" s="11">
        <v>9</v>
      </c>
      <c r="L534" s="11"/>
      <c r="M534" s="11">
        <f t="shared" si="16"/>
        <v>48</v>
      </c>
      <c r="N534" s="11">
        <f>IF(Table1[[#This Row],[Transaction Type]]="Sale",ABS(E534)*K534,0)</f>
        <v>108</v>
      </c>
      <c r="O534" s="29">
        <f>IF(Table1[[#This Row],[Transaction Type]]="Purchase",E534*J534,0)</f>
        <v>0</v>
      </c>
    </row>
    <row r="535" spans="1:15" x14ac:dyDescent="0.35">
      <c r="A535" s="27" t="s">
        <v>772</v>
      </c>
      <c r="B535" s="12">
        <v>45818</v>
      </c>
      <c r="C535" s="11" t="s">
        <v>55</v>
      </c>
      <c r="D535" s="11" t="s">
        <v>13</v>
      </c>
      <c r="E535" s="11">
        <v>-5</v>
      </c>
      <c r="F535" s="11">
        <f t="shared" si="17"/>
        <v>-5</v>
      </c>
      <c r="G535" s="11" t="s">
        <v>14</v>
      </c>
      <c r="H535" s="11" t="s">
        <v>56</v>
      </c>
      <c r="I535" s="11" t="s">
        <v>16</v>
      </c>
      <c r="J535" s="11">
        <v>4.2</v>
      </c>
      <c r="K535" s="11">
        <v>10</v>
      </c>
      <c r="L535" s="11"/>
      <c r="M535" s="11">
        <f t="shared" si="16"/>
        <v>21</v>
      </c>
      <c r="N535" s="11">
        <f>IF(Table1[[#This Row],[Transaction Type]]="Sale",ABS(E535)*K535,0)</f>
        <v>50</v>
      </c>
      <c r="O535" s="29">
        <f>IF(Table1[[#This Row],[Transaction Type]]="Purchase",E535*J535,0)</f>
        <v>0</v>
      </c>
    </row>
    <row r="536" spans="1:15" x14ac:dyDescent="0.35">
      <c r="A536" s="27" t="s">
        <v>773</v>
      </c>
      <c r="B536" s="12">
        <v>45819</v>
      </c>
      <c r="C536" s="11" t="s">
        <v>77</v>
      </c>
      <c r="D536" s="11" t="s">
        <v>13</v>
      </c>
      <c r="E536" s="11">
        <v>-11</v>
      </c>
      <c r="F536" s="11">
        <f t="shared" si="17"/>
        <v>-11</v>
      </c>
      <c r="G536" s="11" t="s">
        <v>19</v>
      </c>
      <c r="H536" s="11" t="s">
        <v>78</v>
      </c>
      <c r="I536" s="11" t="s">
        <v>16</v>
      </c>
      <c r="J536" s="11">
        <v>25</v>
      </c>
      <c r="K536" s="11">
        <v>42</v>
      </c>
      <c r="L536" s="11"/>
      <c r="M536" s="11">
        <f t="shared" si="16"/>
        <v>275</v>
      </c>
      <c r="N536" s="11">
        <f>IF(Table1[[#This Row],[Transaction Type]]="Sale",ABS(E536)*K536,0)</f>
        <v>462</v>
      </c>
      <c r="O536" s="29">
        <f>IF(Table1[[#This Row],[Transaction Type]]="Purchase",E536*J536,0)</f>
        <v>0</v>
      </c>
    </row>
    <row r="537" spans="1:15" x14ac:dyDescent="0.35">
      <c r="A537" s="27" t="s">
        <v>774</v>
      </c>
      <c r="B537" s="12">
        <v>45819</v>
      </c>
      <c r="C537" s="11" t="s">
        <v>350</v>
      </c>
      <c r="D537" s="11" t="s">
        <v>13</v>
      </c>
      <c r="E537" s="11">
        <v>-13</v>
      </c>
      <c r="F537" s="11">
        <f t="shared" si="17"/>
        <v>-13</v>
      </c>
      <c r="G537" s="11" t="s">
        <v>24</v>
      </c>
      <c r="H537" s="11" t="s">
        <v>74</v>
      </c>
      <c r="I537" s="11" t="s">
        <v>75</v>
      </c>
      <c r="J537" s="11">
        <v>145</v>
      </c>
      <c r="K537" s="11">
        <v>210</v>
      </c>
      <c r="L537" s="11"/>
      <c r="M537" s="11">
        <f t="shared" si="16"/>
        <v>1885</v>
      </c>
      <c r="N537" s="11">
        <f>IF(Table1[[#This Row],[Transaction Type]]="Sale",ABS(E537)*K537,0)</f>
        <v>2730</v>
      </c>
      <c r="O537" s="29">
        <f>IF(Table1[[#This Row],[Transaction Type]]="Purchase",E537*J537,0)</f>
        <v>0</v>
      </c>
    </row>
    <row r="538" spans="1:15" x14ac:dyDescent="0.35">
      <c r="A538" s="27" t="s">
        <v>775</v>
      </c>
      <c r="B538" s="12">
        <v>45819</v>
      </c>
      <c r="C538" s="11" t="s">
        <v>77</v>
      </c>
      <c r="D538" s="11" t="s">
        <v>13</v>
      </c>
      <c r="E538" s="11">
        <v>-11</v>
      </c>
      <c r="F538" s="11">
        <f t="shared" si="17"/>
        <v>-11</v>
      </c>
      <c r="G538" s="11" t="s">
        <v>14</v>
      </c>
      <c r="H538" s="11" t="s">
        <v>78</v>
      </c>
      <c r="I538" s="11" t="s">
        <v>16</v>
      </c>
      <c r="J538" s="11">
        <v>25</v>
      </c>
      <c r="K538" s="11">
        <v>42</v>
      </c>
      <c r="L538" s="11"/>
      <c r="M538" s="11">
        <f t="shared" si="16"/>
        <v>275</v>
      </c>
      <c r="N538" s="11">
        <f>IF(Table1[[#This Row],[Transaction Type]]="Sale",ABS(E538)*K538,0)</f>
        <v>462</v>
      </c>
      <c r="O538" s="29">
        <f>IF(Table1[[#This Row],[Transaction Type]]="Purchase",E538*J538,0)</f>
        <v>0</v>
      </c>
    </row>
    <row r="539" spans="1:15" x14ac:dyDescent="0.35">
      <c r="A539" s="27" t="s">
        <v>776</v>
      </c>
      <c r="B539" s="12">
        <v>45819</v>
      </c>
      <c r="C539" s="11" t="s">
        <v>60</v>
      </c>
      <c r="D539" s="11" t="s">
        <v>13</v>
      </c>
      <c r="E539" s="11">
        <v>-5</v>
      </c>
      <c r="F539" s="11">
        <f t="shared" si="17"/>
        <v>-5</v>
      </c>
      <c r="G539" s="11" t="s">
        <v>14</v>
      </c>
      <c r="H539" s="11" t="s">
        <v>61</v>
      </c>
      <c r="I539" s="11" t="s">
        <v>62</v>
      </c>
      <c r="J539" s="11">
        <v>3.4</v>
      </c>
      <c r="K539" s="11">
        <v>8</v>
      </c>
      <c r="L539" s="11"/>
      <c r="M539" s="11">
        <f t="shared" si="16"/>
        <v>17</v>
      </c>
      <c r="N539" s="11">
        <f>IF(Table1[[#This Row],[Transaction Type]]="Sale",ABS(E539)*K539,0)</f>
        <v>40</v>
      </c>
      <c r="O539" s="29">
        <f>IF(Table1[[#This Row],[Transaction Type]]="Purchase",E539*J539,0)</f>
        <v>0</v>
      </c>
    </row>
    <row r="540" spans="1:15" x14ac:dyDescent="0.35">
      <c r="A540" s="27" t="s">
        <v>777</v>
      </c>
      <c r="B540" s="12">
        <v>45820</v>
      </c>
      <c r="C540" s="11" t="s">
        <v>170</v>
      </c>
      <c r="D540" s="11" t="s">
        <v>13</v>
      </c>
      <c r="E540" s="11">
        <v>-13</v>
      </c>
      <c r="F540" s="11">
        <f t="shared" si="17"/>
        <v>-13</v>
      </c>
      <c r="G540" s="11" t="s">
        <v>19</v>
      </c>
      <c r="H540" s="11" t="s">
        <v>171</v>
      </c>
      <c r="I540" s="11" t="s">
        <v>34</v>
      </c>
      <c r="J540" s="11">
        <v>25</v>
      </c>
      <c r="K540" s="11">
        <v>45</v>
      </c>
      <c r="L540" s="11"/>
      <c r="M540" s="11">
        <f t="shared" si="16"/>
        <v>325</v>
      </c>
      <c r="N540" s="11">
        <f>IF(Table1[[#This Row],[Transaction Type]]="Sale",ABS(E540)*K540,0)</f>
        <v>585</v>
      </c>
      <c r="O540" s="29">
        <f>IF(Table1[[#This Row],[Transaction Type]]="Purchase",E540*J540,0)</f>
        <v>0</v>
      </c>
    </row>
    <row r="541" spans="1:15" x14ac:dyDescent="0.35">
      <c r="A541" s="27" t="s">
        <v>778</v>
      </c>
      <c r="B541" s="12">
        <v>45821</v>
      </c>
      <c r="C541" s="11" t="s">
        <v>81</v>
      </c>
      <c r="D541" s="11" t="s">
        <v>40</v>
      </c>
      <c r="E541" s="11">
        <v>83</v>
      </c>
      <c r="F541" s="11">
        <f t="shared" si="17"/>
        <v>83</v>
      </c>
      <c r="G541" s="11" t="s">
        <v>24</v>
      </c>
      <c r="H541" s="11" t="s">
        <v>30</v>
      </c>
      <c r="I541" s="11" t="s">
        <v>16</v>
      </c>
      <c r="J541" s="11">
        <v>8</v>
      </c>
      <c r="K541" s="11">
        <v>15</v>
      </c>
      <c r="L541" s="11" t="s">
        <v>779</v>
      </c>
      <c r="M541" s="11">
        <f t="shared" si="16"/>
        <v>664</v>
      </c>
      <c r="N541" s="11">
        <f>IF(Table1[[#This Row],[Transaction Type]]="Sale",ABS(E541)*K541,0)</f>
        <v>0</v>
      </c>
      <c r="O541" s="29">
        <f>IF(Table1[[#This Row],[Transaction Type]]="Purchase",E541*J541,0)</f>
        <v>664</v>
      </c>
    </row>
    <row r="542" spans="1:15" x14ac:dyDescent="0.35">
      <c r="A542" s="27" t="s">
        <v>780</v>
      </c>
      <c r="B542" s="12">
        <v>45821</v>
      </c>
      <c r="C542" s="11" t="s">
        <v>52</v>
      </c>
      <c r="D542" s="11" t="s">
        <v>58</v>
      </c>
      <c r="E542" s="11">
        <v>-6</v>
      </c>
      <c r="F542" s="11">
        <f t="shared" si="17"/>
        <v>-6</v>
      </c>
      <c r="G542" s="11" t="s">
        <v>14</v>
      </c>
      <c r="H542" s="11" t="s">
        <v>20</v>
      </c>
      <c r="I542" s="11" t="s">
        <v>21</v>
      </c>
      <c r="J542" s="11">
        <v>5.5</v>
      </c>
      <c r="K542" s="11">
        <v>12</v>
      </c>
      <c r="L542" s="11"/>
      <c r="M542" s="11">
        <f t="shared" si="16"/>
        <v>33</v>
      </c>
      <c r="N542" s="11">
        <f>IF(Table1[[#This Row],[Transaction Type]]="Sale",ABS(E542)*K542,0)</f>
        <v>0</v>
      </c>
      <c r="O542" s="29">
        <f>IF(Table1[[#This Row],[Transaction Type]]="Purchase",E542*J542,0)</f>
        <v>0</v>
      </c>
    </row>
    <row r="543" spans="1:15" x14ac:dyDescent="0.35">
      <c r="A543" s="27" t="s">
        <v>781</v>
      </c>
      <c r="B543" s="12">
        <v>45821</v>
      </c>
      <c r="C543" s="11" t="s">
        <v>43</v>
      </c>
      <c r="D543" s="11" t="s">
        <v>13</v>
      </c>
      <c r="E543" s="11">
        <v>-12</v>
      </c>
      <c r="F543" s="11">
        <f t="shared" si="17"/>
        <v>-12</v>
      </c>
      <c r="G543" s="11" t="s">
        <v>14</v>
      </c>
      <c r="H543" s="11" t="s">
        <v>44</v>
      </c>
      <c r="I543" s="11" t="s">
        <v>45</v>
      </c>
      <c r="J543" s="11">
        <v>5.2</v>
      </c>
      <c r="K543" s="11">
        <v>11</v>
      </c>
      <c r="L543" s="11"/>
      <c r="M543" s="11">
        <f t="shared" si="16"/>
        <v>62.400000000000006</v>
      </c>
      <c r="N543" s="11">
        <f>IF(Table1[[#This Row],[Transaction Type]]="Sale",ABS(E543)*K543,0)</f>
        <v>132</v>
      </c>
      <c r="O543" s="29">
        <f>IF(Table1[[#This Row],[Transaction Type]]="Purchase",E543*J543,0)</f>
        <v>0</v>
      </c>
    </row>
    <row r="544" spans="1:15" x14ac:dyDescent="0.35">
      <c r="A544" s="27" t="s">
        <v>782</v>
      </c>
      <c r="B544" s="12">
        <v>45822</v>
      </c>
      <c r="C544" s="11" t="s">
        <v>43</v>
      </c>
      <c r="D544" s="11" t="s">
        <v>40</v>
      </c>
      <c r="E544" s="11">
        <v>118</v>
      </c>
      <c r="F544" s="11">
        <f t="shared" si="17"/>
        <v>118</v>
      </c>
      <c r="G544" s="11" t="s">
        <v>14</v>
      </c>
      <c r="H544" s="11" t="s">
        <v>44</v>
      </c>
      <c r="I544" s="11" t="s">
        <v>45</v>
      </c>
      <c r="J544" s="11">
        <v>5.2</v>
      </c>
      <c r="K544" s="11">
        <v>11</v>
      </c>
      <c r="L544" s="11" t="s">
        <v>783</v>
      </c>
      <c r="M544" s="11">
        <f t="shared" si="16"/>
        <v>613.6</v>
      </c>
      <c r="N544" s="11">
        <f>IF(Table1[[#This Row],[Transaction Type]]="Sale",ABS(E544)*K544,0)</f>
        <v>0</v>
      </c>
      <c r="O544" s="29">
        <f>IF(Table1[[#This Row],[Transaction Type]]="Purchase",E544*J544,0)</f>
        <v>613.6</v>
      </c>
    </row>
    <row r="545" spans="1:15" x14ac:dyDescent="0.35">
      <c r="A545" s="27" t="s">
        <v>784</v>
      </c>
      <c r="B545" s="12">
        <v>45823</v>
      </c>
      <c r="C545" s="11" t="s">
        <v>136</v>
      </c>
      <c r="D545" s="11" t="s">
        <v>13</v>
      </c>
      <c r="E545" s="11">
        <v>-12</v>
      </c>
      <c r="F545" s="11">
        <f t="shared" si="17"/>
        <v>-12</v>
      </c>
      <c r="G545" s="11" t="s">
        <v>14</v>
      </c>
      <c r="H545" s="11" t="s">
        <v>33</v>
      </c>
      <c r="I545" s="11" t="s">
        <v>34</v>
      </c>
      <c r="J545" s="11">
        <v>34</v>
      </c>
      <c r="K545" s="11">
        <v>55</v>
      </c>
      <c r="L545" s="11"/>
      <c r="M545" s="11">
        <f t="shared" si="16"/>
        <v>408</v>
      </c>
      <c r="N545" s="11">
        <f>IF(Table1[[#This Row],[Transaction Type]]="Sale",ABS(E545)*K545,0)</f>
        <v>660</v>
      </c>
      <c r="O545" s="29">
        <f>IF(Table1[[#This Row],[Transaction Type]]="Purchase",E545*J545,0)</f>
        <v>0</v>
      </c>
    </row>
    <row r="546" spans="1:15" x14ac:dyDescent="0.35">
      <c r="A546" s="27" t="s">
        <v>785</v>
      </c>
      <c r="B546" s="12">
        <v>45823</v>
      </c>
      <c r="C546" s="11" t="s">
        <v>139</v>
      </c>
      <c r="D546" s="11" t="s">
        <v>13</v>
      </c>
      <c r="E546" s="11">
        <v>-8</v>
      </c>
      <c r="F546" s="11">
        <f t="shared" si="17"/>
        <v>-8</v>
      </c>
      <c r="G546" s="11" t="s">
        <v>14</v>
      </c>
      <c r="H546" s="11" t="s">
        <v>56</v>
      </c>
      <c r="I546" s="11" t="s">
        <v>16</v>
      </c>
      <c r="J546" s="11">
        <v>16.5</v>
      </c>
      <c r="K546" s="11">
        <v>28</v>
      </c>
      <c r="L546" s="11"/>
      <c r="M546" s="11">
        <f t="shared" si="16"/>
        <v>132</v>
      </c>
      <c r="N546" s="11">
        <f>IF(Table1[[#This Row],[Transaction Type]]="Sale",ABS(E546)*K546,0)</f>
        <v>224</v>
      </c>
      <c r="O546" s="29">
        <f>IF(Table1[[#This Row],[Transaction Type]]="Purchase",E546*J546,0)</f>
        <v>0</v>
      </c>
    </row>
    <row r="547" spans="1:15" x14ac:dyDescent="0.35">
      <c r="A547" s="27" t="s">
        <v>786</v>
      </c>
      <c r="B547" s="12">
        <v>45823</v>
      </c>
      <c r="C547" s="11" t="s">
        <v>98</v>
      </c>
      <c r="D547" s="11" t="s">
        <v>13</v>
      </c>
      <c r="E547" s="11">
        <v>-6</v>
      </c>
      <c r="F547" s="11">
        <f t="shared" si="17"/>
        <v>-6</v>
      </c>
      <c r="G547" s="11" t="s">
        <v>24</v>
      </c>
      <c r="H547" s="11" t="s">
        <v>30</v>
      </c>
      <c r="I547" s="11" t="s">
        <v>16</v>
      </c>
      <c r="J547" s="11">
        <v>16</v>
      </c>
      <c r="K547" s="11">
        <v>29</v>
      </c>
      <c r="L547" s="11"/>
      <c r="M547" s="11">
        <f t="shared" si="16"/>
        <v>96</v>
      </c>
      <c r="N547" s="11">
        <f>IF(Table1[[#This Row],[Transaction Type]]="Sale",ABS(E547)*K547,0)</f>
        <v>174</v>
      </c>
      <c r="O547" s="29">
        <f>IF(Table1[[#This Row],[Transaction Type]]="Purchase",E547*J547,0)</f>
        <v>0</v>
      </c>
    </row>
    <row r="548" spans="1:15" x14ac:dyDescent="0.35">
      <c r="A548" s="27" t="s">
        <v>787</v>
      </c>
      <c r="B548" s="12">
        <v>45823</v>
      </c>
      <c r="C548" s="11" t="s">
        <v>55</v>
      </c>
      <c r="D548" s="11" t="s">
        <v>58</v>
      </c>
      <c r="E548" s="11">
        <v>-3</v>
      </c>
      <c r="F548" s="11">
        <f t="shared" si="17"/>
        <v>-3</v>
      </c>
      <c r="G548" s="11" t="s">
        <v>24</v>
      </c>
      <c r="H548" s="11" t="s">
        <v>56</v>
      </c>
      <c r="I548" s="11" t="s">
        <v>16</v>
      </c>
      <c r="J548" s="11">
        <v>4.2</v>
      </c>
      <c r="K548" s="11">
        <v>10</v>
      </c>
      <c r="L548" s="11"/>
      <c r="M548" s="11">
        <f t="shared" si="16"/>
        <v>12.600000000000001</v>
      </c>
      <c r="N548" s="11">
        <f>IF(Table1[[#This Row],[Transaction Type]]="Sale",ABS(E548)*K548,0)</f>
        <v>0</v>
      </c>
      <c r="O548" s="29">
        <f>IF(Table1[[#This Row],[Transaction Type]]="Purchase",E548*J548,0)</f>
        <v>0</v>
      </c>
    </row>
    <row r="549" spans="1:15" x14ac:dyDescent="0.35">
      <c r="A549" s="27" t="s">
        <v>788</v>
      </c>
      <c r="B549" s="12">
        <v>45823</v>
      </c>
      <c r="C549" s="11" t="s">
        <v>69</v>
      </c>
      <c r="D549" s="11" t="s">
        <v>13</v>
      </c>
      <c r="E549" s="11">
        <v>-4</v>
      </c>
      <c r="F549" s="11">
        <f t="shared" si="17"/>
        <v>-4</v>
      </c>
      <c r="G549" s="11" t="s">
        <v>14</v>
      </c>
      <c r="H549" s="11" t="s">
        <v>70</v>
      </c>
      <c r="I549" s="11" t="s">
        <v>16</v>
      </c>
      <c r="J549" s="11">
        <v>23</v>
      </c>
      <c r="K549" s="11">
        <v>38</v>
      </c>
      <c r="L549" s="11"/>
      <c r="M549" s="11">
        <f t="shared" si="16"/>
        <v>92</v>
      </c>
      <c r="N549" s="11">
        <f>IF(Table1[[#This Row],[Transaction Type]]="Sale",ABS(E549)*K549,0)</f>
        <v>152</v>
      </c>
      <c r="O549" s="29">
        <f>IF(Table1[[#This Row],[Transaction Type]]="Purchase",E549*J549,0)</f>
        <v>0</v>
      </c>
    </row>
    <row r="550" spans="1:15" x14ac:dyDescent="0.35">
      <c r="A550" s="27" t="s">
        <v>789</v>
      </c>
      <c r="B550" s="12">
        <v>45823</v>
      </c>
      <c r="C550" s="11" t="s">
        <v>29</v>
      </c>
      <c r="D550" s="11" t="s">
        <v>40</v>
      </c>
      <c r="E550" s="11">
        <v>117</v>
      </c>
      <c r="F550" s="11">
        <f t="shared" si="17"/>
        <v>117</v>
      </c>
      <c r="G550" s="11" t="s">
        <v>19</v>
      </c>
      <c r="H550" s="11" t="s">
        <v>30</v>
      </c>
      <c r="I550" s="11" t="s">
        <v>16</v>
      </c>
      <c r="J550" s="11">
        <v>8.8000000000000007</v>
      </c>
      <c r="K550" s="11">
        <v>17</v>
      </c>
      <c r="L550" s="11" t="s">
        <v>790</v>
      </c>
      <c r="M550" s="11">
        <f t="shared" si="16"/>
        <v>1029.6000000000001</v>
      </c>
      <c r="N550" s="11">
        <f>IF(Table1[[#This Row],[Transaction Type]]="Sale",ABS(E550)*K550,0)</f>
        <v>0</v>
      </c>
      <c r="O550" s="29">
        <f>IF(Table1[[#This Row],[Transaction Type]]="Purchase",E550*J550,0)</f>
        <v>1029.6000000000001</v>
      </c>
    </row>
    <row r="551" spans="1:15" x14ac:dyDescent="0.35">
      <c r="A551" s="27" t="s">
        <v>791</v>
      </c>
      <c r="B551" s="12">
        <v>45824</v>
      </c>
      <c r="C551" s="11" t="s">
        <v>65</v>
      </c>
      <c r="D551" s="11" t="s">
        <v>13</v>
      </c>
      <c r="E551" s="11">
        <v>-9</v>
      </c>
      <c r="F551" s="11">
        <f t="shared" si="17"/>
        <v>-9</v>
      </c>
      <c r="G551" s="11" t="s">
        <v>14</v>
      </c>
      <c r="H551" s="11" t="s">
        <v>67</v>
      </c>
      <c r="I551" s="11" t="s">
        <v>21</v>
      </c>
      <c r="J551" s="11">
        <v>11</v>
      </c>
      <c r="K551" s="11">
        <v>22</v>
      </c>
      <c r="L551" s="11"/>
      <c r="M551" s="11">
        <f t="shared" si="16"/>
        <v>99</v>
      </c>
      <c r="N551" s="11">
        <f>IF(Table1[[#This Row],[Transaction Type]]="Sale",ABS(E551)*K551,0)</f>
        <v>198</v>
      </c>
      <c r="O551" s="29">
        <f>IF(Table1[[#This Row],[Transaction Type]]="Purchase",E551*J551,0)</f>
        <v>0</v>
      </c>
    </row>
    <row r="552" spans="1:15" x14ac:dyDescent="0.35">
      <c r="A552" s="27" t="s">
        <v>792</v>
      </c>
      <c r="B552" s="12">
        <v>45824</v>
      </c>
      <c r="C552" s="11" t="s">
        <v>185</v>
      </c>
      <c r="D552" s="11" t="s">
        <v>13</v>
      </c>
      <c r="E552" s="11">
        <v>-1</v>
      </c>
      <c r="F552" s="11">
        <f t="shared" si="17"/>
        <v>-1</v>
      </c>
      <c r="G552" s="11" t="s">
        <v>19</v>
      </c>
      <c r="H552" s="11" t="s">
        <v>44</v>
      </c>
      <c r="I552" s="11" t="s">
        <v>45</v>
      </c>
      <c r="J552" s="11">
        <v>63</v>
      </c>
      <c r="K552" s="11">
        <v>95</v>
      </c>
      <c r="L552" s="11"/>
      <c r="M552" s="11">
        <f t="shared" si="16"/>
        <v>63</v>
      </c>
      <c r="N552" s="11">
        <f>IF(Table1[[#This Row],[Transaction Type]]="Sale",ABS(E552)*K552,0)</f>
        <v>95</v>
      </c>
      <c r="O552" s="29">
        <f>IF(Table1[[#This Row],[Transaction Type]]="Purchase",E552*J552,0)</f>
        <v>0</v>
      </c>
    </row>
    <row r="553" spans="1:15" x14ac:dyDescent="0.35">
      <c r="A553" s="27" t="s">
        <v>793</v>
      </c>
      <c r="B553" s="12">
        <v>45824</v>
      </c>
      <c r="C553" s="11" t="s">
        <v>794</v>
      </c>
      <c r="D553" s="11" t="s">
        <v>40</v>
      </c>
      <c r="E553" s="11">
        <v>102</v>
      </c>
      <c r="F553" s="11">
        <f t="shared" si="17"/>
        <v>102</v>
      </c>
      <c r="G553" s="11" t="s">
        <v>19</v>
      </c>
      <c r="H553" s="11" t="s">
        <v>74</v>
      </c>
      <c r="I553" s="11" t="s">
        <v>75</v>
      </c>
      <c r="J553" s="11">
        <v>82</v>
      </c>
      <c r="K553" s="11">
        <v>135</v>
      </c>
      <c r="L553" s="11" t="s">
        <v>795</v>
      </c>
      <c r="M553" s="11">
        <f t="shared" si="16"/>
        <v>8364</v>
      </c>
      <c r="N553" s="11">
        <f>IF(Table1[[#This Row],[Transaction Type]]="Sale",ABS(E553)*K553,0)</f>
        <v>0</v>
      </c>
      <c r="O553" s="29">
        <f>IF(Table1[[#This Row],[Transaction Type]]="Purchase",E553*J553,0)</f>
        <v>8364</v>
      </c>
    </row>
    <row r="554" spans="1:15" x14ac:dyDescent="0.35">
      <c r="A554" s="27" t="s">
        <v>796</v>
      </c>
      <c r="B554" s="12">
        <v>45825</v>
      </c>
      <c r="C554" s="11" t="s">
        <v>60</v>
      </c>
      <c r="D554" s="11" t="s">
        <v>40</v>
      </c>
      <c r="E554" s="11">
        <v>62</v>
      </c>
      <c r="F554" s="11">
        <f t="shared" si="17"/>
        <v>62</v>
      </c>
      <c r="G554" s="11" t="s">
        <v>24</v>
      </c>
      <c r="H554" s="11" t="s">
        <v>61</v>
      </c>
      <c r="I554" s="11" t="s">
        <v>62</v>
      </c>
      <c r="J554" s="11">
        <v>3.4</v>
      </c>
      <c r="K554" s="11">
        <v>8</v>
      </c>
      <c r="L554" s="11" t="s">
        <v>797</v>
      </c>
      <c r="M554" s="11">
        <f t="shared" si="16"/>
        <v>210.79999999999998</v>
      </c>
      <c r="N554" s="11">
        <f>IF(Table1[[#This Row],[Transaction Type]]="Sale",ABS(E554)*K554,0)</f>
        <v>0</v>
      </c>
      <c r="O554" s="29">
        <f>IF(Table1[[#This Row],[Transaction Type]]="Purchase",E554*J554,0)</f>
        <v>210.79999999999998</v>
      </c>
    </row>
    <row r="555" spans="1:15" x14ac:dyDescent="0.35">
      <c r="A555" s="27" t="s">
        <v>798</v>
      </c>
      <c r="B555" s="12">
        <v>45825</v>
      </c>
      <c r="C555" s="11" t="s">
        <v>36</v>
      </c>
      <c r="D555" s="11" t="s">
        <v>40</v>
      </c>
      <c r="E555" s="11">
        <v>116</v>
      </c>
      <c r="F555" s="11">
        <f t="shared" si="17"/>
        <v>116</v>
      </c>
      <c r="G555" s="11" t="s">
        <v>14</v>
      </c>
      <c r="H555" s="11" t="s">
        <v>37</v>
      </c>
      <c r="I555" s="11" t="s">
        <v>16</v>
      </c>
      <c r="J555" s="11">
        <v>7.2</v>
      </c>
      <c r="K555" s="11">
        <v>12.5</v>
      </c>
      <c r="L555" s="11" t="s">
        <v>799</v>
      </c>
      <c r="M555" s="11">
        <f t="shared" si="16"/>
        <v>835.2</v>
      </c>
      <c r="N555" s="11">
        <f>IF(Table1[[#This Row],[Transaction Type]]="Sale",ABS(E555)*K555,0)</f>
        <v>0</v>
      </c>
      <c r="O555" s="29">
        <f>IF(Table1[[#This Row],[Transaction Type]]="Purchase",E555*J555,0)</f>
        <v>835.2</v>
      </c>
    </row>
    <row r="556" spans="1:15" x14ac:dyDescent="0.35">
      <c r="A556" s="27" t="s">
        <v>800</v>
      </c>
      <c r="B556" s="12">
        <v>45825</v>
      </c>
      <c r="C556" s="11" t="s">
        <v>141</v>
      </c>
      <c r="D556" s="11" t="s">
        <v>13</v>
      </c>
      <c r="E556" s="11">
        <v>-1</v>
      </c>
      <c r="F556" s="11">
        <f t="shared" si="17"/>
        <v>-1</v>
      </c>
      <c r="G556" s="11" t="s">
        <v>14</v>
      </c>
      <c r="H556" s="11" t="s">
        <v>25</v>
      </c>
      <c r="I556" s="11" t="s">
        <v>26</v>
      </c>
      <c r="J556" s="11">
        <v>4</v>
      </c>
      <c r="K556" s="11">
        <v>9</v>
      </c>
      <c r="L556" s="11"/>
      <c r="M556" s="11">
        <f t="shared" si="16"/>
        <v>4</v>
      </c>
      <c r="N556" s="11">
        <f>IF(Table1[[#This Row],[Transaction Type]]="Sale",ABS(E556)*K556,0)</f>
        <v>9</v>
      </c>
      <c r="O556" s="29">
        <f>IF(Table1[[#This Row],[Transaction Type]]="Purchase",E556*J556,0)</f>
        <v>0</v>
      </c>
    </row>
    <row r="557" spans="1:15" x14ac:dyDescent="0.35">
      <c r="A557" s="27" t="s">
        <v>801</v>
      </c>
      <c r="B557" s="12">
        <v>45826</v>
      </c>
      <c r="C557" s="11" t="s">
        <v>65</v>
      </c>
      <c r="D557" s="11" t="s">
        <v>40</v>
      </c>
      <c r="E557" s="11">
        <v>33</v>
      </c>
      <c r="F557" s="11">
        <f t="shared" si="17"/>
        <v>33</v>
      </c>
      <c r="G557" s="11" t="s">
        <v>24</v>
      </c>
      <c r="H557" s="11" t="s">
        <v>67</v>
      </c>
      <c r="I557" s="11" t="s">
        <v>21</v>
      </c>
      <c r="J557" s="11">
        <v>11</v>
      </c>
      <c r="K557" s="11">
        <v>22</v>
      </c>
      <c r="L557" s="11" t="s">
        <v>802</v>
      </c>
      <c r="M557" s="11">
        <f t="shared" si="16"/>
        <v>363</v>
      </c>
      <c r="N557" s="11">
        <f>IF(Table1[[#This Row],[Transaction Type]]="Sale",ABS(E557)*K557,0)</f>
        <v>0</v>
      </c>
      <c r="O557" s="29">
        <f>IF(Table1[[#This Row],[Transaction Type]]="Purchase",E557*J557,0)</f>
        <v>363</v>
      </c>
    </row>
    <row r="558" spans="1:15" x14ac:dyDescent="0.35">
      <c r="A558" s="27" t="s">
        <v>803</v>
      </c>
      <c r="B558" s="12">
        <v>45826</v>
      </c>
      <c r="C558" s="11" t="s">
        <v>794</v>
      </c>
      <c r="D558" s="11" t="s">
        <v>13</v>
      </c>
      <c r="E558" s="11">
        <v>-9</v>
      </c>
      <c r="F558" s="11">
        <f t="shared" si="17"/>
        <v>-9</v>
      </c>
      <c r="G558" s="11" t="s">
        <v>14</v>
      </c>
      <c r="H558" s="11" t="s">
        <v>74</v>
      </c>
      <c r="I558" s="11" t="s">
        <v>75</v>
      </c>
      <c r="J558" s="11">
        <v>82</v>
      </c>
      <c r="K558" s="11">
        <v>135</v>
      </c>
      <c r="L558" s="11"/>
      <c r="M558" s="11">
        <f t="shared" si="16"/>
        <v>738</v>
      </c>
      <c r="N558" s="11">
        <f>IF(Table1[[#This Row],[Transaction Type]]="Sale",ABS(E558)*K558,0)</f>
        <v>1215</v>
      </c>
      <c r="O558" s="29">
        <f>IF(Table1[[#This Row],[Transaction Type]]="Purchase",E558*J558,0)</f>
        <v>0</v>
      </c>
    </row>
    <row r="559" spans="1:15" x14ac:dyDescent="0.35">
      <c r="A559" s="27" t="s">
        <v>804</v>
      </c>
      <c r="B559" s="12">
        <v>45826</v>
      </c>
      <c r="C559" s="11" t="s">
        <v>23</v>
      </c>
      <c r="D559" s="11" t="s">
        <v>40</v>
      </c>
      <c r="E559" s="11">
        <v>27</v>
      </c>
      <c r="F559" s="11">
        <f t="shared" si="17"/>
        <v>27</v>
      </c>
      <c r="G559" s="11" t="s">
        <v>14</v>
      </c>
      <c r="H559" s="11" t="s">
        <v>25</v>
      </c>
      <c r="I559" s="11" t="s">
        <v>26</v>
      </c>
      <c r="J559" s="11">
        <v>3</v>
      </c>
      <c r="K559" s="11">
        <v>7</v>
      </c>
      <c r="L559" s="11" t="s">
        <v>805</v>
      </c>
      <c r="M559" s="11">
        <f t="shared" si="16"/>
        <v>81</v>
      </c>
      <c r="N559" s="11">
        <f>IF(Table1[[#This Row],[Transaction Type]]="Sale",ABS(E559)*K559,0)</f>
        <v>0</v>
      </c>
      <c r="O559" s="29">
        <f>IF(Table1[[#This Row],[Transaction Type]]="Purchase",E559*J559,0)</f>
        <v>81</v>
      </c>
    </row>
    <row r="560" spans="1:15" x14ac:dyDescent="0.35">
      <c r="A560" s="27" t="s">
        <v>806</v>
      </c>
      <c r="B560" s="12">
        <v>45826</v>
      </c>
      <c r="C560" s="11" t="s">
        <v>227</v>
      </c>
      <c r="D560" s="11" t="s">
        <v>13</v>
      </c>
      <c r="E560" s="11">
        <v>-12</v>
      </c>
      <c r="F560" s="11">
        <f t="shared" si="17"/>
        <v>-12</v>
      </c>
      <c r="G560" s="11" t="s">
        <v>24</v>
      </c>
      <c r="H560" s="11" t="s">
        <v>228</v>
      </c>
      <c r="I560" s="11" t="s">
        <v>16</v>
      </c>
      <c r="J560" s="11">
        <v>78</v>
      </c>
      <c r="K560" s="11">
        <v>125</v>
      </c>
      <c r="L560" s="11"/>
      <c r="M560" s="11">
        <f t="shared" si="16"/>
        <v>936</v>
      </c>
      <c r="N560" s="11">
        <f>IF(Table1[[#This Row],[Transaction Type]]="Sale",ABS(E560)*K560,0)</f>
        <v>1500</v>
      </c>
      <c r="O560" s="29">
        <f>IF(Table1[[#This Row],[Transaction Type]]="Purchase",E560*J560,0)</f>
        <v>0</v>
      </c>
    </row>
    <row r="561" spans="1:15" x14ac:dyDescent="0.35">
      <c r="A561" s="27" t="s">
        <v>807</v>
      </c>
      <c r="B561" s="12">
        <v>45826</v>
      </c>
      <c r="C561" s="11" t="s">
        <v>141</v>
      </c>
      <c r="D561" s="11" t="s">
        <v>40</v>
      </c>
      <c r="E561" s="11">
        <v>117</v>
      </c>
      <c r="F561" s="11">
        <f t="shared" si="17"/>
        <v>117</v>
      </c>
      <c r="G561" s="11" t="s">
        <v>19</v>
      </c>
      <c r="H561" s="11" t="s">
        <v>25</v>
      </c>
      <c r="I561" s="11" t="s">
        <v>26</v>
      </c>
      <c r="J561" s="11">
        <v>4</v>
      </c>
      <c r="K561" s="11">
        <v>9</v>
      </c>
      <c r="L561" s="11" t="s">
        <v>808</v>
      </c>
      <c r="M561" s="11">
        <f t="shared" si="16"/>
        <v>468</v>
      </c>
      <c r="N561" s="11">
        <f>IF(Table1[[#This Row],[Transaction Type]]="Sale",ABS(E561)*K561,0)</f>
        <v>0</v>
      </c>
      <c r="O561" s="29">
        <f>IF(Table1[[#This Row],[Transaction Type]]="Purchase",E561*J561,0)</f>
        <v>468</v>
      </c>
    </row>
    <row r="562" spans="1:15" x14ac:dyDescent="0.35">
      <c r="A562" s="27" t="s">
        <v>809</v>
      </c>
      <c r="B562" s="12">
        <v>45827</v>
      </c>
      <c r="C562" s="11" t="s">
        <v>55</v>
      </c>
      <c r="D562" s="11" t="s">
        <v>58</v>
      </c>
      <c r="E562" s="11">
        <v>6</v>
      </c>
      <c r="F562" s="11">
        <f t="shared" si="17"/>
        <v>6</v>
      </c>
      <c r="G562" s="11" t="s">
        <v>14</v>
      </c>
      <c r="H562" s="11" t="s">
        <v>56</v>
      </c>
      <c r="I562" s="11" t="s">
        <v>16</v>
      </c>
      <c r="J562" s="11">
        <v>4.2</v>
      </c>
      <c r="K562" s="11">
        <v>10</v>
      </c>
      <c r="L562" s="11"/>
      <c r="M562" s="11">
        <f t="shared" si="16"/>
        <v>25.200000000000003</v>
      </c>
      <c r="N562" s="11">
        <f>IF(Table1[[#This Row],[Transaction Type]]="Sale",ABS(E562)*K562,0)</f>
        <v>0</v>
      </c>
      <c r="O562" s="29">
        <f>IF(Table1[[#This Row],[Transaction Type]]="Purchase",E562*J562,0)</f>
        <v>0</v>
      </c>
    </row>
    <row r="563" spans="1:15" x14ac:dyDescent="0.35">
      <c r="A563" s="27" t="s">
        <v>810</v>
      </c>
      <c r="B563" s="12">
        <v>45828</v>
      </c>
      <c r="C563" s="11" t="s">
        <v>65</v>
      </c>
      <c r="D563" s="11" t="s">
        <v>13</v>
      </c>
      <c r="E563" s="11">
        <v>-2</v>
      </c>
      <c r="F563" s="11">
        <f t="shared" si="17"/>
        <v>-2</v>
      </c>
      <c r="G563" s="11" t="s">
        <v>24</v>
      </c>
      <c r="H563" s="11" t="s">
        <v>67</v>
      </c>
      <c r="I563" s="11" t="s">
        <v>21</v>
      </c>
      <c r="J563" s="11">
        <v>11</v>
      </c>
      <c r="K563" s="11">
        <v>22</v>
      </c>
      <c r="L563" s="11"/>
      <c r="M563" s="11">
        <f t="shared" si="16"/>
        <v>22</v>
      </c>
      <c r="N563" s="11">
        <f>IF(Table1[[#This Row],[Transaction Type]]="Sale",ABS(E563)*K563,0)</f>
        <v>44</v>
      </c>
      <c r="O563" s="29">
        <f>IF(Table1[[#This Row],[Transaction Type]]="Purchase",E563*J563,0)</f>
        <v>0</v>
      </c>
    </row>
    <row r="564" spans="1:15" x14ac:dyDescent="0.35">
      <c r="A564" s="27" t="s">
        <v>811</v>
      </c>
      <c r="B564" s="12">
        <v>45828</v>
      </c>
      <c r="C564" s="11" t="s">
        <v>141</v>
      </c>
      <c r="D564" s="11" t="s">
        <v>13</v>
      </c>
      <c r="E564" s="11">
        <v>-1</v>
      </c>
      <c r="F564" s="11">
        <f t="shared" si="17"/>
        <v>-1</v>
      </c>
      <c r="G564" s="11" t="s">
        <v>14</v>
      </c>
      <c r="H564" s="11" t="s">
        <v>25</v>
      </c>
      <c r="I564" s="11" t="s">
        <v>26</v>
      </c>
      <c r="J564" s="11">
        <v>4</v>
      </c>
      <c r="K564" s="11">
        <v>9</v>
      </c>
      <c r="L564" s="11"/>
      <c r="M564" s="11">
        <f t="shared" si="16"/>
        <v>4</v>
      </c>
      <c r="N564" s="11">
        <f>IF(Table1[[#This Row],[Transaction Type]]="Sale",ABS(E564)*K564,0)</f>
        <v>9</v>
      </c>
      <c r="O564" s="29">
        <f>IF(Table1[[#This Row],[Transaction Type]]="Purchase",E564*J564,0)</f>
        <v>0</v>
      </c>
    </row>
    <row r="565" spans="1:15" x14ac:dyDescent="0.35">
      <c r="A565" s="27" t="s">
        <v>812</v>
      </c>
      <c r="B565" s="12">
        <v>45828</v>
      </c>
      <c r="C565" s="11" t="s">
        <v>36</v>
      </c>
      <c r="D565" s="11" t="s">
        <v>13</v>
      </c>
      <c r="E565" s="11">
        <v>-6</v>
      </c>
      <c r="F565" s="11">
        <f t="shared" si="17"/>
        <v>-6</v>
      </c>
      <c r="G565" s="11" t="s">
        <v>14</v>
      </c>
      <c r="H565" s="11" t="s">
        <v>37</v>
      </c>
      <c r="I565" s="11" t="s">
        <v>16</v>
      </c>
      <c r="J565" s="11">
        <v>7.2</v>
      </c>
      <c r="K565" s="11">
        <v>12.5</v>
      </c>
      <c r="L565" s="11"/>
      <c r="M565" s="11">
        <f t="shared" si="16"/>
        <v>43.2</v>
      </c>
      <c r="N565" s="11">
        <f>IF(Table1[[#This Row],[Transaction Type]]="Sale",ABS(E565)*K565,0)</f>
        <v>75</v>
      </c>
      <c r="O565" s="29">
        <f>IF(Table1[[#This Row],[Transaction Type]]="Purchase",E565*J565,0)</f>
        <v>0</v>
      </c>
    </row>
    <row r="566" spans="1:15" x14ac:dyDescent="0.35">
      <c r="A566" s="27" t="s">
        <v>813</v>
      </c>
      <c r="B566" s="12">
        <v>45828</v>
      </c>
      <c r="C566" s="11" t="s">
        <v>77</v>
      </c>
      <c r="D566" s="11" t="s">
        <v>13</v>
      </c>
      <c r="E566" s="11">
        <v>-2</v>
      </c>
      <c r="F566" s="11">
        <f t="shared" si="17"/>
        <v>-2</v>
      </c>
      <c r="G566" s="11" t="s">
        <v>14</v>
      </c>
      <c r="H566" s="11" t="s">
        <v>78</v>
      </c>
      <c r="I566" s="11" t="s">
        <v>16</v>
      </c>
      <c r="J566" s="11">
        <v>25</v>
      </c>
      <c r="K566" s="11">
        <v>42</v>
      </c>
      <c r="L566" s="11"/>
      <c r="M566" s="11">
        <f t="shared" si="16"/>
        <v>50</v>
      </c>
      <c r="N566" s="11">
        <f>IF(Table1[[#This Row],[Transaction Type]]="Sale",ABS(E566)*K566,0)</f>
        <v>84</v>
      </c>
      <c r="O566" s="29">
        <f>IF(Table1[[#This Row],[Transaction Type]]="Purchase",E566*J566,0)</f>
        <v>0</v>
      </c>
    </row>
    <row r="567" spans="1:15" x14ac:dyDescent="0.35">
      <c r="A567" s="27" t="s">
        <v>814</v>
      </c>
      <c r="B567" s="12">
        <v>45828</v>
      </c>
      <c r="C567" s="11" t="s">
        <v>23</v>
      </c>
      <c r="D567" s="11" t="s">
        <v>13</v>
      </c>
      <c r="E567" s="11">
        <v>-7</v>
      </c>
      <c r="F567" s="11">
        <f t="shared" si="17"/>
        <v>-7</v>
      </c>
      <c r="G567" s="11" t="s">
        <v>14</v>
      </c>
      <c r="H567" s="11" t="s">
        <v>25</v>
      </c>
      <c r="I567" s="11" t="s">
        <v>26</v>
      </c>
      <c r="J567" s="11">
        <v>3</v>
      </c>
      <c r="K567" s="11">
        <v>7</v>
      </c>
      <c r="L567" s="11"/>
      <c r="M567" s="11">
        <f t="shared" si="16"/>
        <v>21</v>
      </c>
      <c r="N567" s="11">
        <f>IF(Table1[[#This Row],[Transaction Type]]="Sale",ABS(E567)*K567,0)</f>
        <v>49</v>
      </c>
      <c r="O567" s="29">
        <f>IF(Table1[[#This Row],[Transaction Type]]="Purchase",E567*J567,0)</f>
        <v>0</v>
      </c>
    </row>
    <row r="568" spans="1:15" x14ac:dyDescent="0.35">
      <c r="A568" s="27" t="s">
        <v>815</v>
      </c>
      <c r="B568" s="12">
        <v>45828</v>
      </c>
      <c r="C568" s="11" t="s">
        <v>48</v>
      </c>
      <c r="D568" s="11" t="s">
        <v>13</v>
      </c>
      <c r="E568" s="11">
        <v>-15</v>
      </c>
      <c r="F568" s="11">
        <f t="shared" si="17"/>
        <v>-15</v>
      </c>
      <c r="G568" s="11" t="s">
        <v>14</v>
      </c>
      <c r="H568" s="11" t="s">
        <v>49</v>
      </c>
      <c r="I568" s="11" t="s">
        <v>21</v>
      </c>
      <c r="J568" s="11">
        <v>8.5</v>
      </c>
      <c r="K568" s="11">
        <v>18</v>
      </c>
      <c r="L568" s="11"/>
      <c r="M568" s="11">
        <f t="shared" si="16"/>
        <v>127.5</v>
      </c>
      <c r="N568" s="11">
        <f>IF(Table1[[#This Row],[Transaction Type]]="Sale",ABS(E568)*K568,0)</f>
        <v>270</v>
      </c>
      <c r="O568" s="29">
        <f>IF(Table1[[#This Row],[Transaction Type]]="Purchase",E568*J568,0)</f>
        <v>0</v>
      </c>
    </row>
    <row r="569" spans="1:15" x14ac:dyDescent="0.35">
      <c r="A569" s="27" t="s">
        <v>816</v>
      </c>
      <c r="B569" s="12">
        <v>45829</v>
      </c>
      <c r="C569" s="11" t="s">
        <v>87</v>
      </c>
      <c r="D569" s="11" t="s">
        <v>13</v>
      </c>
      <c r="E569" s="11">
        <v>-15</v>
      </c>
      <c r="F569" s="11">
        <f t="shared" si="17"/>
        <v>-15</v>
      </c>
      <c r="G569" s="11" t="s">
        <v>19</v>
      </c>
      <c r="H569" s="11" t="s">
        <v>88</v>
      </c>
      <c r="I569" s="11" t="s">
        <v>16</v>
      </c>
      <c r="J569" s="11">
        <v>6</v>
      </c>
      <c r="K569" s="11">
        <v>14</v>
      </c>
      <c r="L569" s="11"/>
      <c r="M569" s="11">
        <f t="shared" si="16"/>
        <v>90</v>
      </c>
      <c r="N569" s="11">
        <f>IF(Table1[[#This Row],[Transaction Type]]="Sale",ABS(E569)*K569,0)</f>
        <v>210</v>
      </c>
      <c r="O569" s="29">
        <f>IF(Table1[[#This Row],[Transaction Type]]="Purchase",E569*J569,0)</f>
        <v>0</v>
      </c>
    </row>
    <row r="570" spans="1:15" x14ac:dyDescent="0.35">
      <c r="A570" s="27" t="s">
        <v>817</v>
      </c>
      <c r="B570" s="12">
        <v>45829</v>
      </c>
      <c r="C570" s="11" t="s">
        <v>87</v>
      </c>
      <c r="D570" s="11" t="s">
        <v>13</v>
      </c>
      <c r="E570" s="11">
        <v>-3</v>
      </c>
      <c r="F570" s="11">
        <f t="shared" si="17"/>
        <v>-3</v>
      </c>
      <c r="G570" s="11" t="s">
        <v>14</v>
      </c>
      <c r="H570" s="11" t="s">
        <v>88</v>
      </c>
      <c r="I570" s="11" t="s">
        <v>16</v>
      </c>
      <c r="J570" s="11">
        <v>6</v>
      </c>
      <c r="K570" s="11">
        <v>14</v>
      </c>
      <c r="L570" s="11"/>
      <c r="M570" s="11">
        <f t="shared" si="16"/>
        <v>18</v>
      </c>
      <c r="N570" s="11">
        <f>IF(Table1[[#This Row],[Transaction Type]]="Sale",ABS(E570)*K570,0)</f>
        <v>42</v>
      </c>
      <c r="O570" s="29">
        <f>IF(Table1[[#This Row],[Transaction Type]]="Purchase",E570*J570,0)</f>
        <v>0</v>
      </c>
    </row>
    <row r="571" spans="1:15" x14ac:dyDescent="0.35">
      <c r="A571" s="27" t="s">
        <v>818</v>
      </c>
      <c r="B571" s="12">
        <v>45829</v>
      </c>
      <c r="C571" s="11" t="s">
        <v>55</v>
      </c>
      <c r="D571" s="11" t="s">
        <v>58</v>
      </c>
      <c r="E571" s="11">
        <v>-18</v>
      </c>
      <c r="F571" s="11">
        <f t="shared" si="17"/>
        <v>-18</v>
      </c>
      <c r="G571" s="11" t="s">
        <v>24</v>
      </c>
      <c r="H571" s="11" t="s">
        <v>56</v>
      </c>
      <c r="I571" s="11" t="s">
        <v>16</v>
      </c>
      <c r="J571" s="11">
        <v>4.2</v>
      </c>
      <c r="K571" s="11">
        <v>10</v>
      </c>
      <c r="L571" s="11"/>
      <c r="M571" s="11">
        <f t="shared" si="16"/>
        <v>75.600000000000009</v>
      </c>
      <c r="N571" s="11">
        <f>IF(Table1[[#This Row],[Transaction Type]]="Sale",ABS(E571)*K571,0)</f>
        <v>0</v>
      </c>
      <c r="O571" s="29">
        <f>IF(Table1[[#This Row],[Transaction Type]]="Purchase",E571*J571,0)</f>
        <v>0</v>
      </c>
    </row>
    <row r="572" spans="1:15" x14ac:dyDescent="0.35">
      <c r="A572" s="27" t="s">
        <v>819</v>
      </c>
      <c r="B572" s="12">
        <v>45830</v>
      </c>
      <c r="C572" s="11" t="s">
        <v>55</v>
      </c>
      <c r="D572" s="11" t="s">
        <v>13</v>
      </c>
      <c r="E572" s="11">
        <v>-13</v>
      </c>
      <c r="F572" s="11">
        <f t="shared" si="17"/>
        <v>-13</v>
      </c>
      <c r="G572" s="11" t="s">
        <v>24</v>
      </c>
      <c r="H572" s="11" t="s">
        <v>56</v>
      </c>
      <c r="I572" s="11" t="s">
        <v>16</v>
      </c>
      <c r="J572" s="11">
        <v>4.2</v>
      </c>
      <c r="K572" s="11">
        <v>10</v>
      </c>
      <c r="L572" s="11"/>
      <c r="M572" s="11">
        <f t="shared" si="16"/>
        <v>54.6</v>
      </c>
      <c r="N572" s="11">
        <f>IF(Table1[[#This Row],[Transaction Type]]="Sale",ABS(E572)*K572,0)</f>
        <v>130</v>
      </c>
      <c r="O572" s="29">
        <f>IF(Table1[[#This Row],[Transaction Type]]="Purchase",E572*J572,0)</f>
        <v>0</v>
      </c>
    </row>
    <row r="573" spans="1:15" x14ac:dyDescent="0.35">
      <c r="A573" s="27" t="s">
        <v>820</v>
      </c>
      <c r="B573" s="12">
        <v>45830</v>
      </c>
      <c r="C573" s="11" t="s">
        <v>36</v>
      </c>
      <c r="D573" s="11" t="s">
        <v>13</v>
      </c>
      <c r="E573" s="11">
        <v>-9</v>
      </c>
      <c r="F573" s="11">
        <f t="shared" si="17"/>
        <v>-9</v>
      </c>
      <c r="G573" s="11" t="s">
        <v>14</v>
      </c>
      <c r="H573" s="11" t="s">
        <v>37</v>
      </c>
      <c r="I573" s="11" t="s">
        <v>16</v>
      </c>
      <c r="J573" s="11">
        <v>7.2</v>
      </c>
      <c r="K573" s="11">
        <v>12.5</v>
      </c>
      <c r="L573" s="11"/>
      <c r="M573" s="11">
        <f t="shared" si="16"/>
        <v>64.8</v>
      </c>
      <c r="N573" s="11">
        <f>IF(Table1[[#This Row],[Transaction Type]]="Sale",ABS(E573)*K573,0)</f>
        <v>112.5</v>
      </c>
      <c r="O573" s="29">
        <f>IF(Table1[[#This Row],[Transaction Type]]="Purchase",E573*J573,0)</f>
        <v>0</v>
      </c>
    </row>
    <row r="574" spans="1:15" x14ac:dyDescent="0.35">
      <c r="A574" s="27" t="s">
        <v>821</v>
      </c>
      <c r="B574" s="12">
        <v>45830</v>
      </c>
      <c r="C574" s="11" t="s">
        <v>98</v>
      </c>
      <c r="D574" s="11" t="s">
        <v>13</v>
      </c>
      <c r="E574" s="11">
        <v>-15</v>
      </c>
      <c r="F574" s="11">
        <f t="shared" si="17"/>
        <v>-15</v>
      </c>
      <c r="G574" s="11" t="s">
        <v>24</v>
      </c>
      <c r="H574" s="11" t="s">
        <v>30</v>
      </c>
      <c r="I574" s="11" t="s">
        <v>16</v>
      </c>
      <c r="J574" s="11">
        <v>16</v>
      </c>
      <c r="K574" s="11">
        <v>29</v>
      </c>
      <c r="L574" s="11"/>
      <c r="M574" s="11">
        <f t="shared" si="16"/>
        <v>240</v>
      </c>
      <c r="N574" s="11">
        <f>IF(Table1[[#This Row],[Transaction Type]]="Sale",ABS(E574)*K574,0)</f>
        <v>435</v>
      </c>
      <c r="O574" s="29">
        <f>IF(Table1[[#This Row],[Transaction Type]]="Purchase",E574*J574,0)</f>
        <v>0</v>
      </c>
    </row>
    <row r="575" spans="1:15" x14ac:dyDescent="0.35">
      <c r="A575" s="27" t="s">
        <v>822</v>
      </c>
      <c r="B575" s="12">
        <v>45831</v>
      </c>
      <c r="C575" s="11" t="s">
        <v>12</v>
      </c>
      <c r="D575" s="11" t="s">
        <v>13</v>
      </c>
      <c r="E575" s="11">
        <v>-8</v>
      </c>
      <c r="F575" s="11">
        <f t="shared" si="17"/>
        <v>-8</v>
      </c>
      <c r="G575" s="11" t="s">
        <v>19</v>
      </c>
      <c r="H575" s="11" t="s">
        <v>15</v>
      </c>
      <c r="I575" s="11" t="s">
        <v>16</v>
      </c>
      <c r="J575" s="11">
        <v>13.5</v>
      </c>
      <c r="K575" s="11">
        <v>24</v>
      </c>
      <c r="L575" s="11"/>
      <c r="M575" s="11">
        <f t="shared" si="16"/>
        <v>108</v>
      </c>
      <c r="N575" s="11">
        <f>IF(Table1[[#This Row],[Transaction Type]]="Sale",ABS(E575)*K575,0)</f>
        <v>192</v>
      </c>
      <c r="O575" s="29">
        <f>IF(Table1[[#This Row],[Transaction Type]]="Purchase",E575*J575,0)</f>
        <v>0</v>
      </c>
    </row>
    <row r="576" spans="1:15" x14ac:dyDescent="0.35">
      <c r="A576" s="27" t="s">
        <v>823</v>
      </c>
      <c r="B576" s="12">
        <v>45831</v>
      </c>
      <c r="C576" s="11" t="s">
        <v>139</v>
      </c>
      <c r="D576" s="11" t="s">
        <v>40</v>
      </c>
      <c r="E576" s="11">
        <v>48</v>
      </c>
      <c r="F576" s="11">
        <f t="shared" si="17"/>
        <v>48</v>
      </c>
      <c r="G576" s="11" t="s">
        <v>14</v>
      </c>
      <c r="H576" s="11" t="s">
        <v>56</v>
      </c>
      <c r="I576" s="11" t="s">
        <v>16</v>
      </c>
      <c r="J576" s="11">
        <v>16.5</v>
      </c>
      <c r="K576" s="11">
        <v>28</v>
      </c>
      <c r="L576" s="11" t="s">
        <v>824</v>
      </c>
      <c r="M576" s="11">
        <f t="shared" si="16"/>
        <v>792</v>
      </c>
      <c r="N576" s="11">
        <f>IF(Table1[[#This Row],[Transaction Type]]="Sale",ABS(E576)*K576,0)</f>
        <v>0</v>
      </c>
      <c r="O576" s="29">
        <f>IF(Table1[[#This Row],[Transaction Type]]="Purchase",E576*J576,0)</f>
        <v>792</v>
      </c>
    </row>
    <row r="577" spans="1:15" x14ac:dyDescent="0.35">
      <c r="A577" s="27" t="s">
        <v>825</v>
      </c>
      <c r="B577" s="12">
        <v>45831</v>
      </c>
      <c r="C577" s="11" t="s">
        <v>98</v>
      </c>
      <c r="D577" s="11" t="s">
        <v>13</v>
      </c>
      <c r="E577" s="11">
        <v>-15</v>
      </c>
      <c r="F577" s="11">
        <f t="shared" si="17"/>
        <v>-15</v>
      </c>
      <c r="G577" s="11" t="s">
        <v>14</v>
      </c>
      <c r="H577" s="11" t="s">
        <v>30</v>
      </c>
      <c r="I577" s="11" t="s">
        <v>16</v>
      </c>
      <c r="J577" s="11">
        <v>16</v>
      </c>
      <c r="K577" s="11">
        <v>29</v>
      </c>
      <c r="L577" s="11"/>
      <c r="M577" s="11">
        <f t="shared" si="16"/>
        <v>240</v>
      </c>
      <c r="N577" s="11">
        <f>IF(Table1[[#This Row],[Transaction Type]]="Sale",ABS(E577)*K577,0)</f>
        <v>435</v>
      </c>
      <c r="O577" s="29">
        <f>IF(Table1[[#This Row],[Transaction Type]]="Purchase",E577*J577,0)</f>
        <v>0</v>
      </c>
    </row>
    <row r="578" spans="1:15" x14ac:dyDescent="0.35">
      <c r="A578" s="27" t="s">
        <v>826</v>
      </c>
      <c r="B578" s="12">
        <v>45833</v>
      </c>
      <c r="C578" s="11" t="s">
        <v>77</v>
      </c>
      <c r="D578" s="11" t="s">
        <v>40</v>
      </c>
      <c r="E578" s="11">
        <v>101</v>
      </c>
      <c r="F578" s="11">
        <f t="shared" si="17"/>
        <v>101</v>
      </c>
      <c r="G578" s="11" t="s">
        <v>19</v>
      </c>
      <c r="H578" s="11" t="s">
        <v>78</v>
      </c>
      <c r="I578" s="11" t="s">
        <v>16</v>
      </c>
      <c r="J578" s="11">
        <v>25</v>
      </c>
      <c r="K578" s="11">
        <v>42</v>
      </c>
      <c r="L578" s="11" t="s">
        <v>827</v>
      </c>
      <c r="M578" s="11">
        <f t="shared" ref="M578:M641" si="18">ABS(E578)*J578</f>
        <v>2525</v>
      </c>
      <c r="N578" s="11">
        <f>IF(Table1[[#This Row],[Transaction Type]]="Sale",ABS(E578)*K578,0)</f>
        <v>0</v>
      </c>
      <c r="O578" s="29">
        <f>IF(Table1[[#This Row],[Transaction Type]]="Purchase",E578*J578,0)</f>
        <v>2525</v>
      </c>
    </row>
    <row r="579" spans="1:15" x14ac:dyDescent="0.35">
      <c r="A579" s="27" t="s">
        <v>828</v>
      </c>
      <c r="B579" s="12">
        <v>45833</v>
      </c>
      <c r="C579" s="11" t="s">
        <v>170</v>
      </c>
      <c r="D579" s="11" t="s">
        <v>13</v>
      </c>
      <c r="E579" s="11">
        <v>-3</v>
      </c>
      <c r="F579" s="11">
        <f t="shared" ref="F579:F642" si="19">E579</f>
        <v>-3</v>
      </c>
      <c r="G579" s="11" t="s">
        <v>24</v>
      </c>
      <c r="H579" s="11" t="s">
        <v>171</v>
      </c>
      <c r="I579" s="11" t="s">
        <v>34</v>
      </c>
      <c r="J579" s="11">
        <v>25</v>
      </c>
      <c r="K579" s="11">
        <v>45</v>
      </c>
      <c r="L579" s="11"/>
      <c r="M579" s="11">
        <f t="shared" si="18"/>
        <v>75</v>
      </c>
      <c r="N579" s="11">
        <f>IF(Table1[[#This Row],[Transaction Type]]="Sale",ABS(E579)*K579,0)</f>
        <v>135</v>
      </c>
      <c r="O579" s="29">
        <f>IF(Table1[[#This Row],[Transaction Type]]="Purchase",E579*J579,0)</f>
        <v>0</v>
      </c>
    </row>
    <row r="580" spans="1:15" x14ac:dyDescent="0.35">
      <c r="A580" s="27" t="s">
        <v>829</v>
      </c>
      <c r="B580" s="12">
        <v>45833</v>
      </c>
      <c r="C580" s="11" t="s">
        <v>73</v>
      </c>
      <c r="D580" s="11" t="s">
        <v>40</v>
      </c>
      <c r="E580" s="11">
        <v>30</v>
      </c>
      <c r="F580" s="11">
        <f t="shared" si="19"/>
        <v>30</v>
      </c>
      <c r="G580" s="11" t="s">
        <v>14</v>
      </c>
      <c r="H580" s="11" t="s">
        <v>74</v>
      </c>
      <c r="I580" s="11" t="s">
        <v>75</v>
      </c>
      <c r="J580" s="11">
        <v>30</v>
      </c>
      <c r="K580" s="11">
        <v>48</v>
      </c>
      <c r="L580" s="11" t="s">
        <v>830</v>
      </c>
      <c r="M580" s="11">
        <f t="shared" si="18"/>
        <v>900</v>
      </c>
      <c r="N580" s="11">
        <f>IF(Table1[[#This Row],[Transaction Type]]="Sale",ABS(E580)*K580,0)</f>
        <v>0</v>
      </c>
      <c r="O580" s="29">
        <f>IF(Table1[[#This Row],[Transaction Type]]="Purchase",E580*J580,0)</f>
        <v>900</v>
      </c>
    </row>
    <row r="581" spans="1:15" x14ac:dyDescent="0.35">
      <c r="A581" s="27" t="s">
        <v>831</v>
      </c>
      <c r="B581" s="12">
        <v>45834</v>
      </c>
      <c r="C581" s="11" t="s">
        <v>23</v>
      </c>
      <c r="D581" s="11" t="s">
        <v>40</v>
      </c>
      <c r="E581" s="11">
        <v>24</v>
      </c>
      <c r="F581" s="11">
        <f t="shared" si="19"/>
        <v>24</v>
      </c>
      <c r="G581" s="11" t="s">
        <v>19</v>
      </c>
      <c r="H581" s="11" t="s">
        <v>25</v>
      </c>
      <c r="I581" s="11" t="s">
        <v>26</v>
      </c>
      <c r="J581" s="11">
        <v>3</v>
      </c>
      <c r="K581" s="11">
        <v>7</v>
      </c>
      <c r="L581" s="11" t="s">
        <v>832</v>
      </c>
      <c r="M581" s="11">
        <f t="shared" si="18"/>
        <v>72</v>
      </c>
      <c r="N581" s="11">
        <f>IF(Table1[[#This Row],[Transaction Type]]="Sale",ABS(E581)*K581,0)</f>
        <v>0</v>
      </c>
      <c r="O581" s="29">
        <f>IF(Table1[[#This Row],[Transaction Type]]="Purchase",E581*J581,0)</f>
        <v>72</v>
      </c>
    </row>
    <row r="582" spans="1:15" x14ac:dyDescent="0.35">
      <c r="A582" s="27" t="s">
        <v>833</v>
      </c>
      <c r="B582" s="12">
        <v>45834</v>
      </c>
      <c r="C582" s="11" t="s">
        <v>73</v>
      </c>
      <c r="D582" s="11" t="s">
        <v>13</v>
      </c>
      <c r="E582" s="11">
        <v>-2</v>
      </c>
      <c r="F582" s="11">
        <f t="shared" si="19"/>
        <v>-2</v>
      </c>
      <c r="G582" s="11" t="s">
        <v>19</v>
      </c>
      <c r="H582" s="11" t="s">
        <v>74</v>
      </c>
      <c r="I582" s="11" t="s">
        <v>75</v>
      </c>
      <c r="J582" s="11">
        <v>30</v>
      </c>
      <c r="K582" s="11">
        <v>48</v>
      </c>
      <c r="L582" s="11"/>
      <c r="M582" s="11">
        <f t="shared" si="18"/>
        <v>60</v>
      </c>
      <c r="N582" s="11">
        <f>IF(Table1[[#This Row],[Transaction Type]]="Sale",ABS(E582)*K582,0)</f>
        <v>96</v>
      </c>
      <c r="O582" s="29">
        <f>IF(Table1[[#This Row],[Transaction Type]]="Purchase",E582*J582,0)</f>
        <v>0</v>
      </c>
    </row>
    <row r="583" spans="1:15" x14ac:dyDescent="0.35">
      <c r="A583" s="27" t="s">
        <v>834</v>
      </c>
      <c r="B583" s="12">
        <v>45834</v>
      </c>
      <c r="C583" s="11" t="s">
        <v>98</v>
      </c>
      <c r="D583" s="11" t="s">
        <v>40</v>
      </c>
      <c r="E583" s="11">
        <v>50</v>
      </c>
      <c r="F583" s="11">
        <f t="shared" si="19"/>
        <v>50</v>
      </c>
      <c r="G583" s="11" t="s">
        <v>14</v>
      </c>
      <c r="H583" s="11" t="s">
        <v>30</v>
      </c>
      <c r="I583" s="11" t="s">
        <v>16</v>
      </c>
      <c r="J583" s="11">
        <v>16</v>
      </c>
      <c r="K583" s="11">
        <v>29</v>
      </c>
      <c r="L583" s="11" t="s">
        <v>835</v>
      </c>
      <c r="M583" s="11">
        <f t="shared" si="18"/>
        <v>800</v>
      </c>
      <c r="N583" s="11">
        <f>IF(Table1[[#This Row],[Transaction Type]]="Sale",ABS(E583)*K583,0)</f>
        <v>0</v>
      </c>
      <c r="O583" s="29">
        <f>IF(Table1[[#This Row],[Transaction Type]]="Purchase",E583*J583,0)</f>
        <v>800</v>
      </c>
    </row>
    <row r="584" spans="1:15" x14ac:dyDescent="0.35">
      <c r="A584" s="27" t="s">
        <v>836</v>
      </c>
      <c r="B584" s="12">
        <v>45835</v>
      </c>
      <c r="C584" s="11" t="s">
        <v>60</v>
      </c>
      <c r="D584" s="11" t="s">
        <v>13</v>
      </c>
      <c r="E584" s="11">
        <v>-15</v>
      </c>
      <c r="F584" s="11">
        <f t="shared" si="19"/>
        <v>-15</v>
      </c>
      <c r="G584" s="11" t="s">
        <v>14</v>
      </c>
      <c r="H584" s="11" t="s">
        <v>61</v>
      </c>
      <c r="I584" s="11" t="s">
        <v>62</v>
      </c>
      <c r="J584" s="11">
        <v>3.4</v>
      </c>
      <c r="K584" s="11">
        <v>8</v>
      </c>
      <c r="L584" s="11"/>
      <c r="M584" s="11">
        <f t="shared" si="18"/>
        <v>51</v>
      </c>
      <c r="N584" s="11">
        <f>IF(Table1[[#This Row],[Transaction Type]]="Sale",ABS(E584)*K584,0)</f>
        <v>120</v>
      </c>
      <c r="O584" s="29">
        <f>IF(Table1[[#This Row],[Transaction Type]]="Purchase",E584*J584,0)</f>
        <v>0</v>
      </c>
    </row>
    <row r="585" spans="1:15" x14ac:dyDescent="0.35">
      <c r="A585" s="27" t="s">
        <v>837</v>
      </c>
      <c r="B585" s="12">
        <v>45835</v>
      </c>
      <c r="C585" s="11" t="s">
        <v>23</v>
      </c>
      <c r="D585" s="11" t="s">
        <v>13</v>
      </c>
      <c r="E585" s="11">
        <v>-9</v>
      </c>
      <c r="F585" s="11">
        <f t="shared" si="19"/>
        <v>-9</v>
      </c>
      <c r="G585" s="11" t="s">
        <v>14</v>
      </c>
      <c r="H585" s="11" t="s">
        <v>25</v>
      </c>
      <c r="I585" s="11" t="s">
        <v>26</v>
      </c>
      <c r="J585" s="11">
        <v>3</v>
      </c>
      <c r="K585" s="11">
        <v>7</v>
      </c>
      <c r="L585" s="11"/>
      <c r="M585" s="11">
        <f t="shared" si="18"/>
        <v>27</v>
      </c>
      <c r="N585" s="11">
        <f>IF(Table1[[#This Row],[Transaction Type]]="Sale",ABS(E585)*K585,0)</f>
        <v>63</v>
      </c>
      <c r="O585" s="29">
        <f>IF(Table1[[#This Row],[Transaction Type]]="Purchase",E585*J585,0)</f>
        <v>0</v>
      </c>
    </row>
    <row r="586" spans="1:15" x14ac:dyDescent="0.35">
      <c r="A586" s="27" t="s">
        <v>838</v>
      </c>
      <c r="B586" s="12">
        <v>45835</v>
      </c>
      <c r="C586" s="11" t="s">
        <v>81</v>
      </c>
      <c r="D586" s="11" t="s">
        <v>40</v>
      </c>
      <c r="E586" s="11">
        <v>90</v>
      </c>
      <c r="F586" s="11">
        <f t="shared" si="19"/>
        <v>90</v>
      </c>
      <c r="G586" s="11" t="s">
        <v>14</v>
      </c>
      <c r="H586" s="11" t="s">
        <v>30</v>
      </c>
      <c r="I586" s="11" t="s">
        <v>16</v>
      </c>
      <c r="J586" s="11">
        <v>8</v>
      </c>
      <c r="K586" s="11">
        <v>15</v>
      </c>
      <c r="L586" s="11" t="s">
        <v>839</v>
      </c>
      <c r="M586" s="11">
        <f t="shared" si="18"/>
        <v>720</v>
      </c>
      <c r="N586" s="11">
        <f>IF(Table1[[#This Row],[Transaction Type]]="Sale",ABS(E586)*K586,0)</f>
        <v>0</v>
      </c>
      <c r="O586" s="29">
        <f>IF(Table1[[#This Row],[Transaction Type]]="Purchase",E586*J586,0)</f>
        <v>720</v>
      </c>
    </row>
    <row r="587" spans="1:15" x14ac:dyDescent="0.35">
      <c r="A587" s="27" t="s">
        <v>840</v>
      </c>
      <c r="B587" s="12">
        <v>45836</v>
      </c>
      <c r="C587" s="11" t="s">
        <v>141</v>
      </c>
      <c r="D587" s="11" t="s">
        <v>13</v>
      </c>
      <c r="E587" s="11">
        <v>-3</v>
      </c>
      <c r="F587" s="11">
        <f t="shared" si="19"/>
        <v>-3</v>
      </c>
      <c r="G587" s="11" t="s">
        <v>24</v>
      </c>
      <c r="H587" s="11" t="s">
        <v>25</v>
      </c>
      <c r="I587" s="11" t="s">
        <v>26</v>
      </c>
      <c r="J587" s="11">
        <v>4</v>
      </c>
      <c r="K587" s="11">
        <v>9</v>
      </c>
      <c r="L587" s="11"/>
      <c r="M587" s="11">
        <f t="shared" si="18"/>
        <v>12</v>
      </c>
      <c r="N587" s="11">
        <f>IF(Table1[[#This Row],[Transaction Type]]="Sale",ABS(E587)*K587,0)</f>
        <v>27</v>
      </c>
      <c r="O587" s="29">
        <f>IF(Table1[[#This Row],[Transaction Type]]="Purchase",E587*J587,0)</f>
        <v>0</v>
      </c>
    </row>
    <row r="588" spans="1:15" x14ac:dyDescent="0.35">
      <c r="A588" s="27" t="s">
        <v>841</v>
      </c>
      <c r="B588" s="12">
        <v>45836</v>
      </c>
      <c r="C588" s="11" t="s">
        <v>43</v>
      </c>
      <c r="D588" s="11" t="s">
        <v>40</v>
      </c>
      <c r="E588" s="11">
        <v>38</v>
      </c>
      <c r="F588" s="11">
        <f t="shared" si="19"/>
        <v>38</v>
      </c>
      <c r="G588" s="11" t="s">
        <v>14</v>
      </c>
      <c r="H588" s="11" t="s">
        <v>44</v>
      </c>
      <c r="I588" s="11" t="s">
        <v>45</v>
      </c>
      <c r="J588" s="11">
        <v>5.2</v>
      </c>
      <c r="K588" s="11">
        <v>11</v>
      </c>
      <c r="L588" s="11" t="s">
        <v>842</v>
      </c>
      <c r="M588" s="11">
        <f t="shared" si="18"/>
        <v>197.6</v>
      </c>
      <c r="N588" s="11">
        <f>IF(Table1[[#This Row],[Transaction Type]]="Sale",ABS(E588)*K588,0)</f>
        <v>0</v>
      </c>
      <c r="O588" s="29">
        <f>IF(Table1[[#This Row],[Transaction Type]]="Purchase",E588*J588,0)</f>
        <v>197.6</v>
      </c>
    </row>
    <row r="589" spans="1:15" x14ac:dyDescent="0.35">
      <c r="A589" s="27" t="s">
        <v>843</v>
      </c>
      <c r="B589" s="12">
        <v>45836</v>
      </c>
      <c r="C589" s="11" t="s">
        <v>98</v>
      </c>
      <c r="D589" s="11" t="s">
        <v>13</v>
      </c>
      <c r="E589" s="11">
        <v>-6</v>
      </c>
      <c r="F589" s="11">
        <f t="shared" si="19"/>
        <v>-6</v>
      </c>
      <c r="G589" s="11" t="s">
        <v>14</v>
      </c>
      <c r="H589" s="11" t="s">
        <v>30</v>
      </c>
      <c r="I589" s="11" t="s">
        <v>16</v>
      </c>
      <c r="J589" s="11">
        <v>16</v>
      </c>
      <c r="K589" s="11">
        <v>29</v>
      </c>
      <c r="L589" s="11"/>
      <c r="M589" s="11">
        <f t="shared" si="18"/>
        <v>96</v>
      </c>
      <c r="N589" s="11">
        <f>IF(Table1[[#This Row],[Transaction Type]]="Sale",ABS(E589)*K589,0)</f>
        <v>174</v>
      </c>
      <c r="O589" s="29">
        <f>IF(Table1[[#This Row],[Transaction Type]]="Purchase",E589*J589,0)</f>
        <v>0</v>
      </c>
    </row>
    <row r="590" spans="1:15" x14ac:dyDescent="0.35">
      <c r="A590" s="27" t="s">
        <v>844</v>
      </c>
      <c r="B590" s="12">
        <v>45836</v>
      </c>
      <c r="C590" s="11" t="s">
        <v>65</v>
      </c>
      <c r="D590" s="11" t="s">
        <v>13</v>
      </c>
      <c r="E590" s="11">
        <v>-7</v>
      </c>
      <c r="F590" s="11">
        <f t="shared" si="19"/>
        <v>-7</v>
      </c>
      <c r="G590" s="11" t="s">
        <v>14</v>
      </c>
      <c r="H590" s="11" t="s">
        <v>67</v>
      </c>
      <c r="I590" s="11" t="s">
        <v>21</v>
      </c>
      <c r="J590" s="11">
        <v>11</v>
      </c>
      <c r="K590" s="11">
        <v>22</v>
      </c>
      <c r="L590" s="11"/>
      <c r="M590" s="11">
        <f t="shared" si="18"/>
        <v>77</v>
      </c>
      <c r="N590" s="11">
        <f>IF(Table1[[#This Row],[Transaction Type]]="Sale",ABS(E590)*K590,0)</f>
        <v>154</v>
      </c>
      <c r="O590" s="29">
        <f>IF(Table1[[#This Row],[Transaction Type]]="Purchase",E590*J590,0)</f>
        <v>0</v>
      </c>
    </row>
    <row r="591" spans="1:15" x14ac:dyDescent="0.35">
      <c r="A591" s="27" t="s">
        <v>845</v>
      </c>
      <c r="B591" s="12">
        <v>45837</v>
      </c>
      <c r="C591" s="11" t="s">
        <v>52</v>
      </c>
      <c r="D591" s="11" t="s">
        <v>13</v>
      </c>
      <c r="E591" s="11">
        <v>-14</v>
      </c>
      <c r="F591" s="11">
        <f t="shared" si="19"/>
        <v>-14</v>
      </c>
      <c r="G591" s="11" t="s">
        <v>14</v>
      </c>
      <c r="H591" s="11" t="s">
        <v>20</v>
      </c>
      <c r="I591" s="11" t="s">
        <v>21</v>
      </c>
      <c r="J591" s="11">
        <v>5.5</v>
      </c>
      <c r="K591" s="11">
        <v>12</v>
      </c>
      <c r="L591" s="11"/>
      <c r="M591" s="11">
        <f t="shared" si="18"/>
        <v>77</v>
      </c>
      <c r="N591" s="11">
        <f>IF(Table1[[#This Row],[Transaction Type]]="Sale",ABS(E591)*K591,0)</f>
        <v>168</v>
      </c>
      <c r="O591" s="29">
        <f>IF(Table1[[#This Row],[Transaction Type]]="Purchase",E591*J591,0)</f>
        <v>0</v>
      </c>
    </row>
    <row r="592" spans="1:15" x14ac:dyDescent="0.35">
      <c r="A592" s="27" t="s">
        <v>846</v>
      </c>
      <c r="B592" s="12">
        <v>45837</v>
      </c>
      <c r="C592" s="11" t="s">
        <v>55</v>
      </c>
      <c r="D592" s="11" t="s">
        <v>40</v>
      </c>
      <c r="E592" s="11">
        <v>61</v>
      </c>
      <c r="F592" s="11">
        <f t="shared" si="19"/>
        <v>61</v>
      </c>
      <c r="G592" s="11" t="s">
        <v>24</v>
      </c>
      <c r="H592" s="11" t="s">
        <v>56</v>
      </c>
      <c r="I592" s="11" t="s">
        <v>16</v>
      </c>
      <c r="J592" s="11">
        <v>4.2</v>
      </c>
      <c r="K592" s="11">
        <v>10</v>
      </c>
      <c r="L592" s="11" t="s">
        <v>847</v>
      </c>
      <c r="M592" s="11">
        <f t="shared" si="18"/>
        <v>256.2</v>
      </c>
      <c r="N592" s="11">
        <f>IF(Table1[[#This Row],[Transaction Type]]="Sale",ABS(E592)*K592,0)</f>
        <v>0</v>
      </c>
      <c r="O592" s="29">
        <f>IF(Table1[[#This Row],[Transaction Type]]="Purchase",E592*J592,0)</f>
        <v>256.2</v>
      </c>
    </row>
    <row r="593" spans="1:15" x14ac:dyDescent="0.35">
      <c r="A593" s="27" t="s">
        <v>848</v>
      </c>
      <c r="B593" s="12">
        <v>45837</v>
      </c>
      <c r="C593" s="11" t="s">
        <v>141</v>
      </c>
      <c r="D593" s="11" t="s">
        <v>40</v>
      </c>
      <c r="E593" s="11">
        <v>53</v>
      </c>
      <c r="F593" s="11">
        <f t="shared" si="19"/>
        <v>53</v>
      </c>
      <c r="G593" s="11" t="s">
        <v>24</v>
      </c>
      <c r="H593" s="11" t="s">
        <v>25</v>
      </c>
      <c r="I593" s="11" t="s">
        <v>26</v>
      </c>
      <c r="J593" s="11">
        <v>4</v>
      </c>
      <c r="K593" s="11">
        <v>9</v>
      </c>
      <c r="L593" s="11" t="s">
        <v>849</v>
      </c>
      <c r="M593" s="11">
        <f t="shared" si="18"/>
        <v>212</v>
      </c>
      <c r="N593" s="11">
        <f>IF(Table1[[#This Row],[Transaction Type]]="Sale",ABS(E593)*K593,0)</f>
        <v>0</v>
      </c>
      <c r="O593" s="29">
        <f>IF(Table1[[#This Row],[Transaction Type]]="Purchase",E593*J593,0)</f>
        <v>212</v>
      </c>
    </row>
    <row r="594" spans="1:15" x14ac:dyDescent="0.35">
      <c r="A594" s="27" t="s">
        <v>850</v>
      </c>
      <c r="B594" s="12">
        <v>45837</v>
      </c>
      <c r="C594" s="11" t="s">
        <v>52</v>
      </c>
      <c r="D594" s="11" t="s">
        <v>40</v>
      </c>
      <c r="E594" s="11">
        <v>71</v>
      </c>
      <c r="F594" s="11">
        <f t="shared" si="19"/>
        <v>71</v>
      </c>
      <c r="G594" s="11" t="s">
        <v>14</v>
      </c>
      <c r="H594" s="11" t="s">
        <v>20</v>
      </c>
      <c r="I594" s="11" t="s">
        <v>21</v>
      </c>
      <c r="J594" s="11">
        <v>5.5</v>
      </c>
      <c r="K594" s="11">
        <v>12</v>
      </c>
      <c r="L594" s="11" t="s">
        <v>851</v>
      </c>
      <c r="M594" s="11">
        <f t="shared" si="18"/>
        <v>390.5</v>
      </c>
      <c r="N594" s="11">
        <f>IF(Table1[[#This Row],[Transaction Type]]="Sale",ABS(E594)*K594,0)</f>
        <v>0</v>
      </c>
      <c r="O594" s="29">
        <f>IF(Table1[[#This Row],[Transaction Type]]="Purchase",E594*J594,0)</f>
        <v>390.5</v>
      </c>
    </row>
    <row r="595" spans="1:15" x14ac:dyDescent="0.35">
      <c r="A595" s="27" t="s">
        <v>852</v>
      </c>
      <c r="B595" s="12">
        <v>45837</v>
      </c>
      <c r="C595" s="11" t="s">
        <v>32</v>
      </c>
      <c r="D595" s="11" t="s">
        <v>40</v>
      </c>
      <c r="E595" s="11">
        <v>113</v>
      </c>
      <c r="F595" s="11">
        <f t="shared" si="19"/>
        <v>113</v>
      </c>
      <c r="G595" s="11" t="s">
        <v>14</v>
      </c>
      <c r="H595" s="11" t="s">
        <v>33</v>
      </c>
      <c r="I595" s="11" t="s">
        <v>34</v>
      </c>
      <c r="J595" s="11">
        <v>20</v>
      </c>
      <c r="K595" s="11">
        <v>35</v>
      </c>
      <c r="L595" s="11" t="s">
        <v>853</v>
      </c>
      <c r="M595" s="11">
        <f t="shared" si="18"/>
        <v>2260</v>
      </c>
      <c r="N595" s="11">
        <f>IF(Table1[[#This Row],[Transaction Type]]="Sale",ABS(E595)*K595,0)</f>
        <v>0</v>
      </c>
      <c r="O595" s="29">
        <f>IF(Table1[[#This Row],[Transaction Type]]="Purchase",E595*J595,0)</f>
        <v>2260</v>
      </c>
    </row>
    <row r="596" spans="1:15" x14ac:dyDescent="0.35">
      <c r="A596" s="27" t="s">
        <v>854</v>
      </c>
      <c r="B596" s="12">
        <v>45838</v>
      </c>
      <c r="C596" s="11" t="s">
        <v>141</v>
      </c>
      <c r="D596" s="11" t="s">
        <v>40</v>
      </c>
      <c r="E596" s="11">
        <v>36</v>
      </c>
      <c r="F596" s="11">
        <f t="shared" si="19"/>
        <v>36</v>
      </c>
      <c r="G596" s="11" t="s">
        <v>24</v>
      </c>
      <c r="H596" s="11" t="s">
        <v>25</v>
      </c>
      <c r="I596" s="11" t="s">
        <v>26</v>
      </c>
      <c r="J596" s="11">
        <v>4</v>
      </c>
      <c r="K596" s="11">
        <v>9</v>
      </c>
      <c r="L596" s="11" t="s">
        <v>855</v>
      </c>
      <c r="M596" s="11">
        <f t="shared" si="18"/>
        <v>144</v>
      </c>
      <c r="N596" s="11">
        <f>IF(Table1[[#This Row],[Transaction Type]]="Sale",ABS(E596)*K596,0)</f>
        <v>0</v>
      </c>
      <c r="O596" s="29">
        <f>IF(Table1[[#This Row],[Transaction Type]]="Purchase",E596*J596,0)</f>
        <v>144</v>
      </c>
    </row>
    <row r="597" spans="1:15" x14ac:dyDescent="0.35">
      <c r="A597" s="27" t="s">
        <v>856</v>
      </c>
      <c r="B597" s="12">
        <v>45838</v>
      </c>
      <c r="C597" s="11" t="s">
        <v>36</v>
      </c>
      <c r="D597" s="11" t="s">
        <v>40</v>
      </c>
      <c r="E597" s="11">
        <v>97</v>
      </c>
      <c r="F597" s="11">
        <f t="shared" si="19"/>
        <v>97</v>
      </c>
      <c r="G597" s="11" t="s">
        <v>19</v>
      </c>
      <c r="H597" s="11" t="s">
        <v>37</v>
      </c>
      <c r="I597" s="11" t="s">
        <v>16</v>
      </c>
      <c r="J597" s="11">
        <v>7.2</v>
      </c>
      <c r="K597" s="11">
        <v>12.5</v>
      </c>
      <c r="L597" s="11" t="s">
        <v>857</v>
      </c>
      <c r="M597" s="11">
        <f t="shared" si="18"/>
        <v>698.4</v>
      </c>
      <c r="N597" s="11">
        <f>IF(Table1[[#This Row],[Transaction Type]]="Sale",ABS(E597)*K597,0)</f>
        <v>0</v>
      </c>
      <c r="O597" s="29">
        <f>IF(Table1[[#This Row],[Transaction Type]]="Purchase",E597*J597,0)</f>
        <v>698.4</v>
      </c>
    </row>
    <row r="598" spans="1:15" x14ac:dyDescent="0.35">
      <c r="A598" s="27" t="s">
        <v>858</v>
      </c>
      <c r="B598" s="12">
        <v>45838</v>
      </c>
      <c r="C598" s="11" t="s">
        <v>23</v>
      </c>
      <c r="D598" s="11" t="s">
        <v>40</v>
      </c>
      <c r="E598" s="11">
        <v>112</v>
      </c>
      <c r="F598" s="11">
        <f t="shared" si="19"/>
        <v>112</v>
      </c>
      <c r="G598" s="11" t="s">
        <v>24</v>
      </c>
      <c r="H598" s="11" t="s">
        <v>25</v>
      </c>
      <c r="I598" s="11" t="s">
        <v>26</v>
      </c>
      <c r="J598" s="11">
        <v>3</v>
      </c>
      <c r="K598" s="11">
        <v>7</v>
      </c>
      <c r="L598" s="11" t="s">
        <v>859</v>
      </c>
      <c r="M598" s="11">
        <f t="shared" si="18"/>
        <v>336</v>
      </c>
      <c r="N598" s="11">
        <f>IF(Table1[[#This Row],[Transaction Type]]="Sale",ABS(E598)*K598,0)</f>
        <v>0</v>
      </c>
      <c r="O598" s="29">
        <f>IF(Table1[[#This Row],[Transaction Type]]="Purchase",E598*J598,0)</f>
        <v>336</v>
      </c>
    </row>
    <row r="599" spans="1:15" x14ac:dyDescent="0.35">
      <c r="A599" s="27" t="s">
        <v>860</v>
      </c>
      <c r="B599" s="12">
        <v>45838</v>
      </c>
      <c r="C599" s="11" t="s">
        <v>141</v>
      </c>
      <c r="D599" s="11" t="s">
        <v>13</v>
      </c>
      <c r="E599" s="11">
        <v>-2</v>
      </c>
      <c r="F599" s="11">
        <f t="shared" si="19"/>
        <v>-2</v>
      </c>
      <c r="G599" s="11" t="s">
        <v>24</v>
      </c>
      <c r="H599" s="11" t="s">
        <v>25</v>
      </c>
      <c r="I599" s="11" t="s">
        <v>26</v>
      </c>
      <c r="J599" s="11">
        <v>4</v>
      </c>
      <c r="K599" s="11">
        <v>9</v>
      </c>
      <c r="L599" s="11"/>
      <c r="M599" s="11">
        <f t="shared" si="18"/>
        <v>8</v>
      </c>
      <c r="N599" s="11">
        <f>IF(Table1[[#This Row],[Transaction Type]]="Sale",ABS(E599)*K599,0)</f>
        <v>18</v>
      </c>
      <c r="O599" s="29">
        <f>IF(Table1[[#This Row],[Transaction Type]]="Purchase",E599*J599,0)</f>
        <v>0</v>
      </c>
    </row>
    <row r="600" spans="1:15" x14ac:dyDescent="0.35">
      <c r="A600" s="27" t="s">
        <v>861</v>
      </c>
      <c r="B600" s="12">
        <v>45838</v>
      </c>
      <c r="C600" s="11" t="s">
        <v>77</v>
      </c>
      <c r="D600" s="11" t="s">
        <v>13</v>
      </c>
      <c r="E600" s="11">
        <v>-8</v>
      </c>
      <c r="F600" s="11">
        <f t="shared" si="19"/>
        <v>-8</v>
      </c>
      <c r="G600" s="11" t="s">
        <v>19</v>
      </c>
      <c r="H600" s="11" t="s">
        <v>78</v>
      </c>
      <c r="I600" s="11" t="s">
        <v>16</v>
      </c>
      <c r="J600" s="11">
        <v>25</v>
      </c>
      <c r="K600" s="11">
        <v>42</v>
      </c>
      <c r="L600" s="11"/>
      <c r="M600" s="11">
        <f t="shared" si="18"/>
        <v>200</v>
      </c>
      <c r="N600" s="11">
        <f>IF(Table1[[#This Row],[Transaction Type]]="Sale",ABS(E600)*K600,0)</f>
        <v>336</v>
      </c>
      <c r="O600" s="29">
        <f>IF(Table1[[#This Row],[Transaction Type]]="Purchase",E600*J600,0)</f>
        <v>0</v>
      </c>
    </row>
    <row r="601" spans="1:15" x14ac:dyDescent="0.35">
      <c r="A601" s="27" t="s">
        <v>862</v>
      </c>
      <c r="B601" s="12">
        <v>45839</v>
      </c>
      <c r="C601" s="11" t="s">
        <v>52</v>
      </c>
      <c r="D601" s="11" t="s">
        <v>13</v>
      </c>
      <c r="E601" s="11">
        <v>-5</v>
      </c>
      <c r="F601" s="11">
        <f t="shared" si="19"/>
        <v>-5</v>
      </c>
      <c r="G601" s="11" t="s">
        <v>14</v>
      </c>
      <c r="H601" s="11" t="s">
        <v>20</v>
      </c>
      <c r="I601" s="11" t="s">
        <v>21</v>
      </c>
      <c r="J601" s="11">
        <v>5.5</v>
      </c>
      <c r="K601" s="11">
        <v>12</v>
      </c>
      <c r="L601" s="11"/>
      <c r="M601" s="11">
        <f t="shared" si="18"/>
        <v>27.5</v>
      </c>
      <c r="N601" s="11">
        <f>IF(Table1[[#This Row],[Transaction Type]]="Sale",ABS(E601)*K601,0)</f>
        <v>60</v>
      </c>
      <c r="O601" s="29">
        <f>IF(Table1[[#This Row],[Transaction Type]]="Purchase",E601*J601,0)</f>
        <v>0</v>
      </c>
    </row>
    <row r="602" spans="1:15" x14ac:dyDescent="0.35">
      <c r="A602" s="27" t="s">
        <v>863</v>
      </c>
      <c r="B602" s="12">
        <v>45839</v>
      </c>
      <c r="C602" s="11" t="s">
        <v>55</v>
      </c>
      <c r="D602" s="11" t="s">
        <v>40</v>
      </c>
      <c r="E602" s="11">
        <v>100</v>
      </c>
      <c r="F602" s="11">
        <f t="shared" si="19"/>
        <v>100</v>
      </c>
      <c r="G602" s="11" t="s">
        <v>14</v>
      </c>
      <c r="H602" s="11" t="s">
        <v>56</v>
      </c>
      <c r="I602" s="11" t="s">
        <v>16</v>
      </c>
      <c r="J602" s="11">
        <v>4.2</v>
      </c>
      <c r="K602" s="11">
        <v>10</v>
      </c>
      <c r="L602" s="11" t="s">
        <v>864</v>
      </c>
      <c r="M602" s="11">
        <f t="shared" si="18"/>
        <v>420</v>
      </c>
      <c r="N602" s="11">
        <f>IF(Table1[[#This Row],[Transaction Type]]="Sale",ABS(E602)*K602,0)</f>
        <v>0</v>
      </c>
      <c r="O602" s="29">
        <f>IF(Table1[[#This Row],[Transaction Type]]="Purchase",E602*J602,0)</f>
        <v>420</v>
      </c>
    </row>
    <row r="603" spans="1:15" x14ac:dyDescent="0.35">
      <c r="A603" s="27" t="s">
        <v>865</v>
      </c>
      <c r="B603" s="12">
        <v>45839</v>
      </c>
      <c r="C603" s="11" t="s">
        <v>81</v>
      </c>
      <c r="D603" s="11" t="s">
        <v>40</v>
      </c>
      <c r="E603" s="11">
        <v>61</v>
      </c>
      <c r="F603" s="11">
        <f t="shared" si="19"/>
        <v>61</v>
      </c>
      <c r="G603" s="11" t="s">
        <v>14</v>
      </c>
      <c r="H603" s="11" t="s">
        <v>30</v>
      </c>
      <c r="I603" s="11" t="s">
        <v>16</v>
      </c>
      <c r="J603" s="11">
        <v>8</v>
      </c>
      <c r="K603" s="11">
        <v>15</v>
      </c>
      <c r="L603" s="11" t="s">
        <v>866</v>
      </c>
      <c r="M603" s="11">
        <f t="shared" si="18"/>
        <v>488</v>
      </c>
      <c r="N603" s="11">
        <f>IF(Table1[[#This Row],[Transaction Type]]="Sale",ABS(E603)*K603,0)</f>
        <v>0</v>
      </c>
      <c r="O603" s="29">
        <f>IF(Table1[[#This Row],[Transaction Type]]="Purchase",E603*J603,0)</f>
        <v>488</v>
      </c>
    </row>
    <row r="604" spans="1:15" x14ac:dyDescent="0.35">
      <c r="A604" s="27" t="s">
        <v>867</v>
      </c>
      <c r="B604" s="12">
        <v>45839</v>
      </c>
      <c r="C604" s="11" t="s">
        <v>83</v>
      </c>
      <c r="D604" s="11" t="s">
        <v>58</v>
      </c>
      <c r="E604" s="11">
        <v>6</v>
      </c>
      <c r="F604" s="11">
        <f t="shared" si="19"/>
        <v>6</v>
      </c>
      <c r="G604" s="11" t="s">
        <v>24</v>
      </c>
      <c r="H604" s="11" t="s">
        <v>84</v>
      </c>
      <c r="I604" s="11" t="s">
        <v>45</v>
      </c>
      <c r="J604" s="11">
        <v>130</v>
      </c>
      <c r="K604" s="11">
        <v>185</v>
      </c>
      <c r="L604" s="11"/>
      <c r="M604" s="11">
        <f t="shared" si="18"/>
        <v>780</v>
      </c>
      <c r="N604" s="11">
        <f>IF(Table1[[#This Row],[Transaction Type]]="Sale",ABS(E604)*K604,0)</f>
        <v>0</v>
      </c>
      <c r="O604" s="29">
        <f>IF(Table1[[#This Row],[Transaction Type]]="Purchase",E604*J604,0)</f>
        <v>0</v>
      </c>
    </row>
    <row r="605" spans="1:15" x14ac:dyDescent="0.35">
      <c r="A605" s="27" t="s">
        <v>868</v>
      </c>
      <c r="B605" s="12">
        <v>45839</v>
      </c>
      <c r="C605" s="11" t="s">
        <v>48</v>
      </c>
      <c r="D605" s="11" t="s">
        <v>58</v>
      </c>
      <c r="E605" s="11">
        <v>9</v>
      </c>
      <c r="F605" s="11">
        <f t="shared" si="19"/>
        <v>9</v>
      </c>
      <c r="G605" s="11" t="s">
        <v>24</v>
      </c>
      <c r="H605" s="11" t="s">
        <v>49</v>
      </c>
      <c r="I605" s="11" t="s">
        <v>21</v>
      </c>
      <c r="J605" s="11">
        <v>8.5</v>
      </c>
      <c r="K605" s="11">
        <v>18</v>
      </c>
      <c r="L605" s="11"/>
      <c r="M605" s="11">
        <f t="shared" si="18"/>
        <v>76.5</v>
      </c>
      <c r="N605" s="11">
        <f>IF(Table1[[#This Row],[Transaction Type]]="Sale",ABS(E605)*K605,0)</f>
        <v>0</v>
      </c>
      <c r="O605" s="29">
        <f>IF(Table1[[#This Row],[Transaction Type]]="Purchase",E605*J605,0)</f>
        <v>0</v>
      </c>
    </row>
    <row r="606" spans="1:15" x14ac:dyDescent="0.35">
      <c r="A606" s="27" t="s">
        <v>869</v>
      </c>
      <c r="B606" s="12">
        <v>45839</v>
      </c>
      <c r="C606" s="11" t="s">
        <v>65</v>
      </c>
      <c r="D606" s="11" t="s">
        <v>40</v>
      </c>
      <c r="E606" s="11">
        <v>112</v>
      </c>
      <c r="F606" s="11">
        <f t="shared" si="19"/>
        <v>112</v>
      </c>
      <c r="G606" s="11" t="s">
        <v>2522</v>
      </c>
      <c r="H606" s="11" t="s">
        <v>67</v>
      </c>
      <c r="I606" s="11" t="s">
        <v>21</v>
      </c>
      <c r="J606" s="11">
        <v>11</v>
      </c>
      <c r="K606" s="11">
        <v>22</v>
      </c>
      <c r="L606" s="11" t="s">
        <v>870</v>
      </c>
      <c r="M606" s="11">
        <f t="shared" si="18"/>
        <v>1232</v>
      </c>
      <c r="N606" s="11">
        <f>IF(Table1[[#This Row],[Transaction Type]]="Sale",ABS(E606)*K606,0)</f>
        <v>0</v>
      </c>
      <c r="O606" s="29">
        <f>IF(Table1[[#This Row],[Transaction Type]]="Purchase",E606*J606,0)</f>
        <v>1232</v>
      </c>
    </row>
    <row r="607" spans="1:15" x14ac:dyDescent="0.35">
      <c r="A607" s="27" t="s">
        <v>871</v>
      </c>
      <c r="B607" s="12">
        <v>45840</v>
      </c>
      <c r="C607" s="11" t="s">
        <v>29</v>
      </c>
      <c r="D607" s="11" t="s">
        <v>40</v>
      </c>
      <c r="E607" s="11">
        <v>83</v>
      </c>
      <c r="F607" s="11">
        <f t="shared" si="19"/>
        <v>83</v>
      </c>
      <c r="G607" s="11" t="s">
        <v>14</v>
      </c>
      <c r="H607" s="11" t="s">
        <v>30</v>
      </c>
      <c r="I607" s="11" t="s">
        <v>16</v>
      </c>
      <c r="J607" s="11">
        <v>8.8000000000000007</v>
      </c>
      <c r="K607" s="11">
        <v>17</v>
      </c>
      <c r="L607" s="11" t="s">
        <v>872</v>
      </c>
      <c r="M607" s="11">
        <f t="shared" si="18"/>
        <v>730.40000000000009</v>
      </c>
      <c r="N607" s="11">
        <f>IF(Table1[[#This Row],[Transaction Type]]="Sale",ABS(E607)*K607,0)</f>
        <v>0</v>
      </c>
      <c r="O607" s="29">
        <f>IF(Table1[[#This Row],[Transaction Type]]="Purchase",E607*J607,0)</f>
        <v>730.40000000000009</v>
      </c>
    </row>
    <row r="608" spans="1:15" x14ac:dyDescent="0.35">
      <c r="A608" s="27" t="s">
        <v>873</v>
      </c>
      <c r="B608" s="12">
        <v>45840</v>
      </c>
      <c r="C608" s="11" t="s">
        <v>32</v>
      </c>
      <c r="D608" s="11" t="s">
        <v>13</v>
      </c>
      <c r="E608" s="11">
        <v>-10</v>
      </c>
      <c r="F608" s="11">
        <f t="shared" si="19"/>
        <v>-10</v>
      </c>
      <c r="G608" s="11" t="s">
        <v>24</v>
      </c>
      <c r="H608" s="11" t="s">
        <v>33</v>
      </c>
      <c r="I608" s="11" t="s">
        <v>34</v>
      </c>
      <c r="J608" s="11">
        <v>20</v>
      </c>
      <c r="K608" s="11">
        <v>35</v>
      </c>
      <c r="L608" s="11"/>
      <c r="M608" s="11">
        <f t="shared" si="18"/>
        <v>200</v>
      </c>
      <c r="N608" s="11">
        <f>IF(Table1[[#This Row],[Transaction Type]]="Sale",ABS(E608)*K608,0)</f>
        <v>350</v>
      </c>
      <c r="O608" s="29">
        <f>IF(Table1[[#This Row],[Transaction Type]]="Purchase",E608*J608,0)</f>
        <v>0</v>
      </c>
    </row>
    <row r="609" spans="1:15" x14ac:dyDescent="0.35">
      <c r="A609" s="27" t="s">
        <v>874</v>
      </c>
      <c r="B609" s="12">
        <v>45841</v>
      </c>
      <c r="C609" s="11" t="s">
        <v>185</v>
      </c>
      <c r="D609" s="11" t="s">
        <v>13</v>
      </c>
      <c r="E609" s="11">
        <v>-15</v>
      </c>
      <c r="F609" s="11">
        <f t="shared" si="19"/>
        <v>-15</v>
      </c>
      <c r="G609" s="11" t="s">
        <v>24</v>
      </c>
      <c r="H609" s="11" t="s">
        <v>44</v>
      </c>
      <c r="I609" s="11" t="s">
        <v>45</v>
      </c>
      <c r="J609" s="11">
        <v>63</v>
      </c>
      <c r="K609" s="11">
        <v>95</v>
      </c>
      <c r="L609" s="11"/>
      <c r="M609" s="11">
        <f t="shared" si="18"/>
        <v>945</v>
      </c>
      <c r="N609" s="11">
        <f>IF(Table1[[#This Row],[Transaction Type]]="Sale",ABS(E609)*K609,0)</f>
        <v>1425</v>
      </c>
      <c r="O609" s="29">
        <f>IF(Table1[[#This Row],[Transaction Type]]="Purchase",E609*J609,0)</f>
        <v>0</v>
      </c>
    </row>
    <row r="610" spans="1:15" x14ac:dyDescent="0.35">
      <c r="A610" s="27" t="s">
        <v>875</v>
      </c>
      <c r="B610" s="12">
        <v>45841</v>
      </c>
      <c r="C610" s="11" t="s">
        <v>48</v>
      </c>
      <c r="D610" s="11" t="s">
        <v>40</v>
      </c>
      <c r="E610" s="11">
        <v>34</v>
      </c>
      <c r="F610" s="11">
        <f t="shared" si="19"/>
        <v>34</v>
      </c>
      <c r="G610" s="11" t="s">
        <v>14</v>
      </c>
      <c r="H610" s="11" t="s">
        <v>49</v>
      </c>
      <c r="I610" s="11" t="s">
        <v>21</v>
      </c>
      <c r="J610" s="11">
        <v>8.5</v>
      </c>
      <c r="K610" s="11">
        <v>18</v>
      </c>
      <c r="L610" s="11" t="s">
        <v>876</v>
      </c>
      <c r="M610" s="11">
        <f t="shared" si="18"/>
        <v>289</v>
      </c>
      <c r="N610" s="11">
        <f>IF(Table1[[#This Row],[Transaction Type]]="Sale",ABS(E610)*K610,0)</f>
        <v>0</v>
      </c>
      <c r="O610" s="29">
        <f>IF(Table1[[#This Row],[Transaction Type]]="Purchase",E610*J610,0)</f>
        <v>289</v>
      </c>
    </row>
    <row r="611" spans="1:15" x14ac:dyDescent="0.35">
      <c r="A611" s="27" t="s">
        <v>877</v>
      </c>
      <c r="B611" s="12">
        <v>45842</v>
      </c>
      <c r="C611" s="11" t="s">
        <v>52</v>
      </c>
      <c r="D611" s="11" t="s">
        <v>13</v>
      </c>
      <c r="E611" s="11">
        <v>-9</v>
      </c>
      <c r="F611" s="11">
        <f t="shared" si="19"/>
        <v>-9</v>
      </c>
      <c r="G611" s="11" t="s">
        <v>24</v>
      </c>
      <c r="H611" s="11" t="s">
        <v>20</v>
      </c>
      <c r="I611" s="11" t="s">
        <v>21</v>
      </c>
      <c r="J611" s="11">
        <v>5.5</v>
      </c>
      <c r="K611" s="11">
        <v>12</v>
      </c>
      <c r="L611" s="11"/>
      <c r="M611" s="11">
        <f t="shared" si="18"/>
        <v>49.5</v>
      </c>
      <c r="N611" s="11">
        <f>IF(Table1[[#This Row],[Transaction Type]]="Sale",ABS(E611)*K611,0)</f>
        <v>108</v>
      </c>
      <c r="O611" s="29">
        <f>IF(Table1[[#This Row],[Transaction Type]]="Purchase",E611*J611,0)</f>
        <v>0</v>
      </c>
    </row>
    <row r="612" spans="1:15" x14ac:dyDescent="0.35">
      <c r="A612" s="27" t="s">
        <v>878</v>
      </c>
      <c r="B612" s="12">
        <v>45843</v>
      </c>
      <c r="C612" s="11" t="s">
        <v>141</v>
      </c>
      <c r="D612" s="11" t="s">
        <v>40</v>
      </c>
      <c r="E612" s="11">
        <v>73</v>
      </c>
      <c r="F612" s="11">
        <f t="shared" si="19"/>
        <v>73</v>
      </c>
      <c r="G612" s="11" t="s">
        <v>14</v>
      </c>
      <c r="H612" s="11" t="s">
        <v>25</v>
      </c>
      <c r="I612" s="11" t="s">
        <v>26</v>
      </c>
      <c r="J612" s="11">
        <v>4</v>
      </c>
      <c r="K612" s="11">
        <v>9</v>
      </c>
      <c r="L612" s="11" t="s">
        <v>879</v>
      </c>
      <c r="M612" s="11">
        <f t="shared" si="18"/>
        <v>292</v>
      </c>
      <c r="N612" s="11">
        <f>IF(Table1[[#This Row],[Transaction Type]]="Sale",ABS(E612)*K612,0)</f>
        <v>0</v>
      </c>
      <c r="O612" s="29">
        <f>IF(Table1[[#This Row],[Transaction Type]]="Purchase",E612*J612,0)</f>
        <v>292</v>
      </c>
    </row>
    <row r="613" spans="1:15" x14ac:dyDescent="0.35">
      <c r="A613" s="27" t="s">
        <v>880</v>
      </c>
      <c r="B613" s="12">
        <v>45843</v>
      </c>
      <c r="C613" s="11" t="s">
        <v>36</v>
      </c>
      <c r="D613" s="11" t="s">
        <v>13</v>
      </c>
      <c r="E613" s="11">
        <v>-5</v>
      </c>
      <c r="F613" s="11">
        <f t="shared" si="19"/>
        <v>-5</v>
      </c>
      <c r="G613" s="11" t="s">
        <v>19</v>
      </c>
      <c r="H613" s="11" t="s">
        <v>37</v>
      </c>
      <c r="I613" s="11" t="s">
        <v>16</v>
      </c>
      <c r="J613" s="11">
        <v>7.2</v>
      </c>
      <c r="K613" s="11">
        <v>12.5</v>
      </c>
      <c r="L613" s="11"/>
      <c r="M613" s="11">
        <f t="shared" si="18"/>
        <v>36</v>
      </c>
      <c r="N613" s="11">
        <f>IF(Table1[[#This Row],[Transaction Type]]="Sale",ABS(E613)*K613,0)</f>
        <v>62.5</v>
      </c>
      <c r="O613" s="29">
        <f>IF(Table1[[#This Row],[Transaction Type]]="Purchase",E613*J613,0)</f>
        <v>0</v>
      </c>
    </row>
    <row r="614" spans="1:15" x14ac:dyDescent="0.35">
      <c r="A614" s="27" t="s">
        <v>881</v>
      </c>
      <c r="B614" s="12">
        <v>45843</v>
      </c>
      <c r="C614" s="11" t="s">
        <v>18</v>
      </c>
      <c r="D614" s="11" t="s">
        <v>13</v>
      </c>
      <c r="E614" s="11">
        <v>-6</v>
      </c>
      <c r="F614" s="11">
        <f t="shared" si="19"/>
        <v>-6</v>
      </c>
      <c r="G614" s="11" t="s">
        <v>24</v>
      </c>
      <c r="H614" s="11" t="s">
        <v>20</v>
      </c>
      <c r="I614" s="11" t="s">
        <v>21</v>
      </c>
      <c r="J614" s="11">
        <v>2.6</v>
      </c>
      <c r="K614" s="11">
        <v>5.5</v>
      </c>
      <c r="L614" s="11"/>
      <c r="M614" s="11">
        <f t="shared" si="18"/>
        <v>15.600000000000001</v>
      </c>
      <c r="N614" s="11">
        <f>IF(Table1[[#This Row],[Transaction Type]]="Sale",ABS(E614)*K614,0)</f>
        <v>33</v>
      </c>
      <c r="O614" s="29">
        <f>IF(Table1[[#This Row],[Transaction Type]]="Purchase",E614*J614,0)</f>
        <v>0</v>
      </c>
    </row>
    <row r="615" spans="1:15" x14ac:dyDescent="0.35">
      <c r="A615" s="27" t="s">
        <v>882</v>
      </c>
      <c r="B615" s="12">
        <v>45843</v>
      </c>
      <c r="C615" s="11" t="s">
        <v>77</v>
      </c>
      <c r="D615" s="11" t="s">
        <v>40</v>
      </c>
      <c r="E615" s="11">
        <v>98</v>
      </c>
      <c r="F615" s="11">
        <f t="shared" si="19"/>
        <v>98</v>
      </c>
      <c r="G615" s="11" t="s">
        <v>14</v>
      </c>
      <c r="H615" s="11" t="s">
        <v>78</v>
      </c>
      <c r="I615" s="11" t="s">
        <v>16</v>
      </c>
      <c r="J615" s="11">
        <v>25</v>
      </c>
      <c r="K615" s="11">
        <v>42</v>
      </c>
      <c r="L615" s="11" t="s">
        <v>883</v>
      </c>
      <c r="M615" s="11">
        <f t="shared" si="18"/>
        <v>2450</v>
      </c>
      <c r="N615" s="11">
        <f>IF(Table1[[#This Row],[Transaction Type]]="Sale",ABS(E615)*K615,0)</f>
        <v>0</v>
      </c>
      <c r="O615" s="29">
        <f>IF(Table1[[#This Row],[Transaction Type]]="Purchase",E615*J615,0)</f>
        <v>2450</v>
      </c>
    </row>
    <row r="616" spans="1:15" x14ac:dyDescent="0.35">
      <c r="A616" s="27" t="s">
        <v>884</v>
      </c>
      <c r="B616" s="12">
        <v>45844</v>
      </c>
      <c r="C616" s="11" t="s">
        <v>170</v>
      </c>
      <c r="D616" s="11" t="s">
        <v>40</v>
      </c>
      <c r="E616" s="11">
        <v>106</v>
      </c>
      <c r="F616" s="11">
        <f t="shared" si="19"/>
        <v>106</v>
      </c>
      <c r="G616" s="11" t="s">
        <v>19</v>
      </c>
      <c r="H616" s="11" t="s">
        <v>171</v>
      </c>
      <c r="I616" s="11" t="s">
        <v>34</v>
      </c>
      <c r="J616" s="11">
        <v>25</v>
      </c>
      <c r="K616" s="11">
        <v>45</v>
      </c>
      <c r="L616" s="11" t="s">
        <v>885</v>
      </c>
      <c r="M616" s="11">
        <f t="shared" si="18"/>
        <v>2650</v>
      </c>
      <c r="N616" s="11">
        <f>IF(Table1[[#This Row],[Transaction Type]]="Sale",ABS(E616)*K616,0)</f>
        <v>0</v>
      </c>
      <c r="O616" s="29">
        <f>IF(Table1[[#This Row],[Transaction Type]]="Purchase",E616*J616,0)</f>
        <v>2650</v>
      </c>
    </row>
    <row r="617" spans="1:15" x14ac:dyDescent="0.35">
      <c r="A617" s="27" t="s">
        <v>886</v>
      </c>
      <c r="B617" s="12">
        <v>45844</v>
      </c>
      <c r="C617" s="11" t="s">
        <v>36</v>
      </c>
      <c r="D617" s="11" t="s">
        <v>13</v>
      </c>
      <c r="E617" s="11">
        <v>-6</v>
      </c>
      <c r="F617" s="11">
        <f t="shared" si="19"/>
        <v>-6</v>
      </c>
      <c r="G617" s="11" t="s">
        <v>14</v>
      </c>
      <c r="H617" s="11" t="s">
        <v>37</v>
      </c>
      <c r="I617" s="11" t="s">
        <v>16</v>
      </c>
      <c r="J617" s="11">
        <v>7.2</v>
      </c>
      <c r="K617" s="11">
        <v>12.5</v>
      </c>
      <c r="L617" s="11"/>
      <c r="M617" s="11">
        <f t="shared" si="18"/>
        <v>43.2</v>
      </c>
      <c r="N617" s="11">
        <f>IF(Table1[[#This Row],[Transaction Type]]="Sale",ABS(E617)*K617,0)</f>
        <v>75</v>
      </c>
      <c r="O617" s="29">
        <f>IF(Table1[[#This Row],[Transaction Type]]="Purchase",E617*J617,0)</f>
        <v>0</v>
      </c>
    </row>
    <row r="618" spans="1:15" x14ac:dyDescent="0.35">
      <c r="A618" s="27" t="s">
        <v>887</v>
      </c>
      <c r="B618" s="12">
        <v>45844</v>
      </c>
      <c r="C618" s="11" t="s">
        <v>23</v>
      </c>
      <c r="D618" s="11" t="s">
        <v>13</v>
      </c>
      <c r="E618" s="11">
        <v>-5</v>
      </c>
      <c r="F618" s="11">
        <f t="shared" si="19"/>
        <v>-5</v>
      </c>
      <c r="G618" s="11" t="s">
        <v>14</v>
      </c>
      <c r="H618" s="11" t="s">
        <v>25</v>
      </c>
      <c r="I618" s="11" t="s">
        <v>26</v>
      </c>
      <c r="J618" s="11">
        <v>3</v>
      </c>
      <c r="K618" s="11">
        <v>7</v>
      </c>
      <c r="L618" s="11"/>
      <c r="M618" s="11">
        <f t="shared" si="18"/>
        <v>15</v>
      </c>
      <c r="N618" s="11">
        <f>IF(Table1[[#This Row],[Transaction Type]]="Sale",ABS(E618)*K618,0)</f>
        <v>35</v>
      </c>
      <c r="O618" s="29">
        <f>IF(Table1[[#This Row],[Transaction Type]]="Purchase",E618*J618,0)</f>
        <v>0</v>
      </c>
    </row>
    <row r="619" spans="1:15" x14ac:dyDescent="0.35">
      <c r="A619" s="27" t="s">
        <v>888</v>
      </c>
      <c r="B619" s="12">
        <v>45845</v>
      </c>
      <c r="C619" s="11" t="s">
        <v>77</v>
      </c>
      <c r="D619" s="11" t="s">
        <v>40</v>
      </c>
      <c r="E619" s="11">
        <v>69</v>
      </c>
      <c r="F619" s="11">
        <f t="shared" si="19"/>
        <v>69</v>
      </c>
      <c r="G619" s="11" t="s">
        <v>14</v>
      </c>
      <c r="H619" s="11" t="s">
        <v>78</v>
      </c>
      <c r="I619" s="11" t="s">
        <v>16</v>
      </c>
      <c r="J619" s="11">
        <v>25</v>
      </c>
      <c r="K619" s="11">
        <v>42</v>
      </c>
      <c r="L619" s="11" t="s">
        <v>889</v>
      </c>
      <c r="M619" s="11">
        <f t="shared" si="18"/>
        <v>1725</v>
      </c>
      <c r="N619" s="11">
        <f>IF(Table1[[#This Row],[Transaction Type]]="Sale",ABS(E619)*K619,0)</f>
        <v>0</v>
      </c>
      <c r="O619" s="29">
        <f>IF(Table1[[#This Row],[Transaction Type]]="Purchase",E619*J619,0)</f>
        <v>1725</v>
      </c>
    </row>
    <row r="620" spans="1:15" x14ac:dyDescent="0.35">
      <c r="A620" s="27" t="s">
        <v>890</v>
      </c>
      <c r="B620" s="12">
        <v>45845</v>
      </c>
      <c r="C620" s="11" t="s">
        <v>87</v>
      </c>
      <c r="D620" s="11" t="s">
        <v>40</v>
      </c>
      <c r="E620" s="11">
        <v>21</v>
      </c>
      <c r="F620" s="11">
        <f t="shared" si="19"/>
        <v>21</v>
      </c>
      <c r="G620" s="11" t="s">
        <v>14</v>
      </c>
      <c r="H620" s="11" t="s">
        <v>88</v>
      </c>
      <c r="I620" s="11" t="s">
        <v>16</v>
      </c>
      <c r="J620" s="11">
        <v>6</v>
      </c>
      <c r="K620" s="11">
        <v>14</v>
      </c>
      <c r="L620" s="11" t="s">
        <v>891</v>
      </c>
      <c r="M620" s="11">
        <f t="shared" si="18"/>
        <v>126</v>
      </c>
      <c r="N620" s="11">
        <f>IF(Table1[[#This Row],[Transaction Type]]="Sale",ABS(E620)*K620,0)</f>
        <v>0</v>
      </c>
      <c r="O620" s="29">
        <f>IF(Table1[[#This Row],[Transaction Type]]="Purchase",E620*J620,0)</f>
        <v>126</v>
      </c>
    </row>
    <row r="621" spans="1:15" x14ac:dyDescent="0.35">
      <c r="A621" s="27" t="s">
        <v>892</v>
      </c>
      <c r="B621" s="12">
        <v>45845</v>
      </c>
      <c r="C621" s="11" t="s">
        <v>109</v>
      </c>
      <c r="D621" s="11" t="s">
        <v>40</v>
      </c>
      <c r="E621" s="11">
        <v>114</v>
      </c>
      <c r="F621" s="11">
        <f t="shared" si="19"/>
        <v>114</v>
      </c>
      <c r="G621" s="11" t="s">
        <v>19</v>
      </c>
      <c r="H621" s="11" t="s">
        <v>110</v>
      </c>
      <c r="I621" s="11" t="s">
        <v>26</v>
      </c>
      <c r="J621" s="11">
        <v>105</v>
      </c>
      <c r="K621" s="11">
        <v>165</v>
      </c>
      <c r="L621" s="11" t="s">
        <v>893</v>
      </c>
      <c r="M621" s="11">
        <f t="shared" si="18"/>
        <v>11970</v>
      </c>
      <c r="N621" s="11">
        <f>IF(Table1[[#This Row],[Transaction Type]]="Sale",ABS(E621)*K621,0)</f>
        <v>0</v>
      </c>
      <c r="O621" s="29">
        <f>IF(Table1[[#This Row],[Transaction Type]]="Purchase",E621*J621,0)</f>
        <v>11970</v>
      </c>
    </row>
    <row r="622" spans="1:15" x14ac:dyDescent="0.35">
      <c r="A622" s="27" t="s">
        <v>894</v>
      </c>
      <c r="B622" s="12">
        <v>45845</v>
      </c>
      <c r="C622" s="11" t="s">
        <v>139</v>
      </c>
      <c r="D622" s="11" t="s">
        <v>13</v>
      </c>
      <c r="E622" s="11">
        <v>-12</v>
      </c>
      <c r="F622" s="11">
        <f t="shared" si="19"/>
        <v>-12</v>
      </c>
      <c r="G622" s="11" t="s">
        <v>14</v>
      </c>
      <c r="H622" s="11" t="s">
        <v>56</v>
      </c>
      <c r="I622" s="11" t="s">
        <v>16</v>
      </c>
      <c r="J622" s="11">
        <v>16.5</v>
      </c>
      <c r="K622" s="11">
        <v>28</v>
      </c>
      <c r="L622" s="11"/>
      <c r="M622" s="11">
        <f t="shared" si="18"/>
        <v>198</v>
      </c>
      <c r="N622" s="11">
        <f>IF(Table1[[#This Row],[Transaction Type]]="Sale",ABS(E622)*K622,0)</f>
        <v>336</v>
      </c>
      <c r="O622" s="29">
        <f>IF(Table1[[#This Row],[Transaction Type]]="Purchase",E622*J622,0)</f>
        <v>0</v>
      </c>
    </row>
    <row r="623" spans="1:15" x14ac:dyDescent="0.35">
      <c r="A623" s="27" t="s">
        <v>895</v>
      </c>
      <c r="B623" s="12">
        <v>45845</v>
      </c>
      <c r="C623" s="11" t="s">
        <v>12</v>
      </c>
      <c r="D623" s="11" t="s">
        <v>40</v>
      </c>
      <c r="E623" s="11">
        <v>57</v>
      </c>
      <c r="F623" s="11">
        <f t="shared" si="19"/>
        <v>57</v>
      </c>
      <c r="G623" s="11" t="s">
        <v>14</v>
      </c>
      <c r="H623" s="11" t="s">
        <v>15</v>
      </c>
      <c r="I623" s="11" t="s">
        <v>16</v>
      </c>
      <c r="J623" s="11">
        <v>13.5</v>
      </c>
      <c r="K623" s="11">
        <v>24</v>
      </c>
      <c r="L623" s="11" t="s">
        <v>896</v>
      </c>
      <c r="M623" s="11">
        <f t="shared" si="18"/>
        <v>769.5</v>
      </c>
      <c r="N623" s="11">
        <f>IF(Table1[[#This Row],[Transaction Type]]="Sale",ABS(E623)*K623,0)</f>
        <v>0</v>
      </c>
      <c r="O623" s="29">
        <f>IF(Table1[[#This Row],[Transaction Type]]="Purchase",E623*J623,0)</f>
        <v>769.5</v>
      </c>
    </row>
    <row r="624" spans="1:15" x14ac:dyDescent="0.35">
      <c r="A624" s="27" t="s">
        <v>897</v>
      </c>
      <c r="B624" s="12">
        <v>45846</v>
      </c>
      <c r="C624" s="11" t="s">
        <v>227</v>
      </c>
      <c r="D624" s="11" t="s">
        <v>40</v>
      </c>
      <c r="E624" s="11">
        <v>57</v>
      </c>
      <c r="F624" s="11">
        <f t="shared" si="19"/>
        <v>57</v>
      </c>
      <c r="G624" s="11" t="s">
        <v>14</v>
      </c>
      <c r="H624" s="11" t="s">
        <v>228</v>
      </c>
      <c r="I624" s="11" t="s">
        <v>16</v>
      </c>
      <c r="J624" s="11">
        <v>78</v>
      </c>
      <c r="K624" s="11">
        <v>125</v>
      </c>
      <c r="L624" s="11" t="s">
        <v>898</v>
      </c>
      <c r="M624" s="11">
        <f t="shared" si="18"/>
        <v>4446</v>
      </c>
      <c r="N624" s="11">
        <f>IF(Table1[[#This Row],[Transaction Type]]="Sale",ABS(E624)*K624,0)</f>
        <v>0</v>
      </c>
      <c r="O624" s="29">
        <f>IF(Table1[[#This Row],[Transaction Type]]="Purchase",E624*J624,0)</f>
        <v>4446</v>
      </c>
    </row>
    <row r="625" spans="1:15" x14ac:dyDescent="0.35">
      <c r="A625" s="27" t="s">
        <v>899</v>
      </c>
      <c r="B625" s="12">
        <v>45846</v>
      </c>
      <c r="C625" s="11" t="s">
        <v>170</v>
      </c>
      <c r="D625" s="11" t="s">
        <v>58</v>
      </c>
      <c r="E625" s="11">
        <v>-2</v>
      </c>
      <c r="F625" s="11">
        <f t="shared" si="19"/>
        <v>-2</v>
      </c>
      <c r="G625" s="11" t="s">
        <v>19</v>
      </c>
      <c r="H625" s="11" t="s">
        <v>171</v>
      </c>
      <c r="I625" s="11" t="s">
        <v>34</v>
      </c>
      <c r="J625" s="11">
        <v>25</v>
      </c>
      <c r="K625" s="11">
        <v>45</v>
      </c>
      <c r="L625" s="11"/>
      <c r="M625" s="11">
        <f t="shared" si="18"/>
        <v>50</v>
      </c>
      <c r="N625" s="11">
        <f>IF(Table1[[#This Row],[Transaction Type]]="Sale",ABS(E625)*K625,0)</f>
        <v>0</v>
      </c>
      <c r="O625" s="29">
        <f>IF(Table1[[#This Row],[Transaction Type]]="Purchase",E625*J625,0)</f>
        <v>0</v>
      </c>
    </row>
    <row r="626" spans="1:15" x14ac:dyDescent="0.35">
      <c r="A626" s="27" t="s">
        <v>900</v>
      </c>
      <c r="B626" s="12">
        <v>45846</v>
      </c>
      <c r="C626" s="11" t="s">
        <v>12</v>
      </c>
      <c r="D626" s="11" t="s">
        <v>40</v>
      </c>
      <c r="E626" s="11">
        <v>114</v>
      </c>
      <c r="F626" s="11">
        <f t="shared" si="19"/>
        <v>114</v>
      </c>
      <c r="G626" s="11" t="s">
        <v>14</v>
      </c>
      <c r="H626" s="11" t="s">
        <v>15</v>
      </c>
      <c r="I626" s="11" t="s">
        <v>16</v>
      </c>
      <c r="J626" s="11">
        <v>13.5</v>
      </c>
      <c r="K626" s="11">
        <v>24</v>
      </c>
      <c r="L626" s="11" t="s">
        <v>901</v>
      </c>
      <c r="M626" s="11">
        <f t="shared" si="18"/>
        <v>1539</v>
      </c>
      <c r="N626" s="11">
        <f>IF(Table1[[#This Row],[Transaction Type]]="Sale",ABS(E626)*K626,0)</f>
        <v>0</v>
      </c>
      <c r="O626" s="29">
        <f>IF(Table1[[#This Row],[Transaction Type]]="Purchase",E626*J626,0)</f>
        <v>1539</v>
      </c>
    </row>
    <row r="627" spans="1:15" x14ac:dyDescent="0.35">
      <c r="A627" s="27" t="s">
        <v>902</v>
      </c>
      <c r="B627" s="12">
        <v>45846</v>
      </c>
      <c r="C627" s="11" t="s">
        <v>170</v>
      </c>
      <c r="D627" s="11" t="s">
        <v>40</v>
      </c>
      <c r="E627" s="11">
        <v>85</v>
      </c>
      <c r="F627" s="11">
        <f t="shared" si="19"/>
        <v>85</v>
      </c>
      <c r="G627" s="11" t="s">
        <v>24</v>
      </c>
      <c r="H627" s="11" t="s">
        <v>171</v>
      </c>
      <c r="I627" s="11" t="s">
        <v>34</v>
      </c>
      <c r="J627" s="11">
        <v>25</v>
      </c>
      <c r="K627" s="11">
        <v>45</v>
      </c>
      <c r="L627" s="11" t="s">
        <v>903</v>
      </c>
      <c r="M627" s="11">
        <f t="shared" si="18"/>
        <v>2125</v>
      </c>
      <c r="N627" s="11">
        <f>IF(Table1[[#This Row],[Transaction Type]]="Sale",ABS(E627)*K627,0)</f>
        <v>0</v>
      </c>
      <c r="O627" s="29">
        <f>IF(Table1[[#This Row],[Transaction Type]]="Purchase",E627*J627,0)</f>
        <v>2125</v>
      </c>
    </row>
    <row r="628" spans="1:15" x14ac:dyDescent="0.35">
      <c r="A628" s="27" t="s">
        <v>904</v>
      </c>
      <c r="B628" s="12">
        <v>45846</v>
      </c>
      <c r="C628" s="11" t="s">
        <v>194</v>
      </c>
      <c r="D628" s="11" t="s">
        <v>13</v>
      </c>
      <c r="E628" s="11">
        <v>-15</v>
      </c>
      <c r="F628" s="11">
        <f t="shared" si="19"/>
        <v>-15</v>
      </c>
      <c r="G628" s="11" t="s">
        <v>24</v>
      </c>
      <c r="H628" s="11" t="s">
        <v>195</v>
      </c>
      <c r="I628" s="11" t="s">
        <v>21</v>
      </c>
      <c r="J628" s="11">
        <v>220</v>
      </c>
      <c r="K628" s="11">
        <v>320</v>
      </c>
      <c r="L628" s="11"/>
      <c r="M628" s="11">
        <f t="shared" si="18"/>
        <v>3300</v>
      </c>
      <c r="N628" s="11">
        <f>IF(Table1[[#This Row],[Transaction Type]]="Sale",ABS(E628)*K628,0)</f>
        <v>4800</v>
      </c>
      <c r="O628" s="29">
        <f>IF(Table1[[#This Row],[Transaction Type]]="Purchase",E628*J628,0)</f>
        <v>0</v>
      </c>
    </row>
    <row r="629" spans="1:15" x14ac:dyDescent="0.35">
      <c r="A629" s="27" t="s">
        <v>905</v>
      </c>
      <c r="B629" s="12">
        <v>45847</v>
      </c>
      <c r="C629" s="11" t="s">
        <v>139</v>
      </c>
      <c r="D629" s="11" t="s">
        <v>40</v>
      </c>
      <c r="E629" s="11">
        <v>86</v>
      </c>
      <c r="F629" s="11">
        <f t="shared" si="19"/>
        <v>86</v>
      </c>
      <c r="G629" s="11" t="s">
        <v>14</v>
      </c>
      <c r="H629" s="11" t="s">
        <v>56</v>
      </c>
      <c r="I629" s="11" t="s">
        <v>16</v>
      </c>
      <c r="J629" s="11">
        <v>16.5</v>
      </c>
      <c r="K629" s="11">
        <v>28</v>
      </c>
      <c r="L629" s="11" t="s">
        <v>906</v>
      </c>
      <c r="M629" s="11">
        <f t="shared" si="18"/>
        <v>1419</v>
      </c>
      <c r="N629" s="11">
        <f>IF(Table1[[#This Row],[Transaction Type]]="Sale",ABS(E629)*K629,0)</f>
        <v>0</v>
      </c>
      <c r="O629" s="29">
        <f>IF(Table1[[#This Row],[Transaction Type]]="Purchase",E629*J629,0)</f>
        <v>1419</v>
      </c>
    </row>
    <row r="630" spans="1:15" x14ac:dyDescent="0.35">
      <c r="A630" s="27" t="s">
        <v>907</v>
      </c>
      <c r="B630" s="12">
        <v>45848</v>
      </c>
      <c r="C630" s="11" t="s">
        <v>69</v>
      </c>
      <c r="D630" s="11" t="s">
        <v>13</v>
      </c>
      <c r="E630" s="11">
        <v>-2</v>
      </c>
      <c r="F630" s="11">
        <f t="shared" si="19"/>
        <v>-2</v>
      </c>
      <c r="G630" s="11" t="s">
        <v>19</v>
      </c>
      <c r="H630" s="11" t="s">
        <v>70</v>
      </c>
      <c r="I630" s="11" t="s">
        <v>16</v>
      </c>
      <c r="J630" s="11">
        <v>23</v>
      </c>
      <c r="K630" s="11">
        <v>38</v>
      </c>
      <c r="L630" s="11"/>
      <c r="M630" s="11">
        <f t="shared" si="18"/>
        <v>46</v>
      </c>
      <c r="N630" s="11">
        <f>IF(Table1[[#This Row],[Transaction Type]]="Sale",ABS(E630)*K630,0)</f>
        <v>76</v>
      </c>
      <c r="O630" s="29">
        <f>IF(Table1[[#This Row],[Transaction Type]]="Purchase",E630*J630,0)</f>
        <v>0</v>
      </c>
    </row>
    <row r="631" spans="1:15" x14ac:dyDescent="0.35">
      <c r="A631" s="27" t="s">
        <v>908</v>
      </c>
      <c r="B631" s="12">
        <v>45848</v>
      </c>
      <c r="C631" s="11" t="s">
        <v>65</v>
      </c>
      <c r="D631" s="11" t="s">
        <v>40</v>
      </c>
      <c r="E631" s="11">
        <v>112</v>
      </c>
      <c r="F631" s="11">
        <f t="shared" si="19"/>
        <v>112</v>
      </c>
      <c r="G631" s="11" t="s">
        <v>14</v>
      </c>
      <c r="H631" s="11" t="s">
        <v>67</v>
      </c>
      <c r="I631" s="11" t="s">
        <v>21</v>
      </c>
      <c r="J631" s="11">
        <v>11</v>
      </c>
      <c r="K631" s="11">
        <v>22</v>
      </c>
      <c r="L631" s="11" t="s">
        <v>909</v>
      </c>
      <c r="M631" s="11">
        <f t="shared" si="18"/>
        <v>1232</v>
      </c>
      <c r="N631" s="11">
        <f>IF(Table1[[#This Row],[Transaction Type]]="Sale",ABS(E631)*K631,0)</f>
        <v>0</v>
      </c>
      <c r="O631" s="29">
        <f>IF(Table1[[#This Row],[Transaction Type]]="Purchase",E631*J631,0)</f>
        <v>1232</v>
      </c>
    </row>
    <row r="632" spans="1:15" x14ac:dyDescent="0.35">
      <c r="A632" s="27" t="s">
        <v>910</v>
      </c>
      <c r="B632" s="12">
        <v>45849</v>
      </c>
      <c r="C632" s="11" t="s">
        <v>52</v>
      </c>
      <c r="D632" s="11" t="s">
        <v>58</v>
      </c>
      <c r="E632" s="11">
        <v>13</v>
      </c>
      <c r="F632" s="11">
        <f t="shared" si="19"/>
        <v>13</v>
      </c>
      <c r="G632" s="11" t="s">
        <v>14</v>
      </c>
      <c r="H632" s="11" t="s">
        <v>20</v>
      </c>
      <c r="I632" s="11" t="s">
        <v>21</v>
      </c>
      <c r="J632" s="11">
        <v>5.5</v>
      </c>
      <c r="K632" s="11">
        <v>12</v>
      </c>
      <c r="L632" s="11"/>
      <c r="M632" s="11">
        <f t="shared" si="18"/>
        <v>71.5</v>
      </c>
      <c r="N632" s="11">
        <f>IF(Table1[[#This Row],[Transaction Type]]="Sale",ABS(E632)*K632,0)</f>
        <v>0</v>
      </c>
      <c r="O632" s="29">
        <f>IF(Table1[[#This Row],[Transaction Type]]="Purchase",E632*J632,0)</f>
        <v>0</v>
      </c>
    </row>
    <row r="633" spans="1:15" x14ac:dyDescent="0.35">
      <c r="A633" s="27" t="s">
        <v>911</v>
      </c>
      <c r="B633" s="12">
        <v>45849</v>
      </c>
      <c r="C633" s="11" t="s">
        <v>36</v>
      </c>
      <c r="D633" s="11" t="s">
        <v>40</v>
      </c>
      <c r="E633" s="11">
        <v>43</v>
      </c>
      <c r="F633" s="11">
        <f t="shared" si="19"/>
        <v>43</v>
      </c>
      <c r="G633" s="11" t="s">
        <v>14</v>
      </c>
      <c r="H633" s="11" t="s">
        <v>37</v>
      </c>
      <c r="I633" s="11" t="s">
        <v>16</v>
      </c>
      <c r="J633" s="11">
        <v>7.2</v>
      </c>
      <c r="K633" s="11">
        <v>12.5</v>
      </c>
      <c r="L633" s="11" t="s">
        <v>912</v>
      </c>
      <c r="M633" s="11">
        <f t="shared" si="18"/>
        <v>309.60000000000002</v>
      </c>
      <c r="N633" s="11">
        <f>IF(Table1[[#This Row],[Transaction Type]]="Sale",ABS(E633)*K633,0)</f>
        <v>0</v>
      </c>
      <c r="O633" s="29">
        <f>IF(Table1[[#This Row],[Transaction Type]]="Purchase",E633*J633,0)</f>
        <v>309.60000000000002</v>
      </c>
    </row>
    <row r="634" spans="1:15" x14ac:dyDescent="0.35">
      <c r="A634" s="27" t="s">
        <v>913</v>
      </c>
      <c r="B634" s="12">
        <v>45849</v>
      </c>
      <c r="C634" s="11" t="s">
        <v>36</v>
      </c>
      <c r="D634" s="11" t="s">
        <v>58</v>
      </c>
      <c r="E634" s="11">
        <v>-3</v>
      </c>
      <c r="F634" s="11">
        <f t="shared" si="19"/>
        <v>-3</v>
      </c>
      <c r="G634" s="11" t="s">
        <v>14</v>
      </c>
      <c r="H634" s="11" t="s">
        <v>37</v>
      </c>
      <c r="I634" s="11" t="s">
        <v>16</v>
      </c>
      <c r="J634" s="11">
        <v>7.2</v>
      </c>
      <c r="K634" s="11">
        <v>12.5</v>
      </c>
      <c r="L634" s="11"/>
      <c r="M634" s="11">
        <f t="shared" si="18"/>
        <v>21.6</v>
      </c>
      <c r="N634" s="11">
        <f>IF(Table1[[#This Row],[Transaction Type]]="Sale",ABS(E634)*K634,0)</f>
        <v>0</v>
      </c>
      <c r="O634" s="29">
        <f>IF(Table1[[#This Row],[Transaction Type]]="Purchase",E634*J634,0)</f>
        <v>0</v>
      </c>
    </row>
    <row r="635" spans="1:15" x14ac:dyDescent="0.35">
      <c r="A635" s="27" t="s">
        <v>914</v>
      </c>
      <c r="B635" s="12">
        <v>45849</v>
      </c>
      <c r="C635" s="11" t="s">
        <v>52</v>
      </c>
      <c r="D635" s="11" t="s">
        <v>13</v>
      </c>
      <c r="E635" s="11">
        <v>-1</v>
      </c>
      <c r="F635" s="11">
        <f t="shared" si="19"/>
        <v>-1</v>
      </c>
      <c r="G635" s="11" t="s">
        <v>24</v>
      </c>
      <c r="H635" s="11" t="s">
        <v>20</v>
      </c>
      <c r="I635" s="11" t="s">
        <v>21</v>
      </c>
      <c r="J635" s="11">
        <v>5.5</v>
      </c>
      <c r="K635" s="11">
        <v>12</v>
      </c>
      <c r="L635" s="11"/>
      <c r="M635" s="11">
        <f t="shared" si="18"/>
        <v>5.5</v>
      </c>
      <c r="N635" s="11">
        <f>IF(Table1[[#This Row],[Transaction Type]]="Sale",ABS(E635)*K635,0)</f>
        <v>12</v>
      </c>
      <c r="O635" s="29">
        <f>IF(Table1[[#This Row],[Transaction Type]]="Purchase",E635*J635,0)</f>
        <v>0</v>
      </c>
    </row>
    <row r="636" spans="1:15" x14ac:dyDescent="0.35">
      <c r="A636" s="27" t="s">
        <v>915</v>
      </c>
      <c r="B636" s="12">
        <v>45850</v>
      </c>
      <c r="C636" s="11" t="s">
        <v>69</v>
      </c>
      <c r="D636" s="11" t="s">
        <v>13</v>
      </c>
      <c r="E636" s="11">
        <v>-14</v>
      </c>
      <c r="F636" s="11">
        <f t="shared" si="19"/>
        <v>-14</v>
      </c>
      <c r="G636" s="11" t="s">
        <v>2522</v>
      </c>
      <c r="H636" s="11" t="s">
        <v>70</v>
      </c>
      <c r="I636" s="11" t="s">
        <v>16</v>
      </c>
      <c r="J636" s="11">
        <v>23</v>
      </c>
      <c r="K636" s="11">
        <v>38</v>
      </c>
      <c r="L636" s="11"/>
      <c r="M636" s="11">
        <f t="shared" si="18"/>
        <v>322</v>
      </c>
      <c r="N636" s="11">
        <f>IF(Table1[[#This Row],[Transaction Type]]="Sale",ABS(E636)*K636,0)</f>
        <v>532</v>
      </c>
      <c r="O636" s="29">
        <f>IF(Table1[[#This Row],[Transaction Type]]="Purchase",E636*J636,0)</f>
        <v>0</v>
      </c>
    </row>
    <row r="637" spans="1:15" x14ac:dyDescent="0.35">
      <c r="A637" s="27" t="s">
        <v>916</v>
      </c>
      <c r="B637" s="12">
        <v>45850</v>
      </c>
      <c r="C637" s="11" t="s">
        <v>60</v>
      </c>
      <c r="D637" s="11" t="s">
        <v>13</v>
      </c>
      <c r="E637" s="11">
        <v>-11</v>
      </c>
      <c r="F637" s="11">
        <f t="shared" si="19"/>
        <v>-11</v>
      </c>
      <c r="G637" s="11" t="s">
        <v>24</v>
      </c>
      <c r="H637" s="11" t="s">
        <v>61</v>
      </c>
      <c r="I637" s="11" t="s">
        <v>62</v>
      </c>
      <c r="J637" s="11">
        <v>3.4</v>
      </c>
      <c r="K637" s="11">
        <v>8</v>
      </c>
      <c r="L637" s="11"/>
      <c r="M637" s="11">
        <f t="shared" si="18"/>
        <v>37.4</v>
      </c>
      <c r="N637" s="11">
        <f>IF(Table1[[#This Row],[Transaction Type]]="Sale",ABS(E637)*K637,0)</f>
        <v>88</v>
      </c>
      <c r="O637" s="29">
        <f>IF(Table1[[#This Row],[Transaction Type]]="Purchase",E637*J637,0)</f>
        <v>0</v>
      </c>
    </row>
    <row r="638" spans="1:15" x14ac:dyDescent="0.35">
      <c r="A638" s="27" t="s">
        <v>917</v>
      </c>
      <c r="B638" s="12">
        <v>45850</v>
      </c>
      <c r="C638" s="11" t="s">
        <v>83</v>
      </c>
      <c r="D638" s="11" t="s">
        <v>13</v>
      </c>
      <c r="E638" s="11">
        <v>-15</v>
      </c>
      <c r="F638" s="11">
        <f t="shared" si="19"/>
        <v>-15</v>
      </c>
      <c r="G638" s="11" t="s">
        <v>14</v>
      </c>
      <c r="H638" s="11" t="s">
        <v>84</v>
      </c>
      <c r="I638" s="11" t="s">
        <v>45</v>
      </c>
      <c r="J638" s="11">
        <v>130</v>
      </c>
      <c r="K638" s="11">
        <v>185</v>
      </c>
      <c r="L638" s="11"/>
      <c r="M638" s="11">
        <f t="shared" si="18"/>
        <v>1950</v>
      </c>
      <c r="N638" s="11">
        <f>IF(Table1[[#This Row],[Transaction Type]]="Sale",ABS(E638)*K638,0)</f>
        <v>2775</v>
      </c>
      <c r="O638" s="29">
        <f>IF(Table1[[#This Row],[Transaction Type]]="Purchase",E638*J638,0)</f>
        <v>0</v>
      </c>
    </row>
    <row r="639" spans="1:15" x14ac:dyDescent="0.35">
      <c r="A639" s="27" t="s">
        <v>918</v>
      </c>
      <c r="B639" s="12">
        <v>45851</v>
      </c>
      <c r="C639" s="11" t="s">
        <v>94</v>
      </c>
      <c r="D639" s="11" t="s">
        <v>13</v>
      </c>
      <c r="E639" s="11">
        <v>-10</v>
      </c>
      <c r="F639" s="11">
        <f t="shared" si="19"/>
        <v>-10</v>
      </c>
      <c r="G639" s="11" t="s">
        <v>24</v>
      </c>
      <c r="H639" s="11" t="s">
        <v>95</v>
      </c>
      <c r="I639" s="11" t="s">
        <v>16</v>
      </c>
      <c r="J639" s="11">
        <v>18.5</v>
      </c>
      <c r="K639" s="11">
        <v>31</v>
      </c>
      <c r="L639" s="11"/>
      <c r="M639" s="11">
        <f t="shared" si="18"/>
        <v>185</v>
      </c>
      <c r="N639" s="11">
        <f>IF(Table1[[#This Row],[Transaction Type]]="Sale",ABS(E639)*K639,0)</f>
        <v>310</v>
      </c>
      <c r="O639" s="29">
        <f>IF(Table1[[#This Row],[Transaction Type]]="Purchase",E639*J639,0)</f>
        <v>0</v>
      </c>
    </row>
    <row r="640" spans="1:15" x14ac:dyDescent="0.35">
      <c r="A640" s="27" t="s">
        <v>919</v>
      </c>
      <c r="B640" s="12">
        <v>45851</v>
      </c>
      <c r="C640" s="11" t="s">
        <v>227</v>
      </c>
      <c r="D640" s="11" t="s">
        <v>40</v>
      </c>
      <c r="E640" s="11">
        <v>39</v>
      </c>
      <c r="F640" s="11">
        <f t="shared" si="19"/>
        <v>39</v>
      </c>
      <c r="G640" s="11" t="s">
        <v>14</v>
      </c>
      <c r="H640" s="11" t="s">
        <v>228</v>
      </c>
      <c r="I640" s="11" t="s">
        <v>16</v>
      </c>
      <c r="J640" s="11">
        <v>78</v>
      </c>
      <c r="K640" s="11">
        <v>125</v>
      </c>
      <c r="L640" s="11" t="s">
        <v>920</v>
      </c>
      <c r="M640" s="11">
        <f t="shared" si="18"/>
        <v>3042</v>
      </c>
      <c r="N640" s="11">
        <f>IF(Table1[[#This Row],[Transaction Type]]="Sale",ABS(E640)*K640,0)</f>
        <v>0</v>
      </c>
      <c r="O640" s="29">
        <f>IF(Table1[[#This Row],[Transaction Type]]="Purchase",E640*J640,0)</f>
        <v>3042</v>
      </c>
    </row>
    <row r="641" spans="1:15" x14ac:dyDescent="0.35">
      <c r="A641" s="27" t="s">
        <v>921</v>
      </c>
      <c r="B641" s="12">
        <v>45852</v>
      </c>
      <c r="C641" s="11" t="s">
        <v>52</v>
      </c>
      <c r="D641" s="11" t="s">
        <v>40</v>
      </c>
      <c r="E641" s="11">
        <v>99</v>
      </c>
      <c r="F641" s="11">
        <f t="shared" si="19"/>
        <v>99</v>
      </c>
      <c r="G641" s="11" t="s">
        <v>14</v>
      </c>
      <c r="H641" s="11" t="s">
        <v>20</v>
      </c>
      <c r="I641" s="11" t="s">
        <v>21</v>
      </c>
      <c r="J641" s="11">
        <v>5.5</v>
      </c>
      <c r="K641" s="11">
        <v>12</v>
      </c>
      <c r="L641" s="11" t="s">
        <v>922</v>
      </c>
      <c r="M641" s="11">
        <f t="shared" si="18"/>
        <v>544.5</v>
      </c>
      <c r="N641" s="11">
        <f>IF(Table1[[#This Row],[Transaction Type]]="Sale",ABS(E641)*K641,0)</f>
        <v>0</v>
      </c>
      <c r="O641" s="29">
        <f>IF(Table1[[#This Row],[Transaction Type]]="Purchase",E641*J641,0)</f>
        <v>544.5</v>
      </c>
    </row>
    <row r="642" spans="1:15" x14ac:dyDescent="0.35">
      <c r="A642" s="27" t="s">
        <v>923</v>
      </c>
      <c r="B642" s="12">
        <v>45852</v>
      </c>
      <c r="C642" s="11" t="s">
        <v>170</v>
      </c>
      <c r="D642" s="11" t="s">
        <v>58</v>
      </c>
      <c r="E642" s="11">
        <v>19</v>
      </c>
      <c r="F642" s="11">
        <f t="shared" si="19"/>
        <v>19</v>
      </c>
      <c r="G642" s="11" t="s">
        <v>24</v>
      </c>
      <c r="H642" s="11" t="s">
        <v>171</v>
      </c>
      <c r="I642" s="11" t="s">
        <v>34</v>
      </c>
      <c r="J642" s="11">
        <v>25</v>
      </c>
      <c r="K642" s="11">
        <v>45</v>
      </c>
      <c r="L642" s="11"/>
      <c r="M642" s="11">
        <f t="shared" ref="M642:M705" si="20">ABS(E642)*J642</f>
        <v>475</v>
      </c>
      <c r="N642" s="11">
        <f>IF(Table1[[#This Row],[Transaction Type]]="Sale",ABS(E642)*K642,0)</f>
        <v>0</v>
      </c>
      <c r="O642" s="29">
        <f>IF(Table1[[#This Row],[Transaction Type]]="Purchase",E642*J642,0)</f>
        <v>0</v>
      </c>
    </row>
    <row r="643" spans="1:15" x14ac:dyDescent="0.35">
      <c r="A643" s="27" t="s">
        <v>924</v>
      </c>
      <c r="B643" s="12">
        <v>45853</v>
      </c>
      <c r="C643" s="11" t="s">
        <v>32</v>
      </c>
      <c r="D643" s="11" t="s">
        <v>40</v>
      </c>
      <c r="E643" s="11">
        <v>94</v>
      </c>
      <c r="F643" s="11">
        <f t="shared" ref="F643:F706" si="21">E643</f>
        <v>94</v>
      </c>
      <c r="G643" s="11" t="s">
        <v>14</v>
      </c>
      <c r="H643" s="11" t="s">
        <v>33</v>
      </c>
      <c r="I643" s="11" t="s">
        <v>34</v>
      </c>
      <c r="J643" s="11">
        <v>20</v>
      </c>
      <c r="K643" s="11">
        <v>35</v>
      </c>
      <c r="L643" s="11" t="s">
        <v>925</v>
      </c>
      <c r="M643" s="11">
        <f t="shared" si="20"/>
        <v>1880</v>
      </c>
      <c r="N643" s="11">
        <f>IF(Table1[[#This Row],[Transaction Type]]="Sale",ABS(E643)*K643,0)</f>
        <v>0</v>
      </c>
      <c r="O643" s="29">
        <f>IF(Table1[[#This Row],[Transaction Type]]="Purchase",E643*J643,0)</f>
        <v>1880</v>
      </c>
    </row>
    <row r="644" spans="1:15" x14ac:dyDescent="0.35">
      <c r="A644" s="27" t="s">
        <v>926</v>
      </c>
      <c r="B644" s="12">
        <v>45853</v>
      </c>
      <c r="C644" s="11" t="s">
        <v>65</v>
      </c>
      <c r="D644" s="11" t="s">
        <v>40</v>
      </c>
      <c r="E644" s="11">
        <v>81</v>
      </c>
      <c r="F644" s="11">
        <f t="shared" si="21"/>
        <v>81</v>
      </c>
      <c r="G644" s="11" t="s">
        <v>14</v>
      </c>
      <c r="H644" s="11" t="s">
        <v>67</v>
      </c>
      <c r="I644" s="11" t="s">
        <v>21</v>
      </c>
      <c r="J644" s="11">
        <v>11</v>
      </c>
      <c r="K644" s="11">
        <v>22</v>
      </c>
      <c r="L644" s="11" t="s">
        <v>927</v>
      </c>
      <c r="M644" s="11">
        <f t="shared" si="20"/>
        <v>891</v>
      </c>
      <c r="N644" s="11">
        <f>IF(Table1[[#This Row],[Transaction Type]]="Sale",ABS(E644)*K644,0)</f>
        <v>0</v>
      </c>
      <c r="O644" s="29">
        <f>IF(Table1[[#This Row],[Transaction Type]]="Purchase",E644*J644,0)</f>
        <v>891</v>
      </c>
    </row>
    <row r="645" spans="1:15" x14ac:dyDescent="0.35">
      <c r="A645" s="27" t="s">
        <v>928</v>
      </c>
      <c r="B645" s="12">
        <v>45853</v>
      </c>
      <c r="C645" s="11" t="s">
        <v>139</v>
      </c>
      <c r="D645" s="11" t="s">
        <v>40</v>
      </c>
      <c r="E645" s="11">
        <v>32</v>
      </c>
      <c r="F645" s="11">
        <f t="shared" si="21"/>
        <v>32</v>
      </c>
      <c r="G645" s="11" t="s">
        <v>14</v>
      </c>
      <c r="H645" s="11" t="s">
        <v>56</v>
      </c>
      <c r="I645" s="11" t="s">
        <v>16</v>
      </c>
      <c r="J645" s="11">
        <v>16.5</v>
      </c>
      <c r="K645" s="11">
        <v>28</v>
      </c>
      <c r="L645" s="11" t="s">
        <v>929</v>
      </c>
      <c r="M645" s="11">
        <f t="shared" si="20"/>
        <v>528</v>
      </c>
      <c r="N645" s="11">
        <f>IF(Table1[[#This Row],[Transaction Type]]="Sale",ABS(E645)*K645,0)</f>
        <v>0</v>
      </c>
      <c r="O645" s="29">
        <f>IF(Table1[[#This Row],[Transaction Type]]="Purchase",E645*J645,0)</f>
        <v>528</v>
      </c>
    </row>
    <row r="646" spans="1:15" x14ac:dyDescent="0.35">
      <c r="A646" s="27" t="s">
        <v>930</v>
      </c>
      <c r="B646" s="12">
        <v>45854</v>
      </c>
      <c r="C646" s="11" t="s">
        <v>77</v>
      </c>
      <c r="D646" s="11" t="s">
        <v>13</v>
      </c>
      <c r="E646" s="11">
        <v>-10</v>
      </c>
      <c r="F646" s="11">
        <f t="shared" si="21"/>
        <v>-10</v>
      </c>
      <c r="G646" s="11" t="s">
        <v>19</v>
      </c>
      <c r="H646" s="11" t="s">
        <v>78</v>
      </c>
      <c r="I646" s="11" t="s">
        <v>16</v>
      </c>
      <c r="J646" s="11">
        <v>25</v>
      </c>
      <c r="K646" s="11">
        <v>42</v>
      </c>
      <c r="L646" s="11"/>
      <c r="M646" s="11">
        <f t="shared" si="20"/>
        <v>250</v>
      </c>
      <c r="N646" s="11">
        <f>IF(Table1[[#This Row],[Transaction Type]]="Sale",ABS(E646)*K646,0)</f>
        <v>420</v>
      </c>
      <c r="O646" s="29">
        <f>IF(Table1[[#This Row],[Transaction Type]]="Purchase",E646*J646,0)</f>
        <v>0</v>
      </c>
    </row>
    <row r="647" spans="1:15" x14ac:dyDescent="0.35">
      <c r="A647" s="27" t="s">
        <v>931</v>
      </c>
      <c r="B647" s="12">
        <v>45854</v>
      </c>
      <c r="C647" s="11" t="s">
        <v>194</v>
      </c>
      <c r="D647" s="11" t="s">
        <v>13</v>
      </c>
      <c r="E647" s="11">
        <v>-12</v>
      </c>
      <c r="F647" s="11">
        <f t="shared" si="21"/>
        <v>-12</v>
      </c>
      <c r="G647" s="11" t="s">
        <v>24</v>
      </c>
      <c r="H647" s="11" t="s">
        <v>195</v>
      </c>
      <c r="I647" s="11" t="s">
        <v>21</v>
      </c>
      <c r="J647" s="11">
        <v>220</v>
      </c>
      <c r="K647" s="11">
        <v>320</v>
      </c>
      <c r="L647" s="11"/>
      <c r="M647" s="11">
        <f t="shared" si="20"/>
        <v>2640</v>
      </c>
      <c r="N647" s="11">
        <f>IF(Table1[[#This Row],[Transaction Type]]="Sale",ABS(E647)*K647,0)</f>
        <v>3840</v>
      </c>
      <c r="O647" s="29">
        <f>IF(Table1[[#This Row],[Transaction Type]]="Purchase",E647*J647,0)</f>
        <v>0</v>
      </c>
    </row>
    <row r="648" spans="1:15" x14ac:dyDescent="0.35">
      <c r="A648" s="27" t="s">
        <v>932</v>
      </c>
      <c r="B648" s="12">
        <v>45854</v>
      </c>
      <c r="C648" s="11" t="s">
        <v>170</v>
      </c>
      <c r="D648" s="11" t="s">
        <v>40</v>
      </c>
      <c r="E648" s="11">
        <v>99</v>
      </c>
      <c r="F648" s="11">
        <f t="shared" si="21"/>
        <v>99</v>
      </c>
      <c r="G648" s="11" t="s">
        <v>19</v>
      </c>
      <c r="H648" s="11" t="s">
        <v>171</v>
      </c>
      <c r="I648" s="11" t="s">
        <v>34</v>
      </c>
      <c r="J648" s="11">
        <v>25</v>
      </c>
      <c r="K648" s="11">
        <v>45</v>
      </c>
      <c r="L648" s="11" t="s">
        <v>933</v>
      </c>
      <c r="M648" s="11">
        <f t="shared" si="20"/>
        <v>2475</v>
      </c>
      <c r="N648" s="11">
        <f>IF(Table1[[#This Row],[Transaction Type]]="Sale",ABS(E648)*K648,0)</f>
        <v>0</v>
      </c>
      <c r="O648" s="29">
        <f>IF(Table1[[#This Row],[Transaction Type]]="Purchase",E648*J648,0)</f>
        <v>2475</v>
      </c>
    </row>
    <row r="649" spans="1:15" x14ac:dyDescent="0.35">
      <c r="A649" s="27" t="s">
        <v>934</v>
      </c>
      <c r="B649" s="12">
        <v>45854</v>
      </c>
      <c r="C649" s="11" t="s">
        <v>77</v>
      </c>
      <c r="D649" s="11" t="s">
        <v>40</v>
      </c>
      <c r="E649" s="11">
        <v>43</v>
      </c>
      <c r="F649" s="11">
        <f t="shared" si="21"/>
        <v>43</v>
      </c>
      <c r="G649" s="11" t="s">
        <v>14</v>
      </c>
      <c r="H649" s="11" t="s">
        <v>78</v>
      </c>
      <c r="I649" s="11" t="s">
        <v>16</v>
      </c>
      <c r="J649" s="11">
        <v>25</v>
      </c>
      <c r="K649" s="11">
        <v>42</v>
      </c>
      <c r="L649" s="11" t="s">
        <v>935</v>
      </c>
      <c r="M649" s="11">
        <f t="shared" si="20"/>
        <v>1075</v>
      </c>
      <c r="N649" s="11">
        <f>IF(Table1[[#This Row],[Transaction Type]]="Sale",ABS(E649)*K649,0)</f>
        <v>0</v>
      </c>
      <c r="O649" s="29">
        <f>IF(Table1[[#This Row],[Transaction Type]]="Purchase",E649*J649,0)</f>
        <v>1075</v>
      </c>
    </row>
    <row r="650" spans="1:15" x14ac:dyDescent="0.35">
      <c r="A650" s="27" t="s">
        <v>936</v>
      </c>
      <c r="B650" s="12">
        <v>45855</v>
      </c>
      <c r="C650" s="11" t="s">
        <v>36</v>
      </c>
      <c r="D650" s="11" t="s">
        <v>13</v>
      </c>
      <c r="E650" s="11">
        <v>-4</v>
      </c>
      <c r="F650" s="11">
        <f t="shared" si="21"/>
        <v>-4</v>
      </c>
      <c r="G650" s="11" t="s">
        <v>14</v>
      </c>
      <c r="H650" s="11" t="s">
        <v>37</v>
      </c>
      <c r="I650" s="11" t="s">
        <v>16</v>
      </c>
      <c r="J650" s="11">
        <v>7.2</v>
      </c>
      <c r="K650" s="11">
        <v>12.5</v>
      </c>
      <c r="L650" s="11"/>
      <c r="M650" s="11">
        <f t="shared" si="20"/>
        <v>28.8</v>
      </c>
      <c r="N650" s="11">
        <f>IF(Table1[[#This Row],[Transaction Type]]="Sale",ABS(E650)*K650,0)</f>
        <v>50</v>
      </c>
      <c r="O650" s="29">
        <f>IF(Table1[[#This Row],[Transaction Type]]="Purchase",E650*J650,0)</f>
        <v>0</v>
      </c>
    </row>
    <row r="651" spans="1:15" x14ac:dyDescent="0.35">
      <c r="A651" s="27" t="s">
        <v>937</v>
      </c>
      <c r="B651" s="12">
        <v>45855</v>
      </c>
      <c r="C651" s="11" t="s">
        <v>55</v>
      </c>
      <c r="D651" s="11" t="s">
        <v>13</v>
      </c>
      <c r="E651" s="11">
        <v>-15</v>
      </c>
      <c r="F651" s="11">
        <f t="shared" si="21"/>
        <v>-15</v>
      </c>
      <c r="G651" s="11" t="s">
        <v>14</v>
      </c>
      <c r="H651" s="11" t="s">
        <v>56</v>
      </c>
      <c r="I651" s="11" t="s">
        <v>16</v>
      </c>
      <c r="J651" s="11">
        <v>4.2</v>
      </c>
      <c r="K651" s="11">
        <v>10</v>
      </c>
      <c r="L651" s="11"/>
      <c r="M651" s="11">
        <f t="shared" si="20"/>
        <v>63</v>
      </c>
      <c r="N651" s="11">
        <f>IF(Table1[[#This Row],[Transaction Type]]="Sale",ABS(E651)*K651,0)</f>
        <v>150</v>
      </c>
      <c r="O651" s="29">
        <f>IF(Table1[[#This Row],[Transaction Type]]="Purchase",E651*J651,0)</f>
        <v>0</v>
      </c>
    </row>
    <row r="652" spans="1:15" x14ac:dyDescent="0.35">
      <c r="A652" s="27" t="s">
        <v>938</v>
      </c>
      <c r="B652" s="12">
        <v>45855</v>
      </c>
      <c r="C652" s="11" t="s">
        <v>65</v>
      </c>
      <c r="D652" s="11" t="s">
        <v>40</v>
      </c>
      <c r="E652" s="11">
        <v>34</v>
      </c>
      <c r="F652" s="11">
        <f t="shared" si="21"/>
        <v>34</v>
      </c>
      <c r="G652" s="11" t="s">
        <v>14</v>
      </c>
      <c r="H652" s="11" t="s">
        <v>67</v>
      </c>
      <c r="I652" s="11" t="s">
        <v>21</v>
      </c>
      <c r="J652" s="11">
        <v>11</v>
      </c>
      <c r="K652" s="11">
        <v>22</v>
      </c>
      <c r="L652" s="11" t="s">
        <v>939</v>
      </c>
      <c r="M652" s="11">
        <f t="shared" si="20"/>
        <v>374</v>
      </c>
      <c r="N652" s="11">
        <f>IF(Table1[[#This Row],[Transaction Type]]="Sale",ABS(E652)*K652,0)</f>
        <v>0</v>
      </c>
      <c r="O652" s="29">
        <f>IF(Table1[[#This Row],[Transaction Type]]="Purchase",E652*J652,0)</f>
        <v>374</v>
      </c>
    </row>
    <row r="653" spans="1:15" x14ac:dyDescent="0.35">
      <c r="A653" s="27" t="s">
        <v>940</v>
      </c>
      <c r="B653" s="12">
        <v>45855</v>
      </c>
      <c r="C653" s="11" t="s">
        <v>12</v>
      </c>
      <c r="D653" s="11" t="s">
        <v>40</v>
      </c>
      <c r="E653" s="11">
        <v>55</v>
      </c>
      <c r="F653" s="11">
        <f t="shared" si="21"/>
        <v>55</v>
      </c>
      <c r="G653" s="11" t="s">
        <v>14</v>
      </c>
      <c r="H653" s="11" t="s">
        <v>15</v>
      </c>
      <c r="I653" s="11" t="s">
        <v>16</v>
      </c>
      <c r="J653" s="11">
        <v>13.5</v>
      </c>
      <c r="K653" s="11">
        <v>24</v>
      </c>
      <c r="L653" s="11" t="s">
        <v>941</v>
      </c>
      <c r="M653" s="11">
        <f t="shared" si="20"/>
        <v>742.5</v>
      </c>
      <c r="N653" s="11">
        <f>IF(Table1[[#This Row],[Transaction Type]]="Sale",ABS(E653)*K653,0)</f>
        <v>0</v>
      </c>
      <c r="O653" s="29">
        <f>IF(Table1[[#This Row],[Transaction Type]]="Purchase",E653*J653,0)</f>
        <v>742.5</v>
      </c>
    </row>
    <row r="654" spans="1:15" x14ac:dyDescent="0.35">
      <c r="A654" s="27" t="s">
        <v>942</v>
      </c>
      <c r="B654" s="12">
        <v>45855</v>
      </c>
      <c r="C654" s="11" t="s">
        <v>43</v>
      </c>
      <c r="D654" s="11" t="s">
        <v>40</v>
      </c>
      <c r="E654" s="11">
        <v>63</v>
      </c>
      <c r="F654" s="11">
        <f t="shared" si="21"/>
        <v>63</v>
      </c>
      <c r="G654" s="11" t="s">
        <v>14</v>
      </c>
      <c r="H654" s="11" t="s">
        <v>44</v>
      </c>
      <c r="I654" s="11" t="s">
        <v>45</v>
      </c>
      <c r="J654" s="11">
        <v>5.2</v>
      </c>
      <c r="K654" s="11">
        <v>11</v>
      </c>
      <c r="L654" s="11" t="s">
        <v>943</v>
      </c>
      <c r="M654" s="11">
        <f t="shared" si="20"/>
        <v>327.60000000000002</v>
      </c>
      <c r="N654" s="11">
        <f>IF(Table1[[#This Row],[Transaction Type]]="Sale",ABS(E654)*K654,0)</f>
        <v>0</v>
      </c>
      <c r="O654" s="29">
        <f>IF(Table1[[#This Row],[Transaction Type]]="Purchase",E654*J654,0)</f>
        <v>327.60000000000002</v>
      </c>
    </row>
    <row r="655" spans="1:15" x14ac:dyDescent="0.35">
      <c r="A655" s="27" t="s">
        <v>944</v>
      </c>
      <c r="B655" s="12">
        <v>45855</v>
      </c>
      <c r="C655" s="11" t="s">
        <v>141</v>
      </c>
      <c r="D655" s="11" t="s">
        <v>13</v>
      </c>
      <c r="E655" s="11">
        <v>-6</v>
      </c>
      <c r="F655" s="11">
        <f t="shared" si="21"/>
        <v>-6</v>
      </c>
      <c r="G655" s="11" t="s">
        <v>19</v>
      </c>
      <c r="H655" s="11" t="s">
        <v>25</v>
      </c>
      <c r="I655" s="11" t="s">
        <v>26</v>
      </c>
      <c r="J655" s="11">
        <v>4</v>
      </c>
      <c r="K655" s="11">
        <v>9</v>
      </c>
      <c r="L655" s="11"/>
      <c r="M655" s="11">
        <f t="shared" si="20"/>
        <v>24</v>
      </c>
      <c r="N655" s="11">
        <f>IF(Table1[[#This Row],[Transaction Type]]="Sale",ABS(E655)*K655,0)</f>
        <v>54</v>
      </c>
      <c r="O655" s="29">
        <f>IF(Table1[[#This Row],[Transaction Type]]="Purchase",E655*J655,0)</f>
        <v>0</v>
      </c>
    </row>
    <row r="656" spans="1:15" x14ac:dyDescent="0.35">
      <c r="A656" s="27" t="s">
        <v>945</v>
      </c>
      <c r="B656" s="12">
        <v>45856</v>
      </c>
      <c r="C656" s="11" t="s">
        <v>43</v>
      </c>
      <c r="D656" s="11" t="s">
        <v>13</v>
      </c>
      <c r="E656" s="11">
        <v>-11</v>
      </c>
      <c r="F656" s="11">
        <f t="shared" si="21"/>
        <v>-11</v>
      </c>
      <c r="G656" s="11" t="s">
        <v>19</v>
      </c>
      <c r="H656" s="11" t="s">
        <v>44</v>
      </c>
      <c r="I656" s="11" t="s">
        <v>45</v>
      </c>
      <c r="J656" s="11">
        <v>5.2</v>
      </c>
      <c r="K656" s="11">
        <v>11</v>
      </c>
      <c r="L656" s="11"/>
      <c r="M656" s="11">
        <f t="shared" si="20"/>
        <v>57.2</v>
      </c>
      <c r="N656" s="11">
        <f>IF(Table1[[#This Row],[Transaction Type]]="Sale",ABS(E656)*K656,0)</f>
        <v>121</v>
      </c>
      <c r="O656" s="29">
        <f>IF(Table1[[#This Row],[Transaction Type]]="Purchase",E656*J656,0)</f>
        <v>0</v>
      </c>
    </row>
    <row r="657" spans="1:15" x14ac:dyDescent="0.35">
      <c r="A657" s="27" t="s">
        <v>946</v>
      </c>
      <c r="B657" s="12">
        <v>45856</v>
      </c>
      <c r="C657" s="11" t="s">
        <v>12</v>
      </c>
      <c r="D657" s="11" t="s">
        <v>40</v>
      </c>
      <c r="E657" s="11">
        <v>73</v>
      </c>
      <c r="F657" s="11">
        <f t="shared" si="21"/>
        <v>73</v>
      </c>
      <c r="G657" s="11" t="s">
        <v>24</v>
      </c>
      <c r="H657" s="11" t="s">
        <v>15</v>
      </c>
      <c r="I657" s="11" t="s">
        <v>16</v>
      </c>
      <c r="J657" s="11">
        <v>13.5</v>
      </c>
      <c r="K657" s="11">
        <v>24</v>
      </c>
      <c r="L657" s="11" t="s">
        <v>947</v>
      </c>
      <c r="M657" s="11">
        <f t="shared" si="20"/>
        <v>985.5</v>
      </c>
      <c r="N657" s="11">
        <f>IF(Table1[[#This Row],[Transaction Type]]="Sale",ABS(E657)*K657,0)</f>
        <v>0</v>
      </c>
      <c r="O657" s="29">
        <f>IF(Table1[[#This Row],[Transaction Type]]="Purchase",E657*J657,0)</f>
        <v>985.5</v>
      </c>
    </row>
    <row r="658" spans="1:15" x14ac:dyDescent="0.35">
      <c r="A658" s="27" t="s">
        <v>948</v>
      </c>
      <c r="B658" s="12">
        <v>45856</v>
      </c>
      <c r="C658" s="11" t="s">
        <v>141</v>
      </c>
      <c r="D658" s="11" t="s">
        <v>13</v>
      </c>
      <c r="E658" s="11">
        <v>-6</v>
      </c>
      <c r="F658" s="11">
        <f t="shared" si="21"/>
        <v>-6</v>
      </c>
      <c r="G658" s="11" t="s">
        <v>19</v>
      </c>
      <c r="H658" s="11" t="s">
        <v>25</v>
      </c>
      <c r="I658" s="11" t="s">
        <v>26</v>
      </c>
      <c r="J658" s="11">
        <v>4</v>
      </c>
      <c r="K658" s="11">
        <v>9</v>
      </c>
      <c r="L658" s="11"/>
      <c r="M658" s="11">
        <f t="shared" si="20"/>
        <v>24</v>
      </c>
      <c r="N658" s="11">
        <f>IF(Table1[[#This Row],[Transaction Type]]="Sale",ABS(E658)*K658,0)</f>
        <v>54</v>
      </c>
      <c r="O658" s="29">
        <f>IF(Table1[[#This Row],[Transaction Type]]="Purchase",E658*J658,0)</f>
        <v>0</v>
      </c>
    </row>
    <row r="659" spans="1:15" x14ac:dyDescent="0.35">
      <c r="A659" s="27" t="s">
        <v>949</v>
      </c>
      <c r="B659" s="12">
        <v>45856</v>
      </c>
      <c r="C659" s="11" t="s">
        <v>81</v>
      </c>
      <c r="D659" s="11" t="s">
        <v>13</v>
      </c>
      <c r="E659" s="11">
        <v>-8</v>
      </c>
      <c r="F659" s="11">
        <f t="shared" si="21"/>
        <v>-8</v>
      </c>
      <c r="G659" s="11" t="s">
        <v>14</v>
      </c>
      <c r="H659" s="11" t="s">
        <v>30</v>
      </c>
      <c r="I659" s="11" t="s">
        <v>16</v>
      </c>
      <c r="J659" s="11">
        <v>8</v>
      </c>
      <c r="K659" s="11">
        <v>15</v>
      </c>
      <c r="L659" s="11"/>
      <c r="M659" s="11">
        <f t="shared" si="20"/>
        <v>64</v>
      </c>
      <c r="N659" s="11">
        <f>IF(Table1[[#This Row],[Transaction Type]]="Sale",ABS(E659)*K659,0)</f>
        <v>120</v>
      </c>
      <c r="O659" s="29">
        <f>IF(Table1[[#This Row],[Transaction Type]]="Purchase",E659*J659,0)</f>
        <v>0</v>
      </c>
    </row>
    <row r="660" spans="1:15" x14ac:dyDescent="0.35">
      <c r="A660" s="27" t="s">
        <v>950</v>
      </c>
      <c r="B660" s="12">
        <v>45856</v>
      </c>
      <c r="C660" s="11" t="s">
        <v>83</v>
      </c>
      <c r="D660" s="11" t="s">
        <v>40</v>
      </c>
      <c r="E660" s="11">
        <v>54</v>
      </c>
      <c r="F660" s="11">
        <f t="shared" si="21"/>
        <v>54</v>
      </c>
      <c r="G660" s="11" t="s">
        <v>14</v>
      </c>
      <c r="H660" s="11" t="s">
        <v>84</v>
      </c>
      <c r="I660" s="11" t="s">
        <v>45</v>
      </c>
      <c r="J660" s="11">
        <v>130</v>
      </c>
      <c r="K660" s="11">
        <v>185</v>
      </c>
      <c r="L660" s="11" t="s">
        <v>951</v>
      </c>
      <c r="M660" s="11">
        <f t="shared" si="20"/>
        <v>7020</v>
      </c>
      <c r="N660" s="11">
        <f>IF(Table1[[#This Row],[Transaction Type]]="Sale",ABS(E660)*K660,0)</f>
        <v>0</v>
      </c>
      <c r="O660" s="29">
        <f>IF(Table1[[#This Row],[Transaction Type]]="Purchase",E660*J660,0)</f>
        <v>7020</v>
      </c>
    </row>
    <row r="661" spans="1:15" x14ac:dyDescent="0.35">
      <c r="A661" s="27" t="s">
        <v>952</v>
      </c>
      <c r="B661" s="12">
        <v>45857</v>
      </c>
      <c r="C661" s="11" t="s">
        <v>109</v>
      </c>
      <c r="D661" s="11" t="s">
        <v>40</v>
      </c>
      <c r="E661" s="11">
        <v>42</v>
      </c>
      <c r="F661" s="11">
        <f t="shared" si="21"/>
        <v>42</v>
      </c>
      <c r="G661" s="11" t="s">
        <v>24</v>
      </c>
      <c r="H661" s="11" t="s">
        <v>110</v>
      </c>
      <c r="I661" s="11" t="s">
        <v>26</v>
      </c>
      <c r="J661" s="11">
        <v>105</v>
      </c>
      <c r="K661" s="11">
        <v>165</v>
      </c>
      <c r="L661" s="11" t="s">
        <v>953</v>
      </c>
      <c r="M661" s="11">
        <f t="shared" si="20"/>
        <v>4410</v>
      </c>
      <c r="N661" s="11">
        <f>IF(Table1[[#This Row],[Transaction Type]]="Sale",ABS(E661)*K661,0)</f>
        <v>0</v>
      </c>
      <c r="O661" s="29">
        <f>IF(Table1[[#This Row],[Transaction Type]]="Purchase",E661*J661,0)</f>
        <v>4410</v>
      </c>
    </row>
    <row r="662" spans="1:15" x14ac:dyDescent="0.35">
      <c r="A662" s="27" t="s">
        <v>954</v>
      </c>
      <c r="B662" s="12">
        <v>45857</v>
      </c>
      <c r="C662" s="11" t="s">
        <v>23</v>
      </c>
      <c r="D662" s="11" t="s">
        <v>40</v>
      </c>
      <c r="E662" s="11">
        <v>83</v>
      </c>
      <c r="F662" s="11">
        <f t="shared" si="21"/>
        <v>83</v>
      </c>
      <c r="G662" s="11" t="s">
        <v>14</v>
      </c>
      <c r="H662" s="11" t="s">
        <v>25</v>
      </c>
      <c r="I662" s="11" t="s">
        <v>26</v>
      </c>
      <c r="J662" s="11">
        <v>3</v>
      </c>
      <c r="K662" s="11">
        <v>7</v>
      </c>
      <c r="L662" s="11" t="s">
        <v>955</v>
      </c>
      <c r="M662" s="11">
        <f t="shared" si="20"/>
        <v>249</v>
      </c>
      <c r="N662" s="11">
        <f>IF(Table1[[#This Row],[Transaction Type]]="Sale",ABS(E662)*K662,0)</f>
        <v>0</v>
      </c>
      <c r="O662" s="29">
        <f>IF(Table1[[#This Row],[Transaction Type]]="Purchase",E662*J662,0)</f>
        <v>249</v>
      </c>
    </row>
    <row r="663" spans="1:15" x14ac:dyDescent="0.35">
      <c r="A663" s="27" t="s">
        <v>956</v>
      </c>
      <c r="B663" s="12">
        <v>45857</v>
      </c>
      <c r="C663" s="11" t="s">
        <v>60</v>
      </c>
      <c r="D663" s="11" t="s">
        <v>13</v>
      </c>
      <c r="E663" s="11">
        <v>-10</v>
      </c>
      <c r="F663" s="11">
        <f t="shared" si="21"/>
        <v>-10</v>
      </c>
      <c r="G663" s="11" t="s">
        <v>14</v>
      </c>
      <c r="H663" s="11" t="s">
        <v>61</v>
      </c>
      <c r="I663" s="11" t="s">
        <v>62</v>
      </c>
      <c r="J663" s="11">
        <v>3.4</v>
      </c>
      <c r="K663" s="11">
        <v>8</v>
      </c>
      <c r="L663" s="11"/>
      <c r="M663" s="11">
        <f t="shared" si="20"/>
        <v>34</v>
      </c>
      <c r="N663" s="11">
        <f>IF(Table1[[#This Row],[Transaction Type]]="Sale",ABS(E663)*K663,0)</f>
        <v>80</v>
      </c>
      <c r="O663" s="29">
        <f>IF(Table1[[#This Row],[Transaction Type]]="Purchase",E663*J663,0)</f>
        <v>0</v>
      </c>
    </row>
    <row r="664" spans="1:15" x14ac:dyDescent="0.35">
      <c r="A664" s="27" t="s">
        <v>957</v>
      </c>
      <c r="B664" s="12">
        <v>45857</v>
      </c>
      <c r="C664" s="11" t="s">
        <v>29</v>
      </c>
      <c r="D664" s="11" t="s">
        <v>13</v>
      </c>
      <c r="E664" s="11">
        <v>-3</v>
      </c>
      <c r="F664" s="11">
        <f t="shared" si="21"/>
        <v>-3</v>
      </c>
      <c r="G664" s="11" t="s">
        <v>24</v>
      </c>
      <c r="H664" s="11" t="s">
        <v>30</v>
      </c>
      <c r="I664" s="11" t="s">
        <v>16</v>
      </c>
      <c r="J664" s="11">
        <v>8.8000000000000007</v>
      </c>
      <c r="K664" s="11">
        <v>17</v>
      </c>
      <c r="L664" s="11"/>
      <c r="M664" s="11">
        <f t="shared" si="20"/>
        <v>26.400000000000002</v>
      </c>
      <c r="N664" s="11">
        <f>IF(Table1[[#This Row],[Transaction Type]]="Sale",ABS(E664)*K664,0)</f>
        <v>51</v>
      </c>
      <c r="O664" s="29">
        <f>IF(Table1[[#This Row],[Transaction Type]]="Purchase",E664*J664,0)</f>
        <v>0</v>
      </c>
    </row>
    <row r="665" spans="1:15" x14ac:dyDescent="0.35">
      <c r="A665" s="27" t="s">
        <v>958</v>
      </c>
      <c r="B665" s="12">
        <v>45857</v>
      </c>
      <c r="C665" s="11" t="s">
        <v>32</v>
      </c>
      <c r="D665" s="11" t="s">
        <v>13</v>
      </c>
      <c r="E665" s="11">
        <v>-14</v>
      </c>
      <c r="F665" s="11">
        <f t="shared" si="21"/>
        <v>-14</v>
      </c>
      <c r="G665" s="11" t="s">
        <v>19</v>
      </c>
      <c r="H665" s="11" t="s">
        <v>33</v>
      </c>
      <c r="I665" s="11" t="s">
        <v>34</v>
      </c>
      <c r="J665" s="11">
        <v>20</v>
      </c>
      <c r="K665" s="11">
        <v>35</v>
      </c>
      <c r="L665" s="11"/>
      <c r="M665" s="11">
        <f t="shared" si="20"/>
        <v>280</v>
      </c>
      <c r="N665" s="11">
        <f>IF(Table1[[#This Row],[Transaction Type]]="Sale",ABS(E665)*K665,0)</f>
        <v>490</v>
      </c>
      <c r="O665" s="29">
        <f>IF(Table1[[#This Row],[Transaction Type]]="Purchase",E665*J665,0)</f>
        <v>0</v>
      </c>
    </row>
    <row r="666" spans="1:15" x14ac:dyDescent="0.35">
      <c r="A666" s="27" t="s">
        <v>959</v>
      </c>
      <c r="B666" s="12">
        <v>45858</v>
      </c>
      <c r="C666" s="11" t="s">
        <v>87</v>
      </c>
      <c r="D666" s="11" t="s">
        <v>13</v>
      </c>
      <c r="E666" s="11">
        <v>-13</v>
      </c>
      <c r="F666" s="11">
        <f t="shared" si="21"/>
        <v>-13</v>
      </c>
      <c r="G666" s="11" t="s">
        <v>14</v>
      </c>
      <c r="H666" s="11" t="s">
        <v>88</v>
      </c>
      <c r="I666" s="11" t="s">
        <v>16</v>
      </c>
      <c r="J666" s="11">
        <v>6</v>
      </c>
      <c r="K666" s="11">
        <v>14</v>
      </c>
      <c r="L666" s="11"/>
      <c r="M666" s="11">
        <f t="shared" si="20"/>
        <v>78</v>
      </c>
      <c r="N666" s="11">
        <f>IF(Table1[[#This Row],[Transaction Type]]="Sale",ABS(E666)*K666,0)</f>
        <v>182</v>
      </c>
      <c r="O666" s="29">
        <f>IF(Table1[[#This Row],[Transaction Type]]="Purchase",E666*J666,0)</f>
        <v>0</v>
      </c>
    </row>
    <row r="667" spans="1:15" x14ac:dyDescent="0.35">
      <c r="A667" s="27" t="s">
        <v>960</v>
      </c>
      <c r="B667" s="12">
        <v>45859</v>
      </c>
      <c r="C667" s="11" t="s">
        <v>23</v>
      </c>
      <c r="D667" s="11" t="s">
        <v>40</v>
      </c>
      <c r="E667" s="11">
        <v>44</v>
      </c>
      <c r="F667" s="11">
        <f t="shared" si="21"/>
        <v>44</v>
      </c>
      <c r="G667" s="11" t="s">
        <v>24</v>
      </c>
      <c r="H667" s="11" t="s">
        <v>25</v>
      </c>
      <c r="I667" s="11" t="s">
        <v>26</v>
      </c>
      <c r="J667" s="11">
        <v>3</v>
      </c>
      <c r="K667" s="11">
        <v>7</v>
      </c>
      <c r="L667" s="11" t="s">
        <v>961</v>
      </c>
      <c r="M667" s="11">
        <f t="shared" si="20"/>
        <v>132</v>
      </c>
      <c r="N667" s="11">
        <f>IF(Table1[[#This Row],[Transaction Type]]="Sale",ABS(E667)*K667,0)</f>
        <v>0</v>
      </c>
      <c r="O667" s="29">
        <f>IF(Table1[[#This Row],[Transaction Type]]="Purchase",E667*J667,0)</f>
        <v>132</v>
      </c>
    </row>
    <row r="668" spans="1:15" x14ac:dyDescent="0.35">
      <c r="A668" s="27" t="s">
        <v>962</v>
      </c>
      <c r="B668" s="12">
        <v>45860</v>
      </c>
      <c r="C668" s="11" t="s">
        <v>185</v>
      </c>
      <c r="D668" s="11" t="s">
        <v>13</v>
      </c>
      <c r="E668" s="11">
        <v>-15</v>
      </c>
      <c r="F668" s="11">
        <f t="shared" si="21"/>
        <v>-15</v>
      </c>
      <c r="G668" s="11" t="s">
        <v>24</v>
      </c>
      <c r="H668" s="11" t="s">
        <v>44</v>
      </c>
      <c r="I668" s="11" t="s">
        <v>45</v>
      </c>
      <c r="J668" s="11">
        <v>63</v>
      </c>
      <c r="K668" s="11">
        <v>95</v>
      </c>
      <c r="L668" s="11"/>
      <c r="M668" s="11">
        <f t="shared" si="20"/>
        <v>945</v>
      </c>
      <c r="N668" s="11">
        <f>IF(Table1[[#This Row],[Transaction Type]]="Sale",ABS(E668)*K668,0)</f>
        <v>1425</v>
      </c>
      <c r="O668" s="29">
        <f>IF(Table1[[#This Row],[Transaction Type]]="Purchase",E668*J668,0)</f>
        <v>0</v>
      </c>
    </row>
    <row r="669" spans="1:15" x14ac:dyDescent="0.35">
      <c r="A669" s="27" t="s">
        <v>963</v>
      </c>
      <c r="B669" s="12">
        <v>45861</v>
      </c>
      <c r="C669" s="11" t="s">
        <v>141</v>
      </c>
      <c r="D669" s="11" t="s">
        <v>13</v>
      </c>
      <c r="E669" s="11">
        <v>-11</v>
      </c>
      <c r="F669" s="11">
        <f t="shared" si="21"/>
        <v>-11</v>
      </c>
      <c r="G669" s="11" t="s">
        <v>14</v>
      </c>
      <c r="H669" s="11" t="s">
        <v>25</v>
      </c>
      <c r="I669" s="11" t="s">
        <v>26</v>
      </c>
      <c r="J669" s="11">
        <v>4</v>
      </c>
      <c r="K669" s="11">
        <v>9</v>
      </c>
      <c r="L669" s="11"/>
      <c r="M669" s="11">
        <f t="shared" si="20"/>
        <v>44</v>
      </c>
      <c r="N669" s="11">
        <f>IF(Table1[[#This Row],[Transaction Type]]="Sale",ABS(E669)*K669,0)</f>
        <v>99</v>
      </c>
      <c r="O669" s="29">
        <f>IF(Table1[[#This Row],[Transaction Type]]="Purchase",E669*J669,0)</f>
        <v>0</v>
      </c>
    </row>
    <row r="670" spans="1:15" x14ac:dyDescent="0.35">
      <c r="A670" s="27" t="s">
        <v>964</v>
      </c>
      <c r="B670" s="12">
        <v>45861</v>
      </c>
      <c r="C670" s="11" t="s">
        <v>94</v>
      </c>
      <c r="D670" s="11" t="s">
        <v>58</v>
      </c>
      <c r="E670" s="11">
        <v>-20</v>
      </c>
      <c r="F670" s="11">
        <f t="shared" si="21"/>
        <v>-20</v>
      </c>
      <c r="G670" s="11" t="s">
        <v>14</v>
      </c>
      <c r="H670" s="11" t="s">
        <v>95</v>
      </c>
      <c r="I670" s="11" t="s">
        <v>16</v>
      </c>
      <c r="J670" s="11">
        <v>18.5</v>
      </c>
      <c r="K670" s="11">
        <v>31</v>
      </c>
      <c r="L670" s="11"/>
      <c r="M670" s="11">
        <f t="shared" si="20"/>
        <v>370</v>
      </c>
      <c r="N670" s="11">
        <f>IF(Table1[[#This Row],[Transaction Type]]="Sale",ABS(E670)*K670,0)</f>
        <v>0</v>
      </c>
      <c r="O670" s="29">
        <f>IF(Table1[[#This Row],[Transaction Type]]="Purchase",E670*J670,0)</f>
        <v>0</v>
      </c>
    </row>
    <row r="671" spans="1:15" x14ac:dyDescent="0.35">
      <c r="A671" s="27" t="s">
        <v>965</v>
      </c>
      <c r="B671" s="12">
        <v>45861</v>
      </c>
      <c r="C671" s="11" t="s">
        <v>29</v>
      </c>
      <c r="D671" s="11" t="s">
        <v>13</v>
      </c>
      <c r="E671" s="11">
        <v>-13</v>
      </c>
      <c r="F671" s="11">
        <f t="shared" si="21"/>
        <v>-13</v>
      </c>
      <c r="G671" s="11" t="s">
        <v>24</v>
      </c>
      <c r="H671" s="11" t="s">
        <v>30</v>
      </c>
      <c r="I671" s="11" t="s">
        <v>16</v>
      </c>
      <c r="J671" s="11">
        <v>8.8000000000000007</v>
      </c>
      <c r="K671" s="11">
        <v>17</v>
      </c>
      <c r="L671" s="11"/>
      <c r="M671" s="11">
        <f t="shared" si="20"/>
        <v>114.4</v>
      </c>
      <c r="N671" s="11">
        <f>IF(Table1[[#This Row],[Transaction Type]]="Sale",ABS(E671)*K671,0)</f>
        <v>221</v>
      </c>
      <c r="O671" s="29">
        <f>IF(Table1[[#This Row],[Transaction Type]]="Purchase",E671*J671,0)</f>
        <v>0</v>
      </c>
    </row>
    <row r="672" spans="1:15" x14ac:dyDescent="0.35">
      <c r="A672" s="27" t="s">
        <v>966</v>
      </c>
      <c r="B672" s="12">
        <v>45861</v>
      </c>
      <c r="C672" s="11" t="s">
        <v>87</v>
      </c>
      <c r="D672" s="11" t="s">
        <v>58</v>
      </c>
      <c r="E672" s="11">
        <v>7</v>
      </c>
      <c r="F672" s="11">
        <f t="shared" si="21"/>
        <v>7</v>
      </c>
      <c r="G672" s="11" t="s">
        <v>14</v>
      </c>
      <c r="H672" s="11" t="s">
        <v>88</v>
      </c>
      <c r="I672" s="11" t="s">
        <v>16</v>
      </c>
      <c r="J672" s="11">
        <v>6</v>
      </c>
      <c r="K672" s="11">
        <v>14</v>
      </c>
      <c r="L672" s="11"/>
      <c r="M672" s="11">
        <f t="shared" si="20"/>
        <v>42</v>
      </c>
      <c r="N672" s="11">
        <f>IF(Table1[[#This Row],[Transaction Type]]="Sale",ABS(E672)*K672,0)</f>
        <v>0</v>
      </c>
      <c r="O672" s="29">
        <f>IF(Table1[[#This Row],[Transaction Type]]="Purchase",E672*J672,0)</f>
        <v>0</v>
      </c>
    </row>
    <row r="673" spans="1:15" x14ac:dyDescent="0.35">
      <c r="A673" s="27" t="s">
        <v>967</v>
      </c>
      <c r="B673" s="12">
        <v>45861</v>
      </c>
      <c r="C673" s="11" t="s">
        <v>12</v>
      </c>
      <c r="D673" s="11" t="s">
        <v>13</v>
      </c>
      <c r="E673" s="11">
        <v>-2</v>
      </c>
      <c r="F673" s="11">
        <f t="shared" si="21"/>
        <v>-2</v>
      </c>
      <c r="G673" s="11" t="s">
        <v>14</v>
      </c>
      <c r="H673" s="11" t="s">
        <v>15</v>
      </c>
      <c r="I673" s="11" t="s">
        <v>16</v>
      </c>
      <c r="J673" s="11">
        <v>13.5</v>
      </c>
      <c r="K673" s="11">
        <v>24</v>
      </c>
      <c r="L673" s="11"/>
      <c r="M673" s="11">
        <f t="shared" si="20"/>
        <v>27</v>
      </c>
      <c r="N673" s="11">
        <f>IF(Table1[[#This Row],[Transaction Type]]="Sale",ABS(E673)*K673,0)</f>
        <v>48</v>
      </c>
      <c r="O673" s="29">
        <f>IF(Table1[[#This Row],[Transaction Type]]="Purchase",E673*J673,0)</f>
        <v>0</v>
      </c>
    </row>
    <row r="674" spans="1:15" x14ac:dyDescent="0.35">
      <c r="A674" s="27" t="s">
        <v>968</v>
      </c>
      <c r="B674" s="12">
        <v>45861</v>
      </c>
      <c r="C674" s="11" t="s">
        <v>65</v>
      </c>
      <c r="D674" s="11" t="s">
        <v>13</v>
      </c>
      <c r="E674" s="11">
        <v>-2</v>
      </c>
      <c r="F674" s="11">
        <f t="shared" si="21"/>
        <v>-2</v>
      </c>
      <c r="G674" s="11" t="s">
        <v>14</v>
      </c>
      <c r="H674" s="11" t="s">
        <v>969</v>
      </c>
      <c r="I674" s="11" t="s">
        <v>21</v>
      </c>
      <c r="J674" s="11">
        <v>11</v>
      </c>
      <c r="K674" s="11">
        <v>22</v>
      </c>
      <c r="L674" s="11"/>
      <c r="M674" s="11">
        <f t="shared" si="20"/>
        <v>22</v>
      </c>
      <c r="N674" s="11">
        <f>IF(Table1[[#This Row],[Transaction Type]]="Sale",ABS(E674)*K674,0)</f>
        <v>44</v>
      </c>
      <c r="O674" s="29">
        <f>IF(Table1[[#This Row],[Transaction Type]]="Purchase",E674*J674,0)</f>
        <v>0</v>
      </c>
    </row>
    <row r="675" spans="1:15" x14ac:dyDescent="0.35">
      <c r="A675" s="27" t="s">
        <v>970</v>
      </c>
      <c r="B675" s="12">
        <v>45862</v>
      </c>
      <c r="C675" s="11" t="s">
        <v>94</v>
      </c>
      <c r="D675" s="11" t="s">
        <v>13</v>
      </c>
      <c r="E675" s="11">
        <v>-9</v>
      </c>
      <c r="F675" s="11">
        <f t="shared" si="21"/>
        <v>-9</v>
      </c>
      <c r="G675" s="11" t="s">
        <v>19</v>
      </c>
      <c r="H675" s="11" t="s">
        <v>95</v>
      </c>
      <c r="I675" s="11" t="s">
        <v>16</v>
      </c>
      <c r="J675" s="11">
        <v>18.5</v>
      </c>
      <c r="K675" s="11">
        <v>31</v>
      </c>
      <c r="L675" s="11"/>
      <c r="M675" s="11">
        <f t="shared" si="20"/>
        <v>166.5</v>
      </c>
      <c r="N675" s="11">
        <f>IF(Table1[[#This Row],[Transaction Type]]="Sale",ABS(E675)*K675,0)</f>
        <v>279</v>
      </c>
      <c r="O675" s="29">
        <f>IF(Table1[[#This Row],[Transaction Type]]="Purchase",E675*J675,0)</f>
        <v>0</v>
      </c>
    </row>
    <row r="676" spans="1:15" x14ac:dyDescent="0.35">
      <c r="A676" s="27" t="s">
        <v>971</v>
      </c>
      <c r="B676" s="12">
        <v>45862</v>
      </c>
      <c r="C676" s="11" t="s">
        <v>43</v>
      </c>
      <c r="D676" s="11" t="s">
        <v>13</v>
      </c>
      <c r="E676" s="11">
        <v>-7</v>
      </c>
      <c r="F676" s="11">
        <f t="shared" si="21"/>
        <v>-7</v>
      </c>
      <c r="G676" s="11" t="s">
        <v>14</v>
      </c>
      <c r="H676" s="11" t="s">
        <v>44</v>
      </c>
      <c r="I676" s="11" t="s">
        <v>45</v>
      </c>
      <c r="J676" s="11">
        <v>5.2</v>
      </c>
      <c r="K676" s="11">
        <v>11</v>
      </c>
      <c r="L676" s="11"/>
      <c r="M676" s="11">
        <f t="shared" si="20"/>
        <v>36.4</v>
      </c>
      <c r="N676" s="11">
        <f>IF(Table1[[#This Row],[Transaction Type]]="Sale",ABS(E676)*K676,0)</f>
        <v>77</v>
      </c>
      <c r="O676" s="29">
        <f>IF(Table1[[#This Row],[Transaction Type]]="Purchase",E676*J676,0)</f>
        <v>0</v>
      </c>
    </row>
    <row r="677" spans="1:15" x14ac:dyDescent="0.35">
      <c r="A677" s="27" t="s">
        <v>972</v>
      </c>
      <c r="B677" s="12">
        <v>45862</v>
      </c>
      <c r="C677" s="11" t="s">
        <v>65</v>
      </c>
      <c r="D677" s="11" t="s">
        <v>13</v>
      </c>
      <c r="E677" s="11">
        <v>-15</v>
      </c>
      <c r="F677" s="11">
        <f t="shared" si="21"/>
        <v>-15</v>
      </c>
      <c r="G677" s="11" t="s">
        <v>24</v>
      </c>
      <c r="H677" s="11" t="s">
        <v>67</v>
      </c>
      <c r="I677" s="11" t="s">
        <v>21</v>
      </c>
      <c r="J677" s="11">
        <v>11</v>
      </c>
      <c r="K677" s="11">
        <v>22</v>
      </c>
      <c r="L677" s="11"/>
      <c r="M677" s="11">
        <f t="shared" si="20"/>
        <v>165</v>
      </c>
      <c r="N677" s="11">
        <f>IF(Table1[[#This Row],[Transaction Type]]="Sale",ABS(E677)*K677,0)</f>
        <v>330</v>
      </c>
      <c r="O677" s="29">
        <f>IF(Table1[[#This Row],[Transaction Type]]="Purchase",E677*J677,0)</f>
        <v>0</v>
      </c>
    </row>
    <row r="678" spans="1:15" x14ac:dyDescent="0.35">
      <c r="A678" s="27" t="s">
        <v>973</v>
      </c>
      <c r="B678" s="12">
        <v>45862</v>
      </c>
      <c r="C678" s="11" t="s">
        <v>23</v>
      </c>
      <c r="D678" s="11" t="s">
        <v>40</v>
      </c>
      <c r="E678" s="11">
        <v>101</v>
      </c>
      <c r="F678" s="11">
        <f t="shared" si="21"/>
        <v>101</v>
      </c>
      <c r="G678" s="11" t="s">
        <v>14</v>
      </c>
      <c r="H678" s="11" t="s">
        <v>25</v>
      </c>
      <c r="I678" s="11" t="s">
        <v>26</v>
      </c>
      <c r="J678" s="11">
        <v>3</v>
      </c>
      <c r="K678" s="11">
        <v>7</v>
      </c>
      <c r="L678" s="11" t="s">
        <v>974</v>
      </c>
      <c r="M678" s="11">
        <f t="shared" si="20"/>
        <v>303</v>
      </c>
      <c r="N678" s="11">
        <f>IF(Table1[[#This Row],[Transaction Type]]="Sale",ABS(E678)*K678,0)</f>
        <v>0</v>
      </c>
      <c r="O678" s="29">
        <f>IF(Table1[[#This Row],[Transaction Type]]="Purchase",E678*J678,0)</f>
        <v>303</v>
      </c>
    </row>
    <row r="679" spans="1:15" x14ac:dyDescent="0.35">
      <c r="A679" s="27" t="s">
        <v>975</v>
      </c>
      <c r="B679" s="12">
        <v>45863</v>
      </c>
      <c r="C679" s="11" t="s">
        <v>18</v>
      </c>
      <c r="D679" s="11" t="s">
        <v>13</v>
      </c>
      <c r="E679" s="11">
        <v>-14</v>
      </c>
      <c r="F679" s="11">
        <f t="shared" si="21"/>
        <v>-14</v>
      </c>
      <c r="G679" s="11" t="s">
        <v>14</v>
      </c>
      <c r="H679" s="11" t="s">
        <v>20</v>
      </c>
      <c r="I679" s="11" t="s">
        <v>21</v>
      </c>
      <c r="J679" s="11">
        <v>2.6</v>
      </c>
      <c r="K679" s="11">
        <v>5.5</v>
      </c>
      <c r="L679" s="11"/>
      <c r="M679" s="11">
        <f t="shared" si="20"/>
        <v>36.4</v>
      </c>
      <c r="N679" s="11">
        <f>IF(Table1[[#This Row],[Transaction Type]]="Sale",ABS(E679)*K679,0)</f>
        <v>77</v>
      </c>
      <c r="O679" s="29">
        <f>IF(Table1[[#This Row],[Transaction Type]]="Purchase",E679*J679,0)</f>
        <v>0</v>
      </c>
    </row>
    <row r="680" spans="1:15" x14ac:dyDescent="0.35">
      <c r="A680" s="27" t="s">
        <v>976</v>
      </c>
      <c r="B680" s="12">
        <v>45863</v>
      </c>
      <c r="C680" s="11" t="s">
        <v>87</v>
      </c>
      <c r="D680" s="11" t="s">
        <v>40</v>
      </c>
      <c r="E680" s="11">
        <v>118</v>
      </c>
      <c r="F680" s="11">
        <f t="shared" si="21"/>
        <v>118</v>
      </c>
      <c r="G680" s="11" t="s">
        <v>14</v>
      </c>
      <c r="H680" s="11" t="s">
        <v>88</v>
      </c>
      <c r="I680" s="11" t="s">
        <v>16</v>
      </c>
      <c r="J680" s="11">
        <v>6</v>
      </c>
      <c r="K680" s="11">
        <v>14</v>
      </c>
      <c r="L680" s="11" t="s">
        <v>977</v>
      </c>
      <c r="M680" s="11">
        <f t="shared" si="20"/>
        <v>708</v>
      </c>
      <c r="N680" s="11">
        <f>IF(Table1[[#This Row],[Transaction Type]]="Sale",ABS(E680)*K680,0)</f>
        <v>0</v>
      </c>
      <c r="O680" s="29">
        <f>IF(Table1[[#This Row],[Transaction Type]]="Purchase",E680*J680,0)</f>
        <v>708</v>
      </c>
    </row>
    <row r="681" spans="1:15" x14ac:dyDescent="0.35">
      <c r="A681" s="27" t="s">
        <v>978</v>
      </c>
      <c r="B681" s="12">
        <v>45863</v>
      </c>
      <c r="C681" s="11" t="s">
        <v>73</v>
      </c>
      <c r="D681" s="11" t="s">
        <v>13</v>
      </c>
      <c r="E681" s="11">
        <v>-5</v>
      </c>
      <c r="F681" s="11">
        <f t="shared" si="21"/>
        <v>-5</v>
      </c>
      <c r="G681" s="11" t="s">
        <v>19</v>
      </c>
      <c r="H681" s="11" t="s">
        <v>74</v>
      </c>
      <c r="I681" s="11" t="s">
        <v>75</v>
      </c>
      <c r="J681" s="11">
        <v>30</v>
      </c>
      <c r="K681" s="11">
        <v>48</v>
      </c>
      <c r="L681" s="11"/>
      <c r="M681" s="11">
        <f t="shared" si="20"/>
        <v>150</v>
      </c>
      <c r="N681" s="11">
        <f>IF(Table1[[#This Row],[Transaction Type]]="Sale",ABS(E681)*K681,0)</f>
        <v>240</v>
      </c>
      <c r="O681" s="29">
        <f>IF(Table1[[#This Row],[Transaction Type]]="Purchase",E681*J681,0)</f>
        <v>0</v>
      </c>
    </row>
    <row r="682" spans="1:15" x14ac:dyDescent="0.35">
      <c r="A682" s="27" t="s">
        <v>979</v>
      </c>
      <c r="B682" s="12">
        <v>45864</v>
      </c>
      <c r="C682" s="11" t="s">
        <v>18</v>
      </c>
      <c r="D682" s="11" t="s">
        <v>13</v>
      </c>
      <c r="E682" s="11">
        <v>-14</v>
      </c>
      <c r="F682" s="11">
        <f t="shared" si="21"/>
        <v>-14</v>
      </c>
      <c r="G682" s="11" t="s">
        <v>14</v>
      </c>
      <c r="H682" s="11" t="s">
        <v>20</v>
      </c>
      <c r="I682" s="11" t="s">
        <v>21</v>
      </c>
      <c r="J682" s="11">
        <v>2.6</v>
      </c>
      <c r="K682" s="11">
        <v>5.5</v>
      </c>
      <c r="L682" s="11"/>
      <c r="M682" s="11">
        <f t="shared" si="20"/>
        <v>36.4</v>
      </c>
      <c r="N682" s="11">
        <f>IF(Table1[[#This Row],[Transaction Type]]="Sale",ABS(E682)*K682,0)</f>
        <v>77</v>
      </c>
      <c r="O682" s="29">
        <f>IF(Table1[[#This Row],[Transaction Type]]="Purchase",E682*J682,0)</f>
        <v>0</v>
      </c>
    </row>
    <row r="683" spans="1:15" x14ac:dyDescent="0.35">
      <c r="A683" s="27" t="s">
        <v>980</v>
      </c>
      <c r="B683" s="12">
        <v>45864</v>
      </c>
      <c r="C683" s="11" t="s">
        <v>109</v>
      </c>
      <c r="D683" s="11" t="s">
        <v>13</v>
      </c>
      <c r="E683" s="11">
        <v>-15</v>
      </c>
      <c r="F683" s="11">
        <f t="shared" si="21"/>
        <v>-15</v>
      </c>
      <c r="G683" s="11" t="s">
        <v>24</v>
      </c>
      <c r="H683" s="11" t="s">
        <v>110</v>
      </c>
      <c r="I683" s="11" t="s">
        <v>26</v>
      </c>
      <c r="J683" s="11">
        <v>105</v>
      </c>
      <c r="K683" s="11">
        <v>165</v>
      </c>
      <c r="L683" s="11"/>
      <c r="M683" s="11">
        <f t="shared" si="20"/>
        <v>1575</v>
      </c>
      <c r="N683" s="11">
        <f>IF(Table1[[#This Row],[Transaction Type]]="Sale",ABS(E683)*K683,0)</f>
        <v>2475</v>
      </c>
      <c r="O683" s="29">
        <f>IF(Table1[[#This Row],[Transaction Type]]="Purchase",E683*J683,0)</f>
        <v>0</v>
      </c>
    </row>
    <row r="684" spans="1:15" x14ac:dyDescent="0.35">
      <c r="A684" s="27" t="s">
        <v>981</v>
      </c>
      <c r="B684" s="12">
        <v>45864</v>
      </c>
      <c r="C684" s="11" t="s">
        <v>32</v>
      </c>
      <c r="D684" s="11" t="s">
        <v>40</v>
      </c>
      <c r="E684" s="11">
        <v>60</v>
      </c>
      <c r="F684" s="11">
        <f t="shared" si="21"/>
        <v>60</v>
      </c>
      <c r="G684" s="11" t="s">
        <v>14</v>
      </c>
      <c r="H684" s="11" t="s">
        <v>33</v>
      </c>
      <c r="I684" s="11" t="s">
        <v>34</v>
      </c>
      <c r="J684" s="11">
        <v>20</v>
      </c>
      <c r="K684" s="11">
        <v>35</v>
      </c>
      <c r="L684" s="11" t="s">
        <v>982</v>
      </c>
      <c r="M684" s="11">
        <f t="shared" si="20"/>
        <v>1200</v>
      </c>
      <c r="N684" s="11">
        <f>IF(Table1[[#This Row],[Transaction Type]]="Sale",ABS(E684)*K684,0)</f>
        <v>0</v>
      </c>
      <c r="O684" s="29">
        <f>IF(Table1[[#This Row],[Transaction Type]]="Purchase",E684*J684,0)</f>
        <v>1200</v>
      </c>
    </row>
    <row r="685" spans="1:15" x14ac:dyDescent="0.35">
      <c r="A685" s="27" t="s">
        <v>983</v>
      </c>
      <c r="B685" s="12">
        <v>45864</v>
      </c>
      <c r="C685" s="11" t="s">
        <v>52</v>
      </c>
      <c r="D685" s="11" t="s">
        <v>13</v>
      </c>
      <c r="E685" s="11">
        <v>-1</v>
      </c>
      <c r="F685" s="11">
        <f t="shared" si="21"/>
        <v>-1</v>
      </c>
      <c r="G685" s="11" t="s">
        <v>19</v>
      </c>
      <c r="H685" s="11" t="s">
        <v>20</v>
      </c>
      <c r="I685" s="11" t="s">
        <v>21</v>
      </c>
      <c r="J685" s="11">
        <v>5.5</v>
      </c>
      <c r="K685" s="11">
        <v>12</v>
      </c>
      <c r="L685" s="11"/>
      <c r="M685" s="11">
        <f t="shared" si="20"/>
        <v>5.5</v>
      </c>
      <c r="N685" s="11">
        <f>IF(Table1[[#This Row],[Transaction Type]]="Sale",ABS(E685)*K685,0)</f>
        <v>12</v>
      </c>
      <c r="O685" s="29">
        <f>IF(Table1[[#This Row],[Transaction Type]]="Purchase",E685*J685,0)</f>
        <v>0</v>
      </c>
    </row>
    <row r="686" spans="1:15" x14ac:dyDescent="0.35">
      <c r="A686" s="27" t="s">
        <v>984</v>
      </c>
      <c r="B686" s="12">
        <v>45865</v>
      </c>
      <c r="C686" s="11" t="s">
        <v>141</v>
      </c>
      <c r="D686" s="11" t="s">
        <v>13</v>
      </c>
      <c r="E686" s="11">
        <v>-15</v>
      </c>
      <c r="F686" s="11">
        <f t="shared" si="21"/>
        <v>-15</v>
      </c>
      <c r="G686" s="11" t="s">
        <v>14</v>
      </c>
      <c r="H686" s="11" t="s">
        <v>25</v>
      </c>
      <c r="I686" s="11" t="s">
        <v>26</v>
      </c>
      <c r="J686" s="11">
        <v>4</v>
      </c>
      <c r="K686" s="11">
        <v>9</v>
      </c>
      <c r="L686" s="11"/>
      <c r="M686" s="11">
        <f t="shared" si="20"/>
        <v>60</v>
      </c>
      <c r="N686" s="11">
        <f>IF(Table1[[#This Row],[Transaction Type]]="Sale",ABS(E686)*K686,0)</f>
        <v>135</v>
      </c>
      <c r="O686" s="29">
        <f>IF(Table1[[#This Row],[Transaction Type]]="Purchase",E686*J686,0)</f>
        <v>0</v>
      </c>
    </row>
    <row r="687" spans="1:15" x14ac:dyDescent="0.35">
      <c r="A687" s="27" t="s">
        <v>985</v>
      </c>
      <c r="B687" s="12">
        <v>45865</v>
      </c>
      <c r="C687" s="11" t="s">
        <v>18</v>
      </c>
      <c r="D687" s="11" t="s">
        <v>13</v>
      </c>
      <c r="E687" s="11">
        <v>-7</v>
      </c>
      <c r="F687" s="11">
        <f t="shared" si="21"/>
        <v>-7</v>
      </c>
      <c r="G687" s="11" t="s">
        <v>14</v>
      </c>
      <c r="H687" s="11" t="s">
        <v>20</v>
      </c>
      <c r="I687" s="11" t="s">
        <v>21</v>
      </c>
      <c r="J687" s="11">
        <v>2.6</v>
      </c>
      <c r="K687" s="11">
        <v>5.5</v>
      </c>
      <c r="L687" s="11"/>
      <c r="M687" s="11">
        <f t="shared" si="20"/>
        <v>18.2</v>
      </c>
      <c r="N687" s="11">
        <f>IF(Table1[[#This Row],[Transaction Type]]="Sale",ABS(E687)*K687,0)</f>
        <v>38.5</v>
      </c>
      <c r="O687" s="29">
        <f>IF(Table1[[#This Row],[Transaction Type]]="Purchase",E687*J687,0)</f>
        <v>0</v>
      </c>
    </row>
    <row r="688" spans="1:15" x14ac:dyDescent="0.35">
      <c r="A688" s="27" t="s">
        <v>986</v>
      </c>
      <c r="B688" s="12">
        <v>45865</v>
      </c>
      <c r="C688" s="11" t="s">
        <v>55</v>
      </c>
      <c r="D688" s="11" t="s">
        <v>13</v>
      </c>
      <c r="E688" s="11">
        <v>-14</v>
      </c>
      <c r="F688" s="11">
        <f t="shared" si="21"/>
        <v>-14</v>
      </c>
      <c r="G688" s="11" t="s">
        <v>24</v>
      </c>
      <c r="H688" s="11" t="s">
        <v>56</v>
      </c>
      <c r="I688" s="11" t="s">
        <v>16</v>
      </c>
      <c r="J688" s="11">
        <v>4.2</v>
      </c>
      <c r="K688" s="11">
        <v>10</v>
      </c>
      <c r="L688" s="11"/>
      <c r="M688" s="11">
        <f t="shared" si="20"/>
        <v>58.800000000000004</v>
      </c>
      <c r="N688" s="11">
        <f>IF(Table1[[#This Row],[Transaction Type]]="Sale",ABS(E688)*K688,0)</f>
        <v>140</v>
      </c>
      <c r="O688" s="29">
        <f>IF(Table1[[#This Row],[Transaction Type]]="Purchase",E688*J688,0)</f>
        <v>0</v>
      </c>
    </row>
    <row r="689" spans="1:15" x14ac:dyDescent="0.35">
      <c r="A689" s="27" t="s">
        <v>987</v>
      </c>
      <c r="B689" s="12">
        <v>45866</v>
      </c>
      <c r="C689" s="11" t="s">
        <v>136</v>
      </c>
      <c r="D689" s="11" t="s">
        <v>40</v>
      </c>
      <c r="E689" s="11">
        <v>36</v>
      </c>
      <c r="F689" s="11">
        <f t="shared" si="21"/>
        <v>36</v>
      </c>
      <c r="G689" s="11" t="s">
        <v>24</v>
      </c>
      <c r="H689" s="11" t="s">
        <v>33</v>
      </c>
      <c r="I689" s="11" t="s">
        <v>34</v>
      </c>
      <c r="J689" s="11">
        <v>34</v>
      </c>
      <c r="K689" s="11">
        <v>55</v>
      </c>
      <c r="L689" s="11" t="s">
        <v>988</v>
      </c>
      <c r="M689" s="11">
        <f t="shared" si="20"/>
        <v>1224</v>
      </c>
      <c r="N689" s="11">
        <f>IF(Table1[[#This Row],[Transaction Type]]="Sale",ABS(E689)*K689,0)</f>
        <v>0</v>
      </c>
      <c r="O689" s="29">
        <f>IF(Table1[[#This Row],[Transaction Type]]="Purchase",E689*J689,0)</f>
        <v>1224</v>
      </c>
    </row>
    <row r="690" spans="1:15" x14ac:dyDescent="0.35">
      <c r="A690" s="27" t="s">
        <v>989</v>
      </c>
      <c r="B690" s="12">
        <v>45866</v>
      </c>
      <c r="C690" s="11" t="s">
        <v>194</v>
      </c>
      <c r="D690" s="11" t="s">
        <v>13</v>
      </c>
      <c r="E690" s="11">
        <v>-7</v>
      </c>
      <c r="F690" s="11">
        <f t="shared" si="21"/>
        <v>-7</v>
      </c>
      <c r="G690" s="11" t="s">
        <v>19</v>
      </c>
      <c r="H690" s="11" t="s">
        <v>195</v>
      </c>
      <c r="I690" s="11" t="s">
        <v>21</v>
      </c>
      <c r="J690" s="11">
        <v>220</v>
      </c>
      <c r="K690" s="11">
        <v>320</v>
      </c>
      <c r="L690" s="11"/>
      <c r="M690" s="11">
        <f t="shared" si="20"/>
        <v>1540</v>
      </c>
      <c r="N690" s="11">
        <f>IF(Table1[[#This Row],[Transaction Type]]="Sale",ABS(E690)*K690,0)</f>
        <v>2240</v>
      </c>
      <c r="O690" s="29">
        <f>IF(Table1[[#This Row],[Transaction Type]]="Purchase",E690*J690,0)</f>
        <v>0</v>
      </c>
    </row>
    <row r="691" spans="1:15" x14ac:dyDescent="0.35">
      <c r="A691" s="27" t="s">
        <v>990</v>
      </c>
      <c r="B691" s="12">
        <v>45866</v>
      </c>
      <c r="C691" s="11" t="s">
        <v>18</v>
      </c>
      <c r="D691" s="11" t="s">
        <v>40</v>
      </c>
      <c r="E691" s="11">
        <v>61</v>
      </c>
      <c r="F691" s="11">
        <f t="shared" si="21"/>
        <v>61</v>
      </c>
      <c r="G691" s="11" t="s">
        <v>19</v>
      </c>
      <c r="H691" s="11" t="s">
        <v>20</v>
      </c>
      <c r="I691" s="11" t="s">
        <v>21</v>
      </c>
      <c r="J691" s="11">
        <v>2.6</v>
      </c>
      <c r="K691" s="11">
        <v>5.5</v>
      </c>
      <c r="L691" s="11" t="s">
        <v>991</v>
      </c>
      <c r="M691" s="11">
        <f t="shared" si="20"/>
        <v>158.6</v>
      </c>
      <c r="N691" s="11">
        <f>IF(Table1[[#This Row],[Transaction Type]]="Sale",ABS(E691)*K691,0)</f>
        <v>0</v>
      </c>
      <c r="O691" s="29">
        <f>IF(Table1[[#This Row],[Transaction Type]]="Purchase",E691*J691,0)</f>
        <v>158.6</v>
      </c>
    </row>
    <row r="692" spans="1:15" x14ac:dyDescent="0.35">
      <c r="A692" s="27" t="s">
        <v>992</v>
      </c>
      <c r="B692" s="12">
        <v>45867</v>
      </c>
      <c r="C692" s="11" t="s">
        <v>18</v>
      </c>
      <c r="D692" s="11" t="s">
        <v>13</v>
      </c>
      <c r="E692" s="11">
        <v>-1</v>
      </c>
      <c r="F692" s="11">
        <f t="shared" si="21"/>
        <v>-1</v>
      </c>
      <c r="G692" s="11" t="s">
        <v>24</v>
      </c>
      <c r="H692" s="11" t="s">
        <v>20</v>
      </c>
      <c r="I692" s="11" t="s">
        <v>21</v>
      </c>
      <c r="J692" s="11">
        <v>2.6</v>
      </c>
      <c r="K692" s="11">
        <v>5.5</v>
      </c>
      <c r="L692" s="11"/>
      <c r="M692" s="11">
        <f t="shared" si="20"/>
        <v>2.6</v>
      </c>
      <c r="N692" s="11">
        <f>IF(Table1[[#This Row],[Transaction Type]]="Sale",ABS(E692)*K692,0)</f>
        <v>5.5</v>
      </c>
      <c r="O692" s="29">
        <f>IF(Table1[[#This Row],[Transaction Type]]="Purchase",E692*J692,0)</f>
        <v>0</v>
      </c>
    </row>
    <row r="693" spans="1:15" x14ac:dyDescent="0.35">
      <c r="A693" s="27" t="s">
        <v>993</v>
      </c>
      <c r="B693" s="12">
        <v>45867</v>
      </c>
      <c r="C693" s="11" t="s">
        <v>48</v>
      </c>
      <c r="D693" s="11" t="s">
        <v>40</v>
      </c>
      <c r="E693" s="11">
        <v>71</v>
      </c>
      <c r="F693" s="11">
        <f t="shared" si="21"/>
        <v>71</v>
      </c>
      <c r="G693" s="11" t="s">
        <v>14</v>
      </c>
      <c r="H693" s="11" t="s">
        <v>49</v>
      </c>
      <c r="I693" s="11" t="s">
        <v>21</v>
      </c>
      <c r="J693" s="11">
        <v>8.5</v>
      </c>
      <c r="K693" s="11">
        <v>18</v>
      </c>
      <c r="L693" s="11" t="s">
        <v>994</v>
      </c>
      <c r="M693" s="11">
        <f t="shared" si="20"/>
        <v>603.5</v>
      </c>
      <c r="N693" s="11">
        <f>IF(Table1[[#This Row],[Transaction Type]]="Sale",ABS(E693)*K693,0)</f>
        <v>0</v>
      </c>
      <c r="O693" s="29">
        <f>IF(Table1[[#This Row],[Transaction Type]]="Purchase",E693*J693,0)</f>
        <v>603.5</v>
      </c>
    </row>
    <row r="694" spans="1:15" x14ac:dyDescent="0.35">
      <c r="A694" s="27" t="s">
        <v>995</v>
      </c>
      <c r="B694" s="12">
        <v>45867</v>
      </c>
      <c r="C694" s="11" t="s">
        <v>36</v>
      </c>
      <c r="D694" s="11" t="s">
        <v>40</v>
      </c>
      <c r="E694" s="11">
        <v>38</v>
      </c>
      <c r="F694" s="11">
        <f t="shared" si="21"/>
        <v>38</v>
      </c>
      <c r="G694" s="11" t="s">
        <v>14</v>
      </c>
      <c r="H694" s="11" t="s">
        <v>37</v>
      </c>
      <c r="I694" s="11" t="s">
        <v>16</v>
      </c>
      <c r="J694" s="11">
        <v>7.2</v>
      </c>
      <c r="K694" s="11">
        <v>12.5</v>
      </c>
      <c r="L694" s="11" t="s">
        <v>996</v>
      </c>
      <c r="M694" s="11">
        <f t="shared" si="20"/>
        <v>273.60000000000002</v>
      </c>
      <c r="N694" s="11">
        <f>IF(Table1[[#This Row],[Transaction Type]]="Sale",ABS(E694)*K694,0)</f>
        <v>0</v>
      </c>
      <c r="O694" s="29">
        <f>IF(Table1[[#This Row],[Transaction Type]]="Purchase",E694*J694,0)</f>
        <v>273.60000000000002</v>
      </c>
    </row>
    <row r="695" spans="1:15" x14ac:dyDescent="0.35">
      <c r="A695" s="27" t="s">
        <v>997</v>
      </c>
      <c r="B695" s="12">
        <v>45867</v>
      </c>
      <c r="C695" s="11" t="s">
        <v>55</v>
      </c>
      <c r="D695" s="11" t="s">
        <v>13</v>
      </c>
      <c r="E695" s="11">
        <v>-5</v>
      </c>
      <c r="F695" s="11">
        <f t="shared" si="21"/>
        <v>-5</v>
      </c>
      <c r="G695" s="11" t="s">
        <v>14</v>
      </c>
      <c r="H695" s="11" t="s">
        <v>56</v>
      </c>
      <c r="I695" s="11" t="s">
        <v>16</v>
      </c>
      <c r="J695" s="11">
        <v>4.2</v>
      </c>
      <c r="K695" s="11">
        <v>10</v>
      </c>
      <c r="L695" s="11"/>
      <c r="M695" s="11">
        <f t="shared" si="20"/>
        <v>21</v>
      </c>
      <c r="N695" s="11">
        <f>IF(Table1[[#This Row],[Transaction Type]]="Sale",ABS(E695)*K695,0)</f>
        <v>50</v>
      </c>
      <c r="O695" s="29">
        <f>IF(Table1[[#This Row],[Transaction Type]]="Purchase",E695*J695,0)</f>
        <v>0</v>
      </c>
    </row>
    <row r="696" spans="1:15" x14ac:dyDescent="0.35">
      <c r="A696" s="27" t="s">
        <v>998</v>
      </c>
      <c r="B696" s="12">
        <v>45867</v>
      </c>
      <c r="C696" s="11" t="s">
        <v>43</v>
      </c>
      <c r="D696" s="11" t="s">
        <v>40</v>
      </c>
      <c r="E696" s="11">
        <v>104</v>
      </c>
      <c r="F696" s="11">
        <f t="shared" si="21"/>
        <v>104</v>
      </c>
      <c r="G696" s="11" t="s">
        <v>24</v>
      </c>
      <c r="H696" s="11" t="s">
        <v>44</v>
      </c>
      <c r="I696" s="11" t="s">
        <v>45</v>
      </c>
      <c r="J696" s="11">
        <v>5.2</v>
      </c>
      <c r="K696" s="11">
        <v>11</v>
      </c>
      <c r="L696" s="11" t="s">
        <v>999</v>
      </c>
      <c r="M696" s="11">
        <f t="shared" si="20"/>
        <v>540.80000000000007</v>
      </c>
      <c r="N696" s="11">
        <f>IF(Table1[[#This Row],[Transaction Type]]="Sale",ABS(E696)*K696,0)</f>
        <v>0</v>
      </c>
      <c r="O696" s="29">
        <f>IF(Table1[[#This Row],[Transaction Type]]="Purchase",E696*J696,0)</f>
        <v>540.80000000000007</v>
      </c>
    </row>
    <row r="697" spans="1:15" x14ac:dyDescent="0.35">
      <c r="A697" s="27" t="s">
        <v>1000</v>
      </c>
      <c r="B697" s="12">
        <v>45868</v>
      </c>
      <c r="C697" s="11" t="s">
        <v>60</v>
      </c>
      <c r="D697" s="11" t="s">
        <v>13</v>
      </c>
      <c r="E697" s="11">
        <v>-11</v>
      </c>
      <c r="F697" s="11">
        <f t="shared" si="21"/>
        <v>-11</v>
      </c>
      <c r="G697" s="11" t="s">
        <v>24</v>
      </c>
      <c r="H697" s="11" t="s">
        <v>61</v>
      </c>
      <c r="I697" s="11" t="s">
        <v>62</v>
      </c>
      <c r="J697" s="11">
        <v>3.4</v>
      </c>
      <c r="K697" s="11">
        <v>8</v>
      </c>
      <c r="L697" s="11"/>
      <c r="M697" s="11">
        <f t="shared" si="20"/>
        <v>37.4</v>
      </c>
      <c r="N697" s="11">
        <f>IF(Table1[[#This Row],[Transaction Type]]="Sale",ABS(E697)*K697,0)</f>
        <v>88</v>
      </c>
      <c r="O697" s="29">
        <f>IF(Table1[[#This Row],[Transaction Type]]="Purchase",E697*J697,0)</f>
        <v>0</v>
      </c>
    </row>
    <row r="698" spans="1:15" x14ac:dyDescent="0.35">
      <c r="A698" s="27" t="s">
        <v>1001</v>
      </c>
      <c r="B698" s="12">
        <v>45868</v>
      </c>
      <c r="C698" s="11" t="s">
        <v>48</v>
      </c>
      <c r="D698" s="11" t="s">
        <v>13</v>
      </c>
      <c r="E698" s="11">
        <v>-11</v>
      </c>
      <c r="F698" s="11">
        <f t="shared" si="21"/>
        <v>-11</v>
      </c>
      <c r="G698" s="11" t="s">
        <v>24</v>
      </c>
      <c r="H698" s="11" t="s">
        <v>49</v>
      </c>
      <c r="I698" s="11" t="s">
        <v>21</v>
      </c>
      <c r="J698" s="11">
        <v>8.5</v>
      </c>
      <c r="K698" s="11">
        <v>18</v>
      </c>
      <c r="L698" s="11"/>
      <c r="M698" s="11">
        <f t="shared" si="20"/>
        <v>93.5</v>
      </c>
      <c r="N698" s="11">
        <f>IF(Table1[[#This Row],[Transaction Type]]="Sale",ABS(E698)*K698,0)</f>
        <v>198</v>
      </c>
      <c r="O698" s="29">
        <f>IF(Table1[[#This Row],[Transaction Type]]="Purchase",E698*J698,0)</f>
        <v>0</v>
      </c>
    </row>
    <row r="699" spans="1:15" x14ac:dyDescent="0.35">
      <c r="A699" s="27" t="s">
        <v>1002</v>
      </c>
      <c r="B699" s="12">
        <v>45868</v>
      </c>
      <c r="C699" s="11" t="s">
        <v>141</v>
      </c>
      <c r="D699" s="11" t="s">
        <v>40</v>
      </c>
      <c r="E699" s="11">
        <v>117</v>
      </c>
      <c r="F699" s="11">
        <f t="shared" si="21"/>
        <v>117</v>
      </c>
      <c r="G699" s="11" t="s">
        <v>14</v>
      </c>
      <c r="H699" s="11" t="s">
        <v>25</v>
      </c>
      <c r="I699" s="11" t="s">
        <v>26</v>
      </c>
      <c r="J699" s="11">
        <v>4</v>
      </c>
      <c r="K699" s="11">
        <v>9</v>
      </c>
      <c r="L699" s="11" t="s">
        <v>1003</v>
      </c>
      <c r="M699" s="11">
        <f t="shared" si="20"/>
        <v>468</v>
      </c>
      <c r="N699" s="11">
        <f>IF(Table1[[#This Row],[Transaction Type]]="Sale",ABS(E699)*K699,0)</f>
        <v>0</v>
      </c>
      <c r="O699" s="29">
        <f>IF(Table1[[#This Row],[Transaction Type]]="Purchase",E699*J699,0)</f>
        <v>468</v>
      </c>
    </row>
    <row r="700" spans="1:15" x14ac:dyDescent="0.35">
      <c r="A700" s="27" t="s">
        <v>1004</v>
      </c>
      <c r="B700" s="12">
        <v>45868</v>
      </c>
      <c r="C700" s="11" t="s">
        <v>139</v>
      </c>
      <c r="D700" s="11" t="s">
        <v>13</v>
      </c>
      <c r="E700" s="11">
        <v>-15</v>
      </c>
      <c r="F700" s="11">
        <f t="shared" si="21"/>
        <v>-15</v>
      </c>
      <c r="G700" s="11" t="s">
        <v>24</v>
      </c>
      <c r="H700" s="11" t="s">
        <v>56</v>
      </c>
      <c r="I700" s="11" t="s">
        <v>16</v>
      </c>
      <c r="J700" s="11">
        <v>16.5</v>
      </c>
      <c r="K700" s="11">
        <v>28</v>
      </c>
      <c r="L700" s="11"/>
      <c r="M700" s="11">
        <f t="shared" si="20"/>
        <v>247.5</v>
      </c>
      <c r="N700" s="11">
        <f>IF(Table1[[#This Row],[Transaction Type]]="Sale",ABS(E700)*K700,0)</f>
        <v>420</v>
      </c>
      <c r="O700" s="29">
        <f>IF(Table1[[#This Row],[Transaction Type]]="Purchase",E700*J700,0)</f>
        <v>0</v>
      </c>
    </row>
    <row r="701" spans="1:15" x14ac:dyDescent="0.35">
      <c r="A701" s="27" t="s">
        <v>1005</v>
      </c>
      <c r="B701" s="12">
        <v>45868</v>
      </c>
      <c r="C701" s="11" t="s">
        <v>170</v>
      </c>
      <c r="D701" s="11" t="s">
        <v>40</v>
      </c>
      <c r="E701" s="11">
        <v>49</v>
      </c>
      <c r="F701" s="11">
        <f t="shared" si="21"/>
        <v>49</v>
      </c>
      <c r="G701" s="11" t="s">
        <v>14</v>
      </c>
      <c r="H701" s="11" t="s">
        <v>171</v>
      </c>
      <c r="I701" s="11" t="s">
        <v>34</v>
      </c>
      <c r="J701" s="11">
        <v>25</v>
      </c>
      <c r="K701" s="11">
        <v>45</v>
      </c>
      <c r="L701" s="11" t="s">
        <v>1006</v>
      </c>
      <c r="M701" s="11">
        <f t="shared" si="20"/>
        <v>1225</v>
      </c>
      <c r="N701" s="11">
        <f>IF(Table1[[#This Row],[Transaction Type]]="Sale",ABS(E701)*K701,0)</f>
        <v>0</v>
      </c>
      <c r="O701" s="29">
        <f>IF(Table1[[#This Row],[Transaction Type]]="Purchase",E701*J701,0)</f>
        <v>1225</v>
      </c>
    </row>
    <row r="702" spans="1:15" x14ac:dyDescent="0.35">
      <c r="A702" s="27" t="s">
        <v>1007</v>
      </c>
      <c r="B702" s="12">
        <v>45868</v>
      </c>
      <c r="C702" s="11" t="s">
        <v>87</v>
      </c>
      <c r="D702" s="11" t="s">
        <v>40</v>
      </c>
      <c r="E702" s="11">
        <v>69</v>
      </c>
      <c r="F702" s="11">
        <f t="shared" si="21"/>
        <v>69</v>
      </c>
      <c r="G702" s="11" t="s">
        <v>14</v>
      </c>
      <c r="H702" s="11" t="s">
        <v>88</v>
      </c>
      <c r="I702" s="11" t="s">
        <v>16</v>
      </c>
      <c r="J702" s="11">
        <v>6</v>
      </c>
      <c r="K702" s="11">
        <v>14</v>
      </c>
      <c r="L702" s="11" t="s">
        <v>1008</v>
      </c>
      <c r="M702" s="11">
        <f t="shared" si="20"/>
        <v>414</v>
      </c>
      <c r="N702" s="11">
        <f>IF(Table1[[#This Row],[Transaction Type]]="Sale",ABS(E702)*K702,0)</f>
        <v>0</v>
      </c>
      <c r="O702" s="29">
        <f>IF(Table1[[#This Row],[Transaction Type]]="Purchase",E702*J702,0)</f>
        <v>414</v>
      </c>
    </row>
    <row r="703" spans="1:15" x14ac:dyDescent="0.35">
      <c r="A703" s="27" t="s">
        <v>1009</v>
      </c>
      <c r="B703" s="12">
        <v>45869</v>
      </c>
      <c r="C703" s="11" t="s">
        <v>94</v>
      </c>
      <c r="D703" s="11" t="s">
        <v>40</v>
      </c>
      <c r="E703" s="11">
        <v>33</v>
      </c>
      <c r="F703" s="11">
        <f t="shared" si="21"/>
        <v>33</v>
      </c>
      <c r="G703" s="11" t="s">
        <v>24</v>
      </c>
      <c r="H703" s="11" t="s">
        <v>95</v>
      </c>
      <c r="I703" s="11" t="s">
        <v>16</v>
      </c>
      <c r="J703" s="11">
        <v>18.5</v>
      </c>
      <c r="K703" s="11">
        <v>31</v>
      </c>
      <c r="L703" s="11" t="s">
        <v>1010</v>
      </c>
      <c r="M703" s="11">
        <f t="shared" si="20"/>
        <v>610.5</v>
      </c>
      <c r="N703" s="11">
        <f>IF(Table1[[#This Row],[Transaction Type]]="Sale",ABS(E703)*K703,0)</f>
        <v>0</v>
      </c>
      <c r="O703" s="29">
        <f>IF(Table1[[#This Row],[Transaction Type]]="Purchase",E703*J703,0)</f>
        <v>610.5</v>
      </c>
    </row>
    <row r="704" spans="1:15" x14ac:dyDescent="0.35">
      <c r="A704" s="27" t="s">
        <v>1011</v>
      </c>
      <c r="B704" s="12">
        <v>45869</v>
      </c>
      <c r="C704" s="11" t="s">
        <v>136</v>
      </c>
      <c r="D704" s="11" t="s">
        <v>40</v>
      </c>
      <c r="E704" s="11">
        <v>34</v>
      </c>
      <c r="F704" s="11">
        <f t="shared" si="21"/>
        <v>34</v>
      </c>
      <c r="G704" s="11" t="s">
        <v>19</v>
      </c>
      <c r="H704" s="11" t="s">
        <v>33</v>
      </c>
      <c r="I704" s="11" t="s">
        <v>34</v>
      </c>
      <c r="J704" s="11">
        <v>34</v>
      </c>
      <c r="K704" s="11">
        <v>55</v>
      </c>
      <c r="L704" s="11" t="s">
        <v>1012</v>
      </c>
      <c r="M704" s="11">
        <f t="shared" si="20"/>
        <v>1156</v>
      </c>
      <c r="N704" s="11">
        <f>IF(Table1[[#This Row],[Transaction Type]]="Sale",ABS(E704)*K704,0)</f>
        <v>0</v>
      </c>
      <c r="O704" s="29">
        <f>IF(Table1[[#This Row],[Transaction Type]]="Purchase",E704*J704,0)</f>
        <v>1156</v>
      </c>
    </row>
    <row r="705" spans="1:15" x14ac:dyDescent="0.35">
      <c r="A705" s="27" t="s">
        <v>1013</v>
      </c>
      <c r="B705" s="12">
        <v>45869</v>
      </c>
      <c r="C705" s="11" t="s">
        <v>48</v>
      </c>
      <c r="D705" s="11" t="s">
        <v>66</v>
      </c>
      <c r="E705" s="11">
        <v>4</v>
      </c>
      <c r="F705" s="11">
        <f t="shared" si="21"/>
        <v>4</v>
      </c>
      <c r="G705" s="11" t="s">
        <v>14</v>
      </c>
      <c r="H705" s="11" t="s">
        <v>49</v>
      </c>
      <c r="I705" s="11" t="s">
        <v>21</v>
      </c>
      <c r="J705" s="11">
        <v>8.5</v>
      </c>
      <c r="K705" s="11">
        <v>18</v>
      </c>
      <c r="L705" s="11"/>
      <c r="M705" s="11">
        <f t="shared" si="20"/>
        <v>34</v>
      </c>
      <c r="N705" s="11">
        <f>IF(Table1[[#This Row],[Transaction Type]]="Sale",ABS(E705)*K705,0)</f>
        <v>0</v>
      </c>
      <c r="O705" s="29">
        <f>IF(Table1[[#This Row],[Transaction Type]]="Purchase",E705*J705,0)</f>
        <v>0</v>
      </c>
    </row>
    <row r="706" spans="1:15" x14ac:dyDescent="0.35">
      <c r="A706" s="27" t="s">
        <v>1014</v>
      </c>
      <c r="B706" s="12">
        <v>45869</v>
      </c>
      <c r="C706" s="11" t="s">
        <v>55</v>
      </c>
      <c r="D706" s="11" t="s">
        <v>40</v>
      </c>
      <c r="E706" s="11">
        <v>53</v>
      </c>
      <c r="F706" s="11">
        <f t="shared" si="21"/>
        <v>53</v>
      </c>
      <c r="G706" s="11" t="s">
        <v>14</v>
      </c>
      <c r="H706" s="11" t="s">
        <v>56</v>
      </c>
      <c r="I706" s="11" t="s">
        <v>16</v>
      </c>
      <c r="J706" s="11">
        <v>4.2</v>
      </c>
      <c r="K706" s="11">
        <v>10</v>
      </c>
      <c r="L706" s="11" t="s">
        <v>1015</v>
      </c>
      <c r="M706" s="11">
        <f t="shared" ref="M706:M769" si="22">ABS(E706)*J706</f>
        <v>222.60000000000002</v>
      </c>
      <c r="N706" s="11">
        <f>IF(Table1[[#This Row],[Transaction Type]]="Sale",ABS(E706)*K706,0)</f>
        <v>0</v>
      </c>
      <c r="O706" s="29">
        <f>IF(Table1[[#This Row],[Transaction Type]]="Purchase",E706*J706,0)</f>
        <v>222.60000000000002</v>
      </c>
    </row>
    <row r="707" spans="1:15" x14ac:dyDescent="0.35">
      <c r="A707" s="27" t="s">
        <v>1016</v>
      </c>
      <c r="B707" s="12">
        <v>45870</v>
      </c>
      <c r="C707" s="11" t="s">
        <v>52</v>
      </c>
      <c r="D707" s="11" t="s">
        <v>13</v>
      </c>
      <c r="E707" s="11">
        <v>-1</v>
      </c>
      <c r="F707" s="11">
        <f t="shared" ref="F707:F770" si="23">E707</f>
        <v>-1</v>
      </c>
      <c r="G707" s="11" t="s">
        <v>19</v>
      </c>
      <c r="H707" s="11" t="s">
        <v>20</v>
      </c>
      <c r="I707" s="11" t="s">
        <v>21</v>
      </c>
      <c r="J707" s="11">
        <v>5.5</v>
      </c>
      <c r="K707" s="11">
        <v>12</v>
      </c>
      <c r="L707" s="11"/>
      <c r="M707" s="11">
        <f t="shared" si="22"/>
        <v>5.5</v>
      </c>
      <c r="N707" s="11">
        <f>IF(Table1[[#This Row],[Transaction Type]]="Sale",ABS(E707)*K707,0)</f>
        <v>12</v>
      </c>
      <c r="O707" s="29">
        <f>IF(Table1[[#This Row],[Transaction Type]]="Purchase",E707*J707,0)</f>
        <v>0</v>
      </c>
    </row>
    <row r="708" spans="1:15" x14ac:dyDescent="0.35">
      <c r="A708" s="27" t="s">
        <v>1017</v>
      </c>
      <c r="B708" s="12">
        <v>45870</v>
      </c>
      <c r="C708" s="11" t="s">
        <v>52</v>
      </c>
      <c r="D708" s="11" t="s">
        <v>13</v>
      </c>
      <c r="E708" s="11">
        <v>-5</v>
      </c>
      <c r="F708" s="11">
        <f t="shared" si="23"/>
        <v>-5</v>
      </c>
      <c r="G708" s="11" t="s">
        <v>24</v>
      </c>
      <c r="H708" s="11" t="s">
        <v>20</v>
      </c>
      <c r="I708" s="11" t="s">
        <v>21</v>
      </c>
      <c r="J708" s="11">
        <v>5.5</v>
      </c>
      <c r="K708" s="11">
        <v>12</v>
      </c>
      <c r="L708" s="11"/>
      <c r="M708" s="11">
        <f t="shared" si="22"/>
        <v>27.5</v>
      </c>
      <c r="N708" s="11">
        <f>IF(Table1[[#This Row],[Transaction Type]]="Sale",ABS(E708)*K708,0)</f>
        <v>60</v>
      </c>
      <c r="O708" s="29">
        <f>IF(Table1[[#This Row],[Transaction Type]]="Purchase",E708*J708,0)</f>
        <v>0</v>
      </c>
    </row>
    <row r="709" spans="1:15" x14ac:dyDescent="0.35">
      <c r="A709" s="27" t="s">
        <v>1018</v>
      </c>
      <c r="B709" s="12">
        <v>45871</v>
      </c>
      <c r="C709" s="11" t="s">
        <v>43</v>
      </c>
      <c r="D709" s="11" t="s">
        <v>13</v>
      </c>
      <c r="E709" s="11">
        <v>-12</v>
      </c>
      <c r="F709" s="11">
        <f t="shared" si="23"/>
        <v>-12</v>
      </c>
      <c r="G709" s="11" t="s">
        <v>14</v>
      </c>
      <c r="H709" s="11" t="s">
        <v>44</v>
      </c>
      <c r="I709" s="11" t="s">
        <v>45</v>
      </c>
      <c r="J709" s="11">
        <v>5.2</v>
      </c>
      <c r="K709" s="11">
        <v>11</v>
      </c>
      <c r="L709" s="11"/>
      <c r="M709" s="11">
        <f t="shared" si="22"/>
        <v>62.400000000000006</v>
      </c>
      <c r="N709" s="11">
        <f>IF(Table1[[#This Row],[Transaction Type]]="Sale",ABS(E709)*K709,0)</f>
        <v>132</v>
      </c>
      <c r="O709" s="29">
        <f>IF(Table1[[#This Row],[Transaction Type]]="Purchase",E709*J709,0)</f>
        <v>0</v>
      </c>
    </row>
    <row r="710" spans="1:15" x14ac:dyDescent="0.35">
      <c r="A710" s="27" t="s">
        <v>1019</v>
      </c>
      <c r="B710" s="12">
        <v>45871</v>
      </c>
      <c r="C710" s="11" t="s">
        <v>43</v>
      </c>
      <c r="D710" s="11" t="s">
        <v>13</v>
      </c>
      <c r="E710" s="11">
        <v>-14</v>
      </c>
      <c r="F710" s="11">
        <f t="shared" si="23"/>
        <v>-14</v>
      </c>
      <c r="G710" s="11" t="s">
        <v>14</v>
      </c>
      <c r="H710" s="11" t="s">
        <v>44</v>
      </c>
      <c r="I710" s="11" t="s">
        <v>45</v>
      </c>
      <c r="J710" s="11">
        <v>5.2</v>
      </c>
      <c r="K710" s="11">
        <v>11</v>
      </c>
      <c r="L710" s="11"/>
      <c r="M710" s="11">
        <f t="shared" si="22"/>
        <v>72.8</v>
      </c>
      <c r="N710" s="11">
        <f>IF(Table1[[#This Row],[Transaction Type]]="Sale",ABS(E710)*K710,0)</f>
        <v>154</v>
      </c>
      <c r="O710" s="29">
        <f>IF(Table1[[#This Row],[Transaction Type]]="Purchase",E710*J710,0)</f>
        <v>0</v>
      </c>
    </row>
    <row r="711" spans="1:15" x14ac:dyDescent="0.35">
      <c r="A711" s="27" t="s">
        <v>1020</v>
      </c>
      <c r="B711" s="12">
        <v>45871</v>
      </c>
      <c r="C711" s="11" t="s">
        <v>136</v>
      </c>
      <c r="D711" s="11" t="s">
        <v>40</v>
      </c>
      <c r="E711" s="11">
        <v>95</v>
      </c>
      <c r="F711" s="11">
        <f t="shared" si="23"/>
        <v>95</v>
      </c>
      <c r="G711" s="11" t="s">
        <v>19</v>
      </c>
      <c r="H711" s="11" t="s">
        <v>33</v>
      </c>
      <c r="I711" s="11" t="s">
        <v>34</v>
      </c>
      <c r="J711" s="11">
        <v>34</v>
      </c>
      <c r="K711" s="11">
        <v>55</v>
      </c>
      <c r="L711" s="11" t="s">
        <v>1021</v>
      </c>
      <c r="M711" s="11">
        <f t="shared" si="22"/>
        <v>3230</v>
      </c>
      <c r="N711" s="11">
        <f>IF(Table1[[#This Row],[Transaction Type]]="Sale",ABS(E711)*K711,0)</f>
        <v>0</v>
      </c>
      <c r="O711" s="29">
        <f>IF(Table1[[#This Row],[Transaction Type]]="Purchase",E711*J711,0)</f>
        <v>3230</v>
      </c>
    </row>
    <row r="712" spans="1:15" x14ac:dyDescent="0.35">
      <c r="A712" s="27" t="s">
        <v>1022</v>
      </c>
      <c r="B712" s="12">
        <v>45871</v>
      </c>
      <c r="C712" s="11" t="s">
        <v>32</v>
      </c>
      <c r="D712" s="11" t="s">
        <v>40</v>
      </c>
      <c r="E712" s="11">
        <v>86</v>
      </c>
      <c r="F712" s="11">
        <f t="shared" si="23"/>
        <v>86</v>
      </c>
      <c r="G712" s="11" t="s">
        <v>14</v>
      </c>
      <c r="H712" s="11" t="s">
        <v>33</v>
      </c>
      <c r="I712" s="11" t="s">
        <v>34</v>
      </c>
      <c r="J712" s="11">
        <v>20</v>
      </c>
      <c r="K712" s="11">
        <v>35</v>
      </c>
      <c r="L712" s="11" t="s">
        <v>1023</v>
      </c>
      <c r="M712" s="11">
        <f t="shared" si="22"/>
        <v>1720</v>
      </c>
      <c r="N712" s="11">
        <f>IF(Table1[[#This Row],[Transaction Type]]="Sale",ABS(E712)*K712,0)</f>
        <v>0</v>
      </c>
      <c r="O712" s="29">
        <f>IF(Table1[[#This Row],[Transaction Type]]="Purchase",E712*J712,0)</f>
        <v>1720</v>
      </c>
    </row>
    <row r="713" spans="1:15" x14ac:dyDescent="0.35">
      <c r="A713" s="27" t="s">
        <v>1024</v>
      </c>
      <c r="B713" s="12">
        <v>45871</v>
      </c>
      <c r="C713" s="11" t="s">
        <v>23</v>
      </c>
      <c r="D713" s="11" t="s">
        <v>40</v>
      </c>
      <c r="E713" s="11">
        <v>89</v>
      </c>
      <c r="F713" s="11">
        <f t="shared" si="23"/>
        <v>89</v>
      </c>
      <c r="G713" s="11" t="s">
        <v>14</v>
      </c>
      <c r="H713" s="11" t="s">
        <v>25</v>
      </c>
      <c r="I713" s="11" t="s">
        <v>26</v>
      </c>
      <c r="J713" s="11">
        <v>3</v>
      </c>
      <c r="K713" s="11">
        <v>7</v>
      </c>
      <c r="L713" s="11" t="s">
        <v>1025</v>
      </c>
      <c r="M713" s="11">
        <f t="shared" si="22"/>
        <v>267</v>
      </c>
      <c r="N713" s="11">
        <f>IF(Table1[[#This Row],[Transaction Type]]="Sale",ABS(E713)*K713,0)</f>
        <v>0</v>
      </c>
      <c r="O713" s="29">
        <f>IF(Table1[[#This Row],[Transaction Type]]="Purchase",E713*J713,0)</f>
        <v>267</v>
      </c>
    </row>
    <row r="714" spans="1:15" x14ac:dyDescent="0.35">
      <c r="A714" s="27" t="s">
        <v>1026</v>
      </c>
      <c r="B714" s="12">
        <v>45871</v>
      </c>
      <c r="C714" s="11" t="s">
        <v>136</v>
      </c>
      <c r="D714" s="11" t="s">
        <v>13</v>
      </c>
      <c r="E714" s="11">
        <v>-7</v>
      </c>
      <c r="F714" s="11">
        <f t="shared" si="23"/>
        <v>-7</v>
      </c>
      <c r="G714" s="11" t="s">
        <v>14</v>
      </c>
      <c r="H714" s="11" t="s">
        <v>33</v>
      </c>
      <c r="I714" s="11" t="s">
        <v>34</v>
      </c>
      <c r="J714" s="11">
        <v>34</v>
      </c>
      <c r="K714" s="11">
        <v>55</v>
      </c>
      <c r="L714" s="11"/>
      <c r="M714" s="11">
        <f t="shared" si="22"/>
        <v>238</v>
      </c>
      <c r="N714" s="11">
        <f>IF(Table1[[#This Row],[Transaction Type]]="Sale",ABS(E714)*K714,0)</f>
        <v>385</v>
      </c>
      <c r="O714" s="29">
        <f>IF(Table1[[#This Row],[Transaction Type]]="Purchase",E714*J714,0)</f>
        <v>0</v>
      </c>
    </row>
    <row r="715" spans="1:15" x14ac:dyDescent="0.35">
      <c r="A715" s="27" t="s">
        <v>1027</v>
      </c>
      <c r="B715" s="12">
        <v>45871</v>
      </c>
      <c r="C715" s="11" t="s">
        <v>136</v>
      </c>
      <c r="D715" s="11" t="s">
        <v>13</v>
      </c>
      <c r="E715" s="11">
        <v>-8</v>
      </c>
      <c r="F715" s="11">
        <f t="shared" si="23"/>
        <v>-8</v>
      </c>
      <c r="G715" s="11" t="s">
        <v>14</v>
      </c>
      <c r="H715" s="11" t="s">
        <v>33</v>
      </c>
      <c r="I715" s="11" t="s">
        <v>34</v>
      </c>
      <c r="J715" s="11">
        <v>34</v>
      </c>
      <c r="K715" s="11">
        <v>55</v>
      </c>
      <c r="L715" s="11"/>
      <c r="M715" s="11">
        <f t="shared" si="22"/>
        <v>272</v>
      </c>
      <c r="N715" s="11">
        <f>IF(Table1[[#This Row],[Transaction Type]]="Sale",ABS(E715)*K715,0)</f>
        <v>440</v>
      </c>
      <c r="O715" s="29">
        <f>IF(Table1[[#This Row],[Transaction Type]]="Purchase",E715*J715,0)</f>
        <v>0</v>
      </c>
    </row>
    <row r="716" spans="1:15" x14ac:dyDescent="0.35">
      <c r="A716" s="27" t="s">
        <v>1028</v>
      </c>
      <c r="B716" s="12">
        <v>45871</v>
      </c>
      <c r="C716" s="11" t="s">
        <v>12</v>
      </c>
      <c r="D716" s="11" t="s">
        <v>40</v>
      </c>
      <c r="E716" s="11">
        <v>34</v>
      </c>
      <c r="F716" s="11">
        <f t="shared" si="23"/>
        <v>34</v>
      </c>
      <c r="G716" s="11" t="s">
        <v>14</v>
      </c>
      <c r="H716" s="11" t="s">
        <v>15</v>
      </c>
      <c r="I716" s="11" t="s">
        <v>16</v>
      </c>
      <c r="J716" s="11">
        <v>13.5</v>
      </c>
      <c r="K716" s="11">
        <v>24</v>
      </c>
      <c r="L716" s="11" t="s">
        <v>1029</v>
      </c>
      <c r="M716" s="11">
        <f t="shared" si="22"/>
        <v>459</v>
      </c>
      <c r="N716" s="11">
        <f>IF(Table1[[#This Row],[Transaction Type]]="Sale",ABS(E716)*K716,0)</f>
        <v>0</v>
      </c>
      <c r="O716" s="29">
        <f>IF(Table1[[#This Row],[Transaction Type]]="Purchase",E716*J716,0)</f>
        <v>459</v>
      </c>
    </row>
    <row r="717" spans="1:15" x14ac:dyDescent="0.35">
      <c r="A717" s="27" t="s">
        <v>1030</v>
      </c>
      <c r="B717" s="12">
        <v>45872</v>
      </c>
      <c r="C717" s="11" t="s">
        <v>29</v>
      </c>
      <c r="D717" s="11" t="s">
        <v>13</v>
      </c>
      <c r="E717" s="11">
        <v>-11</v>
      </c>
      <c r="F717" s="11">
        <f t="shared" si="23"/>
        <v>-11</v>
      </c>
      <c r="G717" s="11" t="s">
        <v>19</v>
      </c>
      <c r="H717" s="11" t="s">
        <v>30</v>
      </c>
      <c r="I717" s="11" t="s">
        <v>16</v>
      </c>
      <c r="J717" s="11">
        <v>8.8000000000000007</v>
      </c>
      <c r="K717" s="11">
        <v>17</v>
      </c>
      <c r="L717" s="11"/>
      <c r="M717" s="11">
        <f t="shared" si="22"/>
        <v>96.800000000000011</v>
      </c>
      <c r="N717" s="11">
        <f>IF(Table1[[#This Row],[Transaction Type]]="Sale",ABS(E717)*K717,0)</f>
        <v>187</v>
      </c>
      <c r="O717" s="29">
        <f>IF(Table1[[#This Row],[Transaction Type]]="Purchase",E717*J717,0)</f>
        <v>0</v>
      </c>
    </row>
    <row r="718" spans="1:15" x14ac:dyDescent="0.35">
      <c r="A718" s="27" t="s">
        <v>1031</v>
      </c>
      <c r="B718" s="12">
        <v>45872</v>
      </c>
      <c r="C718" s="11" t="s">
        <v>87</v>
      </c>
      <c r="D718" s="11" t="s">
        <v>40</v>
      </c>
      <c r="E718" s="11">
        <v>22</v>
      </c>
      <c r="F718" s="11">
        <f t="shared" si="23"/>
        <v>22</v>
      </c>
      <c r="G718" s="11" t="s">
        <v>14</v>
      </c>
      <c r="H718" s="11" t="s">
        <v>88</v>
      </c>
      <c r="I718" s="11" t="s">
        <v>16</v>
      </c>
      <c r="J718" s="11">
        <v>6</v>
      </c>
      <c r="K718" s="11">
        <v>14</v>
      </c>
      <c r="L718" s="11" t="s">
        <v>1032</v>
      </c>
      <c r="M718" s="11">
        <f t="shared" si="22"/>
        <v>132</v>
      </c>
      <c r="N718" s="11">
        <f>IF(Table1[[#This Row],[Transaction Type]]="Sale",ABS(E718)*K718,0)</f>
        <v>0</v>
      </c>
      <c r="O718" s="29">
        <f>IF(Table1[[#This Row],[Transaction Type]]="Purchase",E718*J718,0)</f>
        <v>132</v>
      </c>
    </row>
    <row r="719" spans="1:15" x14ac:dyDescent="0.35">
      <c r="A719" s="27" t="s">
        <v>1033</v>
      </c>
      <c r="B719" s="12">
        <v>45872</v>
      </c>
      <c r="C719" s="11" t="s">
        <v>65</v>
      </c>
      <c r="D719" s="11" t="s">
        <v>58</v>
      </c>
      <c r="E719" s="11">
        <v>-17</v>
      </c>
      <c r="F719" s="11">
        <f t="shared" si="23"/>
        <v>-17</v>
      </c>
      <c r="G719" s="11" t="s">
        <v>14</v>
      </c>
      <c r="H719" s="11" t="s">
        <v>67</v>
      </c>
      <c r="I719" s="11" t="s">
        <v>21</v>
      </c>
      <c r="J719" s="11">
        <v>11</v>
      </c>
      <c r="K719" s="11">
        <v>22</v>
      </c>
      <c r="L719" s="11"/>
      <c r="M719" s="11">
        <f t="shared" si="22"/>
        <v>187</v>
      </c>
      <c r="N719" s="11">
        <f>IF(Table1[[#This Row],[Transaction Type]]="Sale",ABS(E719)*K719,0)</f>
        <v>0</v>
      </c>
      <c r="O719" s="29">
        <f>IF(Table1[[#This Row],[Transaction Type]]="Purchase",E719*J719,0)</f>
        <v>0</v>
      </c>
    </row>
    <row r="720" spans="1:15" x14ac:dyDescent="0.35">
      <c r="A720" s="27" t="s">
        <v>1034</v>
      </c>
      <c r="B720" s="12">
        <v>45872</v>
      </c>
      <c r="C720" s="11" t="s">
        <v>48</v>
      </c>
      <c r="D720" s="11" t="s">
        <v>66</v>
      </c>
      <c r="E720" s="11">
        <v>2</v>
      </c>
      <c r="F720" s="11">
        <f t="shared" si="23"/>
        <v>2</v>
      </c>
      <c r="G720" s="11" t="s">
        <v>24</v>
      </c>
      <c r="H720" s="11" t="s">
        <v>49</v>
      </c>
      <c r="I720" s="11" t="s">
        <v>21</v>
      </c>
      <c r="J720" s="11">
        <v>8.5</v>
      </c>
      <c r="K720" s="11">
        <v>18</v>
      </c>
      <c r="L720" s="11"/>
      <c r="M720" s="11">
        <f t="shared" si="22"/>
        <v>17</v>
      </c>
      <c r="N720" s="11">
        <f>IF(Table1[[#This Row],[Transaction Type]]="Sale",ABS(E720)*K720,0)</f>
        <v>0</v>
      </c>
      <c r="O720" s="29">
        <f>IF(Table1[[#This Row],[Transaction Type]]="Purchase",E720*J720,0)</f>
        <v>0</v>
      </c>
    </row>
    <row r="721" spans="1:15" x14ac:dyDescent="0.35">
      <c r="A721" s="27" t="s">
        <v>1035</v>
      </c>
      <c r="B721" s="12">
        <v>45872</v>
      </c>
      <c r="C721" s="11" t="s">
        <v>136</v>
      </c>
      <c r="D721" s="11" t="s">
        <v>40</v>
      </c>
      <c r="E721" s="11">
        <v>73</v>
      </c>
      <c r="F721" s="11">
        <f t="shared" si="23"/>
        <v>73</v>
      </c>
      <c r="G721" s="11" t="s">
        <v>19</v>
      </c>
      <c r="H721" s="11" t="s">
        <v>33</v>
      </c>
      <c r="I721" s="11" t="s">
        <v>34</v>
      </c>
      <c r="J721" s="11">
        <v>34</v>
      </c>
      <c r="K721" s="11">
        <v>55</v>
      </c>
      <c r="L721" s="11" t="s">
        <v>1036</v>
      </c>
      <c r="M721" s="11">
        <f t="shared" si="22"/>
        <v>2482</v>
      </c>
      <c r="N721" s="11">
        <f>IF(Table1[[#This Row],[Transaction Type]]="Sale",ABS(E721)*K721,0)</f>
        <v>0</v>
      </c>
      <c r="O721" s="29">
        <f>IF(Table1[[#This Row],[Transaction Type]]="Purchase",E721*J721,0)</f>
        <v>2482</v>
      </c>
    </row>
    <row r="722" spans="1:15" x14ac:dyDescent="0.35">
      <c r="A722" s="27" t="s">
        <v>1037</v>
      </c>
      <c r="B722" s="12">
        <v>45872</v>
      </c>
      <c r="C722" s="11" t="s">
        <v>77</v>
      </c>
      <c r="D722" s="11" t="s">
        <v>66</v>
      </c>
      <c r="E722" s="11">
        <v>5</v>
      </c>
      <c r="F722" s="11">
        <f t="shared" si="23"/>
        <v>5</v>
      </c>
      <c r="G722" s="11" t="s">
        <v>14</v>
      </c>
      <c r="H722" s="11" t="s">
        <v>78</v>
      </c>
      <c r="I722" s="11" t="s">
        <v>16</v>
      </c>
      <c r="J722" s="11">
        <v>25</v>
      </c>
      <c r="K722" s="11">
        <v>42</v>
      </c>
      <c r="L722" s="11"/>
      <c r="M722" s="11">
        <f t="shared" si="22"/>
        <v>125</v>
      </c>
      <c r="N722" s="11">
        <f>IF(Table1[[#This Row],[Transaction Type]]="Sale",ABS(E722)*K722,0)</f>
        <v>0</v>
      </c>
      <c r="O722" s="29">
        <f>IF(Table1[[#This Row],[Transaction Type]]="Purchase",E722*J722,0)</f>
        <v>0</v>
      </c>
    </row>
    <row r="723" spans="1:15" x14ac:dyDescent="0.35">
      <c r="A723" s="27" t="s">
        <v>1038</v>
      </c>
      <c r="B723" s="12">
        <v>45873</v>
      </c>
      <c r="C723" s="11" t="s">
        <v>794</v>
      </c>
      <c r="D723" s="11" t="s">
        <v>13</v>
      </c>
      <c r="E723" s="11">
        <v>-9</v>
      </c>
      <c r="F723" s="11">
        <f t="shared" si="23"/>
        <v>-9</v>
      </c>
      <c r="G723" s="11" t="s">
        <v>14</v>
      </c>
      <c r="H723" s="11" t="s">
        <v>74</v>
      </c>
      <c r="I723" s="11" t="s">
        <v>75</v>
      </c>
      <c r="J723" s="11">
        <v>82</v>
      </c>
      <c r="K723" s="11">
        <v>135</v>
      </c>
      <c r="L723" s="11"/>
      <c r="M723" s="11">
        <f t="shared" si="22"/>
        <v>738</v>
      </c>
      <c r="N723" s="11">
        <f>IF(Table1[[#This Row],[Transaction Type]]="Sale",ABS(E723)*K723,0)</f>
        <v>1215</v>
      </c>
      <c r="O723" s="29">
        <f>IF(Table1[[#This Row],[Transaction Type]]="Purchase",E723*J723,0)</f>
        <v>0</v>
      </c>
    </row>
    <row r="724" spans="1:15" x14ac:dyDescent="0.35">
      <c r="A724" s="27" t="s">
        <v>1039</v>
      </c>
      <c r="B724" s="12">
        <v>45873</v>
      </c>
      <c r="C724" s="11" t="s">
        <v>350</v>
      </c>
      <c r="D724" s="11" t="s">
        <v>13</v>
      </c>
      <c r="E724" s="11">
        <v>-14</v>
      </c>
      <c r="F724" s="11">
        <f t="shared" si="23"/>
        <v>-14</v>
      </c>
      <c r="G724" s="11" t="s">
        <v>19</v>
      </c>
      <c r="H724" s="11" t="s">
        <v>74</v>
      </c>
      <c r="I724" s="11" t="s">
        <v>75</v>
      </c>
      <c r="J724" s="11">
        <v>145</v>
      </c>
      <c r="K724" s="11">
        <v>210</v>
      </c>
      <c r="L724" s="11"/>
      <c r="M724" s="11">
        <f t="shared" si="22"/>
        <v>2030</v>
      </c>
      <c r="N724" s="11">
        <f>IF(Table1[[#This Row],[Transaction Type]]="Sale",ABS(E724)*K724,0)</f>
        <v>2940</v>
      </c>
      <c r="O724" s="29">
        <f>IF(Table1[[#This Row],[Transaction Type]]="Purchase",E724*J724,0)</f>
        <v>0</v>
      </c>
    </row>
    <row r="725" spans="1:15" x14ac:dyDescent="0.35">
      <c r="A725" s="27" t="s">
        <v>1040</v>
      </c>
      <c r="B725" s="12">
        <v>45873</v>
      </c>
      <c r="C725" s="11" t="s">
        <v>139</v>
      </c>
      <c r="D725" s="11" t="s">
        <v>13</v>
      </c>
      <c r="E725" s="11">
        <v>-10</v>
      </c>
      <c r="F725" s="11">
        <f t="shared" si="23"/>
        <v>-10</v>
      </c>
      <c r="G725" s="11" t="s">
        <v>14</v>
      </c>
      <c r="H725" s="11" t="s">
        <v>56</v>
      </c>
      <c r="I725" s="11" t="s">
        <v>16</v>
      </c>
      <c r="J725" s="11">
        <v>16.5</v>
      </c>
      <c r="K725" s="11">
        <v>28</v>
      </c>
      <c r="L725" s="11"/>
      <c r="M725" s="11">
        <f t="shared" si="22"/>
        <v>165</v>
      </c>
      <c r="N725" s="11">
        <f>IF(Table1[[#This Row],[Transaction Type]]="Sale",ABS(E725)*K725,0)</f>
        <v>280</v>
      </c>
      <c r="O725" s="29">
        <f>IF(Table1[[#This Row],[Transaction Type]]="Purchase",E725*J725,0)</f>
        <v>0</v>
      </c>
    </row>
    <row r="726" spans="1:15" x14ac:dyDescent="0.35">
      <c r="A726" s="27" t="s">
        <v>1041</v>
      </c>
      <c r="B726" s="12">
        <v>45873</v>
      </c>
      <c r="C726" s="11" t="s">
        <v>18</v>
      </c>
      <c r="D726" s="11" t="s">
        <v>13</v>
      </c>
      <c r="E726" s="11">
        <v>-4</v>
      </c>
      <c r="F726" s="11">
        <f t="shared" si="23"/>
        <v>-4</v>
      </c>
      <c r="G726" s="11" t="s">
        <v>24</v>
      </c>
      <c r="H726" s="11" t="s">
        <v>20</v>
      </c>
      <c r="I726" s="11" t="s">
        <v>21</v>
      </c>
      <c r="J726" s="11">
        <v>2.6</v>
      </c>
      <c r="K726" s="11">
        <v>5.5</v>
      </c>
      <c r="L726" s="11"/>
      <c r="M726" s="11">
        <f t="shared" si="22"/>
        <v>10.4</v>
      </c>
      <c r="N726" s="11">
        <f>IF(Table1[[#This Row],[Transaction Type]]="Sale",ABS(E726)*K726,0)</f>
        <v>22</v>
      </c>
      <c r="O726" s="29">
        <f>IF(Table1[[#This Row],[Transaction Type]]="Purchase",E726*J726,0)</f>
        <v>0</v>
      </c>
    </row>
    <row r="727" spans="1:15" x14ac:dyDescent="0.35">
      <c r="A727" s="27" t="s">
        <v>1042</v>
      </c>
      <c r="B727" s="12">
        <v>45873</v>
      </c>
      <c r="C727" s="11" t="s">
        <v>55</v>
      </c>
      <c r="D727" s="11" t="s">
        <v>40</v>
      </c>
      <c r="E727" s="11">
        <v>20</v>
      </c>
      <c r="F727" s="11">
        <f t="shared" si="23"/>
        <v>20</v>
      </c>
      <c r="G727" s="11" t="s">
        <v>14</v>
      </c>
      <c r="H727" s="11" t="s">
        <v>56</v>
      </c>
      <c r="I727" s="11" t="s">
        <v>16</v>
      </c>
      <c r="J727" s="11">
        <v>4.2</v>
      </c>
      <c r="K727" s="11">
        <v>10</v>
      </c>
      <c r="L727" s="11" t="s">
        <v>1043</v>
      </c>
      <c r="M727" s="11">
        <f t="shared" si="22"/>
        <v>84</v>
      </c>
      <c r="N727" s="11">
        <f>IF(Table1[[#This Row],[Transaction Type]]="Sale",ABS(E727)*K727,0)</f>
        <v>0</v>
      </c>
      <c r="O727" s="29">
        <f>IF(Table1[[#This Row],[Transaction Type]]="Purchase",E727*J727,0)</f>
        <v>84</v>
      </c>
    </row>
    <row r="728" spans="1:15" x14ac:dyDescent="0.35">
      <c r="A728" s="27" t="s">
        <v>1044</v>
      </c>
      <c r="B728" s="12">
        <v>45874</v>
      </c>
      <c r="C728" s="11" t="s">
        <v>350</v>
      </c>
      <c r="D728" s="11" t="s">
        <v>40</v>
      </c>
      <c r="E728" s="11">
        <v>103</v>
      </c>
      <c r="F728" s="11">
        <f t="shared" si="23"/>
        <v>103</v>
      </c>
      <c r="G728" s="11" t="s">
        <v>14</v>
      </c>
      <c r="H728" s="11" t="s">
        <v>74</v>
      </c>
      <c r="I728" s="11" t="s">
        <v>75</v>
      </c>
      <c r="J728" s="11">
        <v>145</v>
      </c>
      <c r="K728" s="11">
        <v>210</v>
      </c>
      <c r="L728" s="11" t="s">
        <v>1045</v>
      </c>
      <c r="M728" s="11">
        <f t="shared" si="22"/>
        <v>14935</v>
      </c>
      <c r="N728" s="11">
        <f>IF(Table1[[#This Row],[Transaction Type]]="Sale",ABS(E728)*K728,0)</f>
        <v>0</v>
      </c>
      <c r="O728" s="29">
        <f>IF(Table1[[#This Row],[Transaction Type]]="Purchase",E728*J728,0)</f>
        <v>14935</v>
      </c>
    </row>
    <row r="729" spans="1:15" x14ac:dyDescent="0.35">
      <c r="A729" s="27" t="s">
        <v>1046</v>
      </c>
      <c r="B729" s="12">
        <v>45874</v>
      </c>
      <c r="C729" s="11" t="s">
        <v>170</v>
      </c>
      <c r="D729" s="11" t="s">
        <v>40</v>
      </c>
      <c r="E729" s="11">
        <v>47</v>
      </c>
      <c r="F729" s="11">
        <f t="shared" si="23"/>
        <v>47</v>
      </c>
      <c r="G729" s="11" t="s">
        <v>24</v>
      </c>
      <c r="H729" s="11" t="s">
        <v>171</v>
      </c>
      <c r="I729" s="11" t="s">
        <v>34</v>
      </c>
      <c r="J729" s="11">
        <v>25</v>
      </c>
      <c r="K729" s="11">
        <v>45</v>
      </c>
      <c r="L729" s="11" t="s">
        <v>1047</v>
      </c>
      <c r="M729" s="11">
        <f t="shared" si="22"/>
        <v>1175</v>
      </c>
      <c r="N729" s="11">
        <f>IF(Table1[[#This Row],[Transaction Type]]="Sale",ABS(E729)*K729,0)</f>
        <v>0</v>
      </c>
      <c r="O729" s="29">
        <f>IF(Table1[[#This Row],[Transaction Type]]="Purchase",E729*J729,0)</f>
        <v>1175</v>
      </c>
    </row>
    <row r="730" spans="1:15" x14ac:dyDescent="0.35">
      <c r="A730" s="27" t="s">
        <v>1048</v>
      </c>
      <c r="B730" s="12">
        <v>45874</v>
      </c>
      <c r="C730" s="11" t="s">
        <v>55</v>
      </c>
      <c r="D730" s="11" t="s">
        <v>13</v>
      </c>
      <c r="E730" s="11">
        <v>-11</v>
      </c>
      <c r="F730" s="11">
        <f t="shared" si="23"/>
        <v>-11</v>
      </c>
      <c r="G730" s="11" t="s">
        <v>14</v>
      </c>
      <c r="H730" s="11" t="s">
        <v>56</v>
      </c>
      <c r="I730" s="11" t="s">
        <v>16</v>
      </c>
      <c r="J730" s="11">
        <v>4.2</v>
      </c>
      <c r="K730" s="11">
        <v>10</v>
      </c>
      <c r="L730" s="11"/>
      <c r="M730" s="11">
        <f t="shared" si="22"/>
        <v>46.2</v>
      </c>
      <c r="N730" s="11">
        <f>IF(Table1[[#This Row],[Transaction Type]]="Sale",ABS(E730)*K730,0)</f>
        <v>110</v>
      </c>
      <c r="O730" s="29">
        <f>IF(Table1[[#This Row],[Transaction Type]]="Purchase",E730*J730,0)</f>
        <v>0</v>
      </c>
    </row>
    <row r="731" spans="1:15" x14ac:dyDescent="0.35">
      <c r="A731" s="27" t="s">
        <v>1049</v>
      </c>
      <c r="B731" s="12">
        <v>45875</v>
      </c>
      <c r="C731" s="11" t="s">
        <v>23</v>
      </c>
      <c r="D731" s="11" t="s">
        <v>66</v>
      </c>
      <c r="E731" s="11">
        <v>3</v>
      </c>
      <c r="F731" s="11">
        <f t="shared" si="23"/>
        <v>3</v>
      </c>
      <c r="G731" s="11" t="s">
        <v>19</v>
      </c>
      <c r="H731" s="11" t="s">
        <v>25</v>
      </c>
      <c r="I731" s="11" t="s">
        <v>26</v>
      </c>
      <c r="J731" s="11">
        <v>3</v>
      </c>
      <c r="K731" s="11">
        <v>7</v>
      </c>
      <c r="L731" s="11"/>
      <c r="M731" s="11">
        <f t="shared" si="22"/>
        <v>9</v>
      </c>
      <c r="N731" s="11">
        <f>IF(Table1[[#This Row],[Transaction Type]]="Sale",ABS(E731)*K731,0)</f>
        <v>0</v>
      </c>
      <c r="O731" s="29">
        <f>IF(Table1[[#This Row],[Transaction Type]]="Purchase",E731*J731,0)</f>
        <v>0</v>
      </c>
    </row>
    <row r="732" spans="1:15" x14ac:dyDescent="0.35">
      <c r="A732" s="27" t="s">
        <v>1050</v>
      </c>
      <c r="B732" s="12">
        <v>45875</v>
      </c>
      <c r="C732" s="11" t="s">
        <v>43</v>
      </c>
      <c r="D732" s="11" t="s">
        <v>40</v>
      </c>
      <c r="E732" s="11">
        <v>58</v>
      </c>
      <c r="F732" s="11">
        <f t="shared" si="23"/>
        <v>58</v>
      </c>
      <c r="G732" s="11" t="s">
        <v>14</v>
      </c>
      <c r="H732" s="11" t="s">
        <v>44</v>
      </c>
      <c r="I732" s="11" t="s">
        <v>45</v>
      </c>
      <c r="J732" s="11">
        <v>5.2</v>
      </c>
      <c r="K732" s="11">
        <v>11</v>
      </c>
      <c r="L732" s="11" t="s">
        <v>1051</v>
      </c>
      <c r="M732" s="11">
        <f t="shared" si="22"/>
        <v>301.60000000000002</v>
      </c>
      <c r="N732" s="11">
        <f>IF(Table1[[#This Row],[Transaction Type]]="Sale",ABS(E732)*K732,0)</f>
        <v>0</v>
      </c>
      <c r="O732" s="29">
        <f>IF(Table1[[#This Row],[Transaction Type]]="Purchase",E732*J732,0)</f>
        <v>301.60000000000002</v>
      </c>
    </row>
    <row r="733" spans="1:15" x14ac:dyDescent="0.35">
      <c r="A733" s="27" t="s">
        <v>1052</v>
      </c>
      <c r="B733" s="12">
        <v>45875</v>
      </c>
      <c r="C733" s="11" t="s">
        <v>48</v>
      </c>
      <c r="D733" s="11" t="s">
        <v>40</v>
      </c>
      <c r="E733" s="11">
        <v>42</v>
      </c>
      <c r="F733" s="11">
        <f t="shared" si="23"/>
        <v>42</v>
      </c>
      <c r="G733" s="11" t="s">
        <v>14</v>
      </c>
      <c r="H733" s="11" t="s">
        <v>49</v>
      </c>
      <c r="I733" s="11" t="s">
        <v>21</v>
      </c>
      <c r="J733" s="11">
        <v>8.5</v>
      </c>
      <c r="K733" s="11">
        <v>18</v>
      </c>
      <c r="L733" s="11" t="s">
        <v>1053</v>
      </c>
      <c r="M733" s="11">
        <f t="shared" si="22"/>
        <v>357</v>
      </c>
      <c r="N733" s="11">
        <f>IF(Table1[[#This Row],[Transaction Type]]="Sale",ABS(E733)*K733,0)</f>
        <v>0</v>
      </c>
      <c r="O733" s="29">
        <f>IF(Table1[[#This Row],[Transaction Type]]="Purchase",E733*J733,0)</f>
        <v>357</v>
      </c>
    </row>
    <row r="734" spans="1:15" x14ac:dyDescent="0.35">
      <c r="A734" s="27" t="s">
        <v>1054</v>
      </c>
      <c r="B734" s="12">
        <v>45875</v>
      </c>
      <c r="C734" s="11" t="s">
        <v>77</v>
      </c>
      <c r="D734" s="11" t="s">
        <v>13</v>
      </c>
      <c r="E734" s="11">
        <v>-14</v>
      </c>
      <c r="F734" s="11">
        <f t="shared" si="23"/>
        <v>-14</v>
      </c>
      <c r="G734" s="11" t="s">
        <v>14</v>
      </c>
      <c r="H734" s="11" t="s">
        <v>78</v>
      </c>
      <c r="I734" s="11" t="s">
        <v>16</v>
      </c>
      <c r="J734" s="11">
        <v>25</v>
      </c>
      <c r="K734" s="11">
        <v>42</v>
      </c>
      <c r="L734" s="11"/>
      <c r="M734" s="11">
        <f t="shared" si="22"/>
        <v>350</v>
      </c>
      <c r="N734" s="11">
        <f>IF(Table1[[#This Row],[Transaction Type]]="Sale",ABS(E734)*K734,0)</f>
        <v>588</v>
      </c>
      <c r="O734" s="29">
        <f>IF(Table1[[#This Row],[Transaction Type]]="Purchase",E734*J734,0)</f>
        <v>0</v>
      </c>
    </row>
    <row r="735" spans="1:15" x14ac:dyDescent="0.35">
      <c r="A735" s="27" t="s">
        <v>1055</v>
      </c>
      <c r="B735" s="12">
        <v>45876</v>
      </c>
      <c r="C735" s="11" t="s">
        <v>83</v>
      </c>
      <c r="D735" s="11" t="s">
        <v>40</v>
      </c>
      <c r="E735" s="11">
        <v>62</v>
      </c>
      <c r="F735" s="11">
        <f t="shared" si="23"/>
        <v>62</v>
      </c>
      <c r="G735" s="11" t="s">
        <v>24</v>
      </c>
      <c r="H735" s="11" t="s">
        <v>84</v>
      </c>
      <c r="I735" s="11" t="s">
        <v>45</v>
      </c>
      <c r="J735" s="11">
        <v>130</v>
      </c>
      <c r="K735" s="11">
        <v>185</v>
      </c>
      <c r="L735" s="11" t="s">
        <v>1056</v>
      </c>
      <c r="M735" s="11">
        <f t="shared" si="22"/>
        <v>8060</v>
      </c>
      <c r="N735" s="11">
        <f>IF(Table1[[#This Row],[Transaction Type]]="Sale",ABS(E735)*K735,0)</f>
        <v>0</v>
      </c>
      <c r="O735" s="29">
        <f>IF(Table1[[#This Row],[Transaction Type]]="Purchase",E735*J735,0)</f>
        <v>8060</v>
      </c>
    </row>
    <row r="736" spans="1:15" x14ac:dyDescent="0.35">
      <c r="A736" s="27" t="s">
        <v>1057</v>
      </c>
      <c r="B736" s="12">
        <v>45876</v>
      </c>
      <c r="C736" s="11" t="s">
        <v>141</v>
      </c>
      <c r="D736" s="11" t="s">
        <v>58</v>
      </c>
      <c r="E736" s="11">
        <v>16</v>
      </c>
      <c r="F736" s="11">
        <f t="shared" si="23"/>
        <v>16</v>
      </c>
      <c r="G736" s="11" t="s">
        <v>19</v>
      </c>
      <c r="H736" s="11" t="s">
        <v>25</v>
      </c>
      <c r="I736" s="11" t="s">
        <v>26</v>
      </c>
      <c r="J736" s="11">
        <v>4</v>
      </c>
      <c r="K736" s="11">
        <v>9</v>
      </c>
      <c r="L736" s="11"/>
      <c r="M736" s="11">
        <f t="shared" si="22"/>
        <v>64</v>
      </c>
      <c r="N736" s="11">
        <f>IF(Table1[[#This Row],[Transaction Type]]="Sale",ABS(E736)*K736,0)</f>
        <v>0</v>
      </c>
      <c r="O736" s="29">
        <f>IF(Table1[[#This Row],[Transaction Type]]="Purchase",E736*J736,0)</f>
        <v>0</v>
      </c>
    </row>
    <row r="737" spans="1:15" x14ac:dyDescent="0.35">
      <c r="A737" s="27" t="s">
        <v>1058</v>
      </c>
      <c r="B737" s="12">
        <v>45876</v>
      </c>
      <c r="C737" s="11" t="s">
        <v>87</v>
      </c>
      <c r="D737" s="11" t="s">
        <v>13</v>
      </c>
      <c r="E737" s="11">
        <v>-2</v>
      </c>
      <c r="F737" s="11">
        <f t="shared" si="23"/>
        <v>-2</v>
      </c>
      <c r="G737" s="11" t="s">
        <v>14</v>
      </c>
      <c r="H737" s="11" t="s">
        <v>88</v>
      </c>
      <c r="I737" s="11" t="s">
        <v>16</v>
      </c>
      <c r="J737" s="11">
        <v>6</v>
      </c>
      <c r="K737" s="11">
        <v>14</v>
      </c>
      <c r="L737" s="11"/>
      <c r="M737" s="11">
        <f t="shared" si="22"/>
        <v>12</v>
      </c>
      <c r="N737" s="11">
        <f>IF(Table1[[#This Row],[Transaction Type]]="Sale",ABS(E737)*K737,0)</f>
        <v>28</v>
      </c>
      <c r="O737" s="29">
        <f>IF(Table1[[#This Row],[Transaction Type]]="Purchase",E737*J737,0)</f>
        <v>0</v>
      </c>
    </row>
    <row r="738" spans="1:15" x14ac:dyDescent="0.35">
      <c r="A738" s="27" t="s">
        <v>1059</v>
      </c>
      <c r="B738" s="12">
        <v>45876</v>
      </c>
      <c r="C738" s="11" t="s">
        <v>87</v>
      </c>
      <c r="D738" s="11" t="s">
        <v>66</v>
      </c>
      <c r="E738" s="11">
        <v>3</v>
      </c>
      <c r="F738" s="11">
        <f t="shared" si="23"/>
        <v>3</v>
      </c>
      <c r="G738" s="11" t="s">
        <v>14</v>
      </c>
      <c r="H738" s="11" t="s">
        <v>88</v>
      </c>
      <c r="I738" s="11" t="s">
        <v>16</v>
      </c>
      <c r="J738" s="11">
        <v>6</v>
      </c>
      <c r="K738" s="11">
        <v>14</v>
      </c>
      <c r="L738" s="11"/>
      <c r="M738" s="11">
        <f t="shared" si="22"/>
        <v>18</v>
      </c>
      <c r="N738" s="11">
        <f>IF(Table1[[#This Row],[Transaction Type]]="Sale",ABS(E738)*K738,0)</f>
        <v>0</v>
      </c>
      <c r="O738" s="29">
        <f>IF(Table1[[#This Row],[Transaction Type]]="Purchase",E738*J738,0)</f>
        <v>0</v>
      </c>
    </row>
    <row r="739" spans="1:15" x14ac:dyDescent="0.35">
      <c r="A739" s="27" t="s">
        <v>1060</v>
      </c>
      <c r="B739" s="12">
        <v>45876</v>
      </c>
      <c r="C739" s="11" t="s">
        <v>170</v>
      </c>
      <c r="D739" s="11" t="s">
        <v>40</v>
      </c>
      <c r="E739" s="11">
        <v>102</v>
      </c>
      <c r="F739" s="11">
        <f t="shared" si="23"/>
        <v>102</v>
      </c>
      <c r="G739" s="11" t="s">
        <v>14</v>
      </c>
      <c r="H739" s="11" t="s">
        <v>171</v>
      </c>
      <c r="I739" s="11" t="s">
        <v>34</v>
      </c>
      <c r="J739" s="11">
        <v>25</v>
      </c>
      <c r="K739" s="11">
        <v>45</v>
      </c>
      <c r="L739" s="11" t="s">
        <v>1061</v>
      </c>
      <c r="M739" s="11">
        <f t="shared" si="22"/>
        <v>2550</v>
      </c>
      <c r="N739" s="11">
        <f>IF(Table1[[#This Row],[Transaction Type]]="Sale",ABS(E739)*K739,0)</f>
        <v>0</v>
      </c>
      <c r="O739" s="29">
        <f>IF(Table1[[#This Row],[Transaction Type]]="Purchase",E739*J739,0)</f>
        <v>2550</v>
      </c>
    </row>
    <row r="740" spans="1:15" x14ac:dyDescent="0.35">
      <c r="A740" s="27" t="s">
        <v>1062</v>
      </c>
      <c r="B740" s="12">
        <v>45877</v>
      </c>
      <c r="C740" s="11" t="s">
        <v>23</v>
      </c>
      <c r="D740" s="11" t="s">
        <v>13</v>
      </c>
      <c r="E740" s="11">
        <v>-15</v>
      </c>
      <c r="F740" s="11">
        <f t="shared" si="23"/>
        <v>-15</v>
      </c>
      <c r="G740" s="11" t="s">
        <v>24</v>
      </c>
      <c r="H740" s="11" t="s">
        <v>25</v>
      </c>
      <c r="I740" s="11" t="s">
        <v>26</v>
      </c>
      <c r="J740" s="11">
        <v>3</v>
      </c>
      <c r="K740" s="11">
        <v>7</v>
      </c>
      <c r="L740" s="11"/>
      <c r="M740" s="11">
        <f t="shared" si="22"/>
        <v>45</v>
      </c>
      <c r="N740" s="11">
        <f>IF(Table1[[#This Row],[Transaction Type]]="Sale",ABS(E740)*K740,0)</f>
        <v>105</v>
      </c>
      <c r="O740" s="29">
        <f>IF(Table1[[#This Row],[Transaction Type]]="Purchase",E740*J740,0)</f>
        <v>0</v>
      </c>
    </row>
    <row r="741" spans="1:15" x14ac:dyDescent="0.35">
      <c r="A741" s="27" t="s">
        <v>1063</v>
      </c>
      <c r="B741" s="12">
        <v>45877</v>
      </c>
      <c r="C741" s="11" t="s">
        <v>32</v>
      </c>
      <c r="D741" s="11" t="s">
        <v>13</v>
      </c>
      <c r="E741" s="11">
        <v>-7</v>
      </c>
      <c r="F741" s="11">
        <f t="shared" si="23"/>
        <v>-7</v>
      </c>
      <c r="G741" s="11" t="s">
        <v>14</v>
      </c>
      <c r="H741" s="11" t="s">
        <v>33</v>
      </c>
      <c r="I741" s="11" t="s">
        <v>34</v>
      </c>
      <c r="J741" s="11">
        <v>20</v>
      </c>
      <c r="K741" s="11">
        <v>35</v>
      </c>
      <c r="L741" s="11"/>
      <c r="M741" s="11">
        <f t="shared" si="22"/>
        <v>140</v>
      </c>
      <c r="N741" s="11">
        <f>IF(Table1[[#This Row],[Transaction Type]]="Sale",ABS(E741)*K741,0)</f>
        <v>245</v>
      </c>
      <c r="O741" s="29">
        <f>IF(Table1[[#This Row],[Transaction Type]]="Purchase",E741*J741,0)</f>
        <v>0</v>
      </c>
    </row>
    <row r="742" spans="1:15" x14ac:dyDescent="0.35">
      <c r="A742" s="27" t="s">
        <v>1064</v>
      </c>
      <c r="B742" s="12">
        <v>45878</v>
      </c>
      <c r="C742" s="11" t="s">
        <v>141</v>
      </c>
      <c r="D742" s="11" t="s">
        <v>58</v>
      </c>
      <c r="E742" s="11">
        <v>-11</v>
      </c>
      <c r="F742" s="11">
        <f t="shared" si="23"/>
        <v>-11</v>
      </c>
      <c r="G742" s="11" t="s">
        <v>14</v>
      </c>
      <c r="H742" s="11" t="s">
        <v>25</v>
      </c>
      <c r="I742" s="11" t="s">
        <v>26</v>
      </c>
      <c r="J742" s="11">
        <v>4</v>
      </c>
      <c r="K742" s="11">
        <v>9</v>
      </c>
      <c r="L742" s="11"/>
      <c r="M742" s="11">
        <f t="shared" si="22"/>
        <v>44</v>
      </c>
      <c r="N742" s="11">
        <f>IF(Table1[[#This Row],[Transaction Type]]="Sale",ABS(E742)*K742,0)</f>
        <v>0</v>
      </c>
      <c r="O742" s="29">
        <f>IF(Table1[[#This Row],[Transaction Type]]="Purchase",E742*J742,0)</f>
        <v>0</v>
      </c>
    </row>
    <row r="743" spans="1:15" x14ac:dyDescent="0.35">
      <c r="A743" s="27" t="s">
        <v>1065</v>
      </c>
      <c r="B743" s="12">
        <v>45878</v>
      </c>
      <c r="C743" s="11" t="s">
        <v>23</v>
      </c>
      <c r="D743" s="11" t="s">
        <v>13</v>
      </c>
      <c r="E743" s="11">
        <v>-15</v>
      </c>
      <c r="F743" s="11">
        <f t="shared" si="23"/>
        <v>-15</v>
      </c>
      <c r="G743" s="11" t="s">
        <v>24</v>
      </c>
      <c r="H743" s="11" t="s">
        <v>25</v>
      </c>
      <c r="I743" s="11" t="s">
        <v>26</v>
      </c>
      <c r="J743" s="11">
        <v>3</v>
      </c>
      <c r="K743" s="11">
        <v>7</v>
      </c>
      <c r="L743" s="11"/>
      <c r="M743" s="11">
        <f t="shared" si="22"/>
        <v>45</v>
      </c>
      <c r="N743" s="11">
        <f>IF(Table1[[#This Row],[Transaction Type]]="Sale",ABS(E743)*K743,0)</f>
        <v>105</v>
      </c>
      <c r="O743" s="29">
        <f>IF(Table1[[#This Row],[Transaction Type]]="Purchase",E743*J743,0)</f>
        <v>0</v>
      </c>
    </row>
    <row r="744" spans="1:15" x14ac:dyDescent="0.35">
      <c r="A744" s="27" t="s">
        <v>1066</v>
      </c>
      <c r="B744" s="12">
        <v>45878</v>
      </c>
      <c r="C744" s="11" t="s">
        <v>794</v>
      </c>
      <c r="D744" s="11" t="s">
        <v>13</v>
      </c>
      <c r="E744" s="11">
        <v>-7</v>
      </c>
      <c r="F744" s="11">
        <f t="shared" si="23"/>
        <v>-7</v>
      </c>
      <c r="G744" s="11" t="s">
        <v>24</v>
      </c>
      <c r="H744" s="11" t="s">
        <v>74</v>
      </c>
      <c r="I744" s="11" t="s">
        <v>75</v>
      </c>
      <c r="J744" s="11">
        <v>82</v>
      </c>
      <c r="K744" s="11">
        <v>135</v>
      </c>
      <c r="L744" s="11"/>
      <c r="M744" s="11">
        <f t="shared" si="22"/>
        <v>574</v>
      </c>
      <c r="N744" s="11">
        <f>IF(Table1[[#This Row],[Transaction Type]]="Sale",ABS(E744)*K744,0)</f>
        <v>945</v>
      </c>
      <c r="O744" s="29">
        <f>IF(Table1[[#This Row],[Transaction Type]]="Purchase",E744*J744,0)</f>
        <v>0</v>
      </c>
    </row>
    <row r="745" spans="1:15" x14ac:dyDescent="0.35">
      <c r="A745" s="27" t="s">
        <v>1067</v>
      </c>
      <c r="B745" s="12">
        <v>45878</v>
      </c>
      <c r="C745" s="11" t="s">
        <v>77</v>
      </c>
      <c r="D745" s="11" t="s">
        <v>40</v>
      </c>
      <c r="E745" s="11">
        <v>115</v>
      </c>
      <c r="F745" s="11">
        <f t="shared" si="23"/>
        <v>115</v>
      </c>
      <c r="G745" s="11" t="s">
        <v>14</v>
      </c>
      <c r="H745" s="11" t="s">
        <v>78</v>
      </c>
      <c r="I745" s="11" t="s">
        <v>16</v>
      </c>
      <c r="J745" s="11">
        <v>25</v>
      </c>
      <c r="K745" s="11">
        <v>42</v>
      </c>
      <c r="L745" s="11" t="s">
        <v>1068</v>
      </c>
      <c r="M745" s="11">
        <f t="shared" si="22"/>
        <v>2875</v>
      </c>
      <c r="N745" s="11">
        <f>IF(Table1[[#This Row],[Transaction Type]]="Sale",ABS(E745)*K745,0)</f>
        <v>0</v>
      </c>
      <c r="O745" s="29">
        <f>IF(Table1[[#This Row],[Transaction Type]]="Purchase",E745*J745,0)</f>
        <v>2875</v>
      </c>
    </row>
    <row r="746" spans="1:15" x14ac:dyDescent="0.35">
      <c r="A746" s="27" t="s">
        <v>1069</v>
      </c>
      <c r="B746" s="12">
        <v>45878</v>
      </c>
      <c r="C746" s="11" t="s">
        <v>77</v>
      </c>
      <c r="D746" s="11" t="s">
        <v>40</v>
      </c>
      <c r="E746" s="11">
        <v>23</v>
      </c>
      <c r="F746" s="11">
        <f t="shared" si="23"/>
        <v>23</v>
      </c>
      <c r="G746" s="11" t="s">
        <v>19</v>
      </c>
      <c r="H746" s="11" t="s">
        <v>78</v>
      </c>
      <c r="I746" s="11" t="s">
        <v>16</v>
      </c>
      <c r="J746" s="11">
        <v>25</v>
      </c>
      <c r="K746" s="11">
        <v>42</v>
      </c>
      <c r="L746" s="11" t="s">
        <v>1070</v>
      </c>
      <c r="M746" s="11">
        <f t="shared" si="22"/>
        <v>575</v>
      </c>
      <c r="N746" s="11">
        <f>IF(Table1[[#This Row],[Transaction Type]]="Sale",ABS(E746)*K746,0)</f>
        <v>0</v>
      </c>
      <c r="O746" s="29">
        <f>IF(Table1[[#This Row],[Transaction Type]]="Purchase",E746*J746,0)</f>
        <v>575</v>
      </c>
    </row>
    <row r="747" spans="1:15" x14ac:dyDescent="0.35">
      <c r="A747" s="27" t="s">
        <v>1071</v>
      </c>
      <c r="B747" s="12">
        <v>45879</v>
      </c>
      <c r="C747" s="11" t="s">
        <v>36</v>
      </c>
      <c r="D747" s="11" t="s">
        <v>40</v>
      </c>
      <c r="E747" s="11">
        <v>83</v>
      </c>
      <c r="F747" s="11">
        <f t="shared" si="23"/>
        <v>83</v>
      </c>
      <c r="G747" s="11" t="s">
        <v>14</v>
      </c>
      <c r="H747" s="11" t="s">
        <v>37</v>
      </c>
      <c r="I747" s="11" t="s">
        <v>16</v>
      </c>
      <c r="J747" s="11">
        <v>7.2</v>
      </c>
      <c r="K747" s="11">
        <v>12.5</v>
      </c>
      <c r="L747" s="11" t="s">
        <v>1072</v>
      </c>
      <c r="M747" s="11">
        <f t="shared" si="22"/>
        <v>597.6</v>
      </c>
      <c r="N747" s="11">
        <f>IF(Table1[[#This Row],[Transaction Type]]="Sale",ABS(E747)*K747,0)</f>
        <v>0</v>
      </c>
      <c r="O747" s="29">
        <f>IF(Table1[[#This Row],[Transaction Type]]="Purchase",E747*J747,0)</f>
        <v>597.6</v>
      </c>
    </row>
    <row r="748" spans="1:15" x14ac:dyDescent="0.35">
      <c r="A748" s="27" t="s">
        <v>1073</v>
      </c>
      <c r="B748" s="12">
        <v>45879</v>
      </c>
      <c r="C748" s="11" t="s">
        <v>43</v>
      </c>
      <c r="D748" s="11" t="s">
        <v>40</v>
      </c>
      <c r="E748" s="11">
        <v>115</v>
      </c>
      <c r="F748" s="11">
        <f t="shared" si="23"/>
        <v>115</v>
      </c>
      <c r="G748" s="11" t="s">
        <v>24</v>
      </c>
      <c r="H748" s="11" t="s">
        <v>44</v>
      </c>
      <c r="I748" s="11" t="s">
        <v>45</v>
      </c>
      <c r="J748" s="11">
        <v>5.2</v>
      </c>
      <c r="K748" s="11">
        <v>11</v>
      </c>
      <c r="L748" s="11" t="s">
        <v>1074</v>
      </c>
      <c r="M748" s="11">
        <f t="shared" si="22"/>
        <v>598</v>
      </c>
      <c r="N748" s="11">
        <f>IF(Table1[[#This Row],[Transaction Type]]="Sale",ABS(E748)*K748,0)</f>
        <v>0</v>
      </c>
      <c r="O748" s="29">
        <f>IF(Table1[[#This Row],[Transaction Type]]="Purchase",E748*J748,0)</f>
        <v>598</v>
      </c>
    </row>
    <row r="749" spans="1:15" x14ac:dyDescent="0.35">
      <c r="A749" s="27" t="s">
        <v>1075</v>
      </c>
      <c r="B749" s="12">
        <v>45879</v>
      </c>
      <c r="C749" s="11" t="s">
        <v>73</v>
      </c>
      <c r="D749" s="11" t="s">
        <v>58</v>
      </c>
      <c r="E749" s="11">
        <v>-3</v>
      </c>
      <c r="F749" s="11">
        <f t="shared" si="23"/>
        <v>-3</v>
      </c>
      <c r="G749" s="11" t="s">
        <v>14</v>
      </c>
      <c r="H749" s="11" t="s">
        <v>74</v>
      </c>
      <c r="I749" s="11" t="s">
        <v>75</v>
      </c>
      <c r="J749" s="11">
        <v>30</v>
      </c>
      <c r="K749" s="11">
        <v>48</v>
      </c>
      <c r="L749" s="11"/>
      <c r="M749" s="11">
        <f t="shared" si="22"/>
        <v>90</v>
      </c>
      <c r="N749" s="11">
        <f>IF(Table1[[#This Row],[Transaction Type]]="Sale",ABS(E749)*K749,0)</f>
        <v>0</v>
      </c>
      <c r="O749" s="29">
        <f>IF(Table1[[#This Row],[Transaction Type]]="Purchase",E749*J749,0)</f>
        <v>0</v>
      </c>
    </row>
    <row r="750" spans="1:15" x14ac:dyDescent="0.35">
      <c r="A750" s="27" t="s">
        <v>1076</v>
      </c>
      <c r="B750" s="12">
        <v>45880</v>
      </c>
      <c r="C750" s="11" t="s">
        <v>136</v>
      </c>
      <c r="D750" s="11" t="s">
        <v>13</v>
      </c>
      <c r="E750" s="11">
        <v>-5</v>
      </c>
      <c r="F750" s="11">
        <f t="shared" si="23"/>
        <v>-5</v>
      </c>
      <c r="G750" s="11" t="s">
        <v>24</v>
      </c>
      <c r="H750" s="11" t="s">
        <v>33</v>
      </c>
      <c r="I750" s="11" t="s">
        <v>34</v>
      </c>
      <c r="J750" s="11">
        <v>34</v>
      </c>
      <c r="K750" s="11">
        <v>55</v>
      </c>
      <c r="L750" s="11"/>
      <c r="M750" s="11">
        <f t="shared" si="22"/>
        <v>170</v>
      </c>
      <c r="N750" s="11">
        <f>IF(Table1[[#This Row],[Transaction Type]]="Sale",ABS(E750)*K750,0)</f>
        <v>275</v>
      </c>
      <c r="O750" s="29">
        <f>IF(Table1[[#This Row],[Transaction Type]]="Purchase",E750*J750,0)</f>
        <v>0</v>
      </c>
    </row>
    <row r="751" spans="1:15" x14ac:dyDescent="0.35">
      <c r="A751" s="27" t="s">
        <v>1077</v>
      </c>
      <c r="B751" s="12">
        <v>45881</v>
      </c>
      <c r="C751" s="11" t="s">
        <v>12</v>
      </c>
      <c r="D751" s="11" t="s">
        <v>13</v>
      </c>
      <c r="E751" s="11">
        <v>-7</v>
      </c>
      <c r="F751" s="11">
        <f t="shared" si="23"/>
        <v>-7</v>
      </c>
      <c r="G751" s="11" t="s">
        <v>14</v>
      </c>
      <c r="H751" s="11" t="s">
        <v>15</v>
      </c>
      <c r="I751" s="11" t="s">
        <v>16</v>
      </c>
      <c r="J751" s="11">
        <v>13.5</v>
      </c>
      <c r="K751" s="11">
        <v>24</v>
      </c>
      <c r="L751" s="11"/>
      <c r="M751" s="11">
        <f t="shared" si="22"/>
        <v>94.5</v>
      </c>
      <c r="N751" s="11">
        <f>IF(Table1[[#This Row],[Transaction Type]]="Sale",ABS(E751)*K751,0)</f>
        <v>168</v>
      </c>
      <c r="O751" s="29">
        <f>IF(Table1[[#This Row],[Transaction Type]]="Purchase",E751*J751,0)</f>
        <v>0</v>
      </c>
    </row>
    <row r="752" spans="1:15" x14ac:dyDescent="0.35">
      <c r="A752" s="27" t="s">
        <v>1078</v>
      </c>
      <c r="B752" s="12">
        <v>45882</v>
      </c>
      <c r="C752" s="11" t="s">
        <v>52</v>
      </c>
      <c r="D752" s="11" t="s">
        <v>13</v>
      </c>
      <c r="E752" s="11">
        <v>-3</v>
      </c>
      <c r="F752" s="11">
        <f t="shared" si="23"/>
        <v>-3</v>
      </c>
      <c r="G752" s="11" t="s">
        <v>14</v>
      </c>
      <c r="H752" s="11" t="s">
        <v>20</v>
      </c>
      <c r="I752" s="11" t="s">
        <v>21</v>
      </c>
      <c r="J752" s="11">
        <v>5.5</v>
      </c>
      <c r="K752" s="11">
        <v>12</v>
      </c>
      <c r="L752" s="11"/>
      <c r="M752" s="11">
        <f t="shared" si="22"/>
        <v>16.5</v>
      </c>
      <c r="N752" s="11">
        <f>IF(Table1[[#This Row],[Transaction Type]]="Sale",ABS(E752)*K752,0)</f>
        <v>36</v>
      </c>
      <c r="O752" s="29">
        <f>IF(Table1[[#This Row],[Transaction Type]]="Purchase",E752*J752,0)</f>
        <v>0</v>
      </c>
    </row>
    <row r="753" spans="1:15" x14ac:dyDescent="0.35">
      <c r="A753" s="27" t="s">
        <v>1079</v>
      </c>
      <c r="B753" s="12">
        <v>45882</v>
      </c>
      <c r="C753" s="11" t="s">
        <v>141</v>
      </c>
      <c r="D753" s="11" t="s">
        <v>40</v>
      </c>
      <c r="E753" s="11">
        <v>57</v>
      </c>
      <c r="F753" s="11">
        <f t="shared" si="23"/>
        <v>57</v>
      </c>
      <c r="G753" s="11" t="s">
        <v>14</v>
      </c>
      <c r="H753" s="11" t="s">
        <v>25</v>
      </c>
      <c r="I753" s="11" t="s">
        <v>26</v>
      </c>
      <c r="J753" s="11">
        <v>4</v>
      </c>
      <c r="K753" s="11">
        <v>9</v>
      </c>
      <c r="L753" s="11" t="s">
        <v>1080</v>
      </c>
      <c r="M753" s="11">
        <f t="shared" si="22"/>
        <v>228</v>
      </c>
      <c r="N753" s="11">
        <f>IF(Table1[[#This Row],[Transaction Type]]="Sale",ABS(E753)*K753,0)</f>
        <v>0</v>
      </c>
      <c r="O753" s="29">
        <f>IF(Table1[[#This Row],[Transaction Type]]="Purchase",E753*J753,0)</f>
        <v>228</v>
      </c>
    </row>
    <row r="754" spans="1:15" x14ac:dyDescent="0.35">
      <c r="A754" s="27" t="s">
        <v>1081</v>
      </c>
      <c r="B754" s="12">
        <v>45882</v>
      </c>
      <c r="C754" s="11" t="s">
        <v>227</v>
      </c>
      <c r="D754" s="11" t="s">
        <v>13</v>
      </c>
      <c r="E754" s="11">
        <v>-6</v>
      </c>
      <c r="F754" s="11">
        <f t="shared" si="23"/>
        <v>-6</v>
      </c>
      <c r="G754" s="11" t="s">
        <v>19</v>
      </c>
      <c r="H754" s="11" t="s">
        <v>228</v>
      </c>
      <c r="I754" s="11" t="s">
        <v>16</v>
      </c>
      <c r="J754" s="11">
        <v>78</v>
      </c>
      <c r="K754" s="11">
        <v>125</v>
      </c>
      <c r="L754" s="11"/>
      <c r="M754" s="11">
        <f t="shared" si="22"/>
        <v>468</v>
      </c>
      <c r="N754" s="11">
        <f>IF(Table1[[#This Row],[Transaction Type]]="Sale",ABS(E754)*K754,0)</f>
        <v>750</v>
      </c>
      <c r="O754" s="29">
        <f>IF(Table1[[#This Row],[Transaction Type]]="Purchase",E754*J754,0)</f>
        <v>0</v>
      </c>
    </row>
    <row r="755" spans="1:15" x14ac:dyDescent="0.35">
      <c r="A755" s="27" t="s">
        <v>1082</v>
      </c>
      <c r="B755" s="12">
        <v>45883</v>
      </c>
      <c r="C755" s="11" t="s">
        <v>52</v>
      </c>
      <c r="D755" s="11" t="s">
        <v>13</v>
      </c>
      <c r="E755" s="11">
        <v>-5</v>
      </c>
      <c r="F755" s="11">
        <f t="shared" si="23"/>
        <v>-5</v>
      </c>
      <c r="G755" s="11" t="s">
        <v>19</v>
      </c>
      <c r="H755" s="11" t="s">
        <v>20</v>
      </c>
      <c r="I755" s="11" t="s">
        <v>21</v>
      </c>
      <c r="J755" s="11">
        <v>5.5</v>
      </c>
      <c r="K755" s="11">
        <v>12</v>
      </c>
      <c r="L755" s="11"/>
      <c r="M755" s="11">
        <f t="shared" si="22"/>
        <v>27.5</v>
      </c>
      <c r="N755" s="11">
        <f>IF(Table1[[#This Row],[Transaction Type]]="Sale",ABS(E755)*K755,0)</f>
        <v>60</v>
      </c>
      <c r="O755" s="29">
        <f>IF(Table1[[#This Row],[Transaction Type]]="Purchase",E755*J755,0)</f>
        <v>0</v>
      </c>
    </row>
    <row r="756" spans="1:15" x14ac:dyDescent="0.35">
      <c r="A756" s="27" t="s">
        <v>1083</v>
      </c>
      <c r="B756" s="12">
        <v>45883</v>
      </c>
      <c r="C756" s="11" t="s">
        <v>185</v>
      </c>
      <c r="D756" s="11" t="s">
        <v>13</v>
      </c>
      <c r="E756" s="11">
        <v>-11</v>
      </c>
      <c r="F756" s="11">
        <f t="shared" si="23"/>
        <v>-11</v>
      </c>
      <c r="G756" s="11" t="s">
        <v>19</v>
      </c>
      <c r="H756" s="11" t="s">
        <v>44</v>
      </c>
      <c r="I756" s="11" t="s">
        <v>45</v>
      </c>
      <c r="J756" s="11">
        <v>63</v>
      </c>
      <c r="K756" s="11">
        <v>95</v>
      </c>
      <c r="L756" s="11"/>
      <c r="M756" s="11">
        <f t="shared" si="22"/>
        <v>693</v>
      </c>
      <c r="N756" s="11">
        <f>IF(Table1[[#This Row],[Transaction Type]]="Sale",ABS(E756)*K756,0)</f>
        <v>1045</v>
      </c>
      <c r="O756" s="29">
        <f>IF(Table1[[#This Row],[Transaction Type]]="Purchase",E756*J756,0)</f>
        <v>0</v>
      </c>
    </row>
    <row r="757" spans="1:15" x14ac:dyDescent="0.35">
      <c r="A757" s="27" t="s">
        <v>1084</v>
      </c>
      <c r="B757" s="12">
        <v>45883</v>
      </c>
      <c r="C757" s="11" t="s">
        <v>48</v>
      </c>
      <c r="D757" s="11" t="s">
        <v>13</v>
      </c>
      <c r="E757" s="11">
        <v>-12</v>
      </c>
      <c r="F757" s="11">
        <f t="shared" si="23"/>
        <v>-12</v>
      </c>
      <c r="G757" s="11" t="s">
        <v>14</v>
      </c>
      <c r="H757" s="11" t="s">
        <v>49</v>
      </c>
      <c r="I757" s="11" t="s">
        <v>21</v>
      </c>
      <c r="J757" s="11">
        <v>8.5</v>
      </c>
      <c r="K757" s="11">
        <v>18</v>
      </c>
      <c r="L757" s="11"/>
      <c r="M757" s="11">
        <f t="shared" si="22"/>
        <v>102</v>
      </c>
      <c r="N757" s="11">
        <f>IF(Table1[[#This Row],[Transaction Type]]="Sale",ABS(E757)*K757,0)</f>
        <v>216</v>
      </c>
      <c r="O757" s="29">
        <f>IF(Table1[[#This Row],[Transaction Type]]="Purchase",E757*J757,0)</f>
        <v>0</v>
      </c>
    </row>
    <row r="758" spans="1:15" x14ac:dyDescent="0.35">
      <c r="A758" s="27" t="s">
        <v>1085</v>
      </c>
      <c r="B758" s="12">
        <v>45883</v>
      </c>
      <c r="C758" s="11" t="s">
        <v>141</v>
      </c>
      <c r="D758" s="11" t="s">
        <v>13</v>
      </c>
      <c r="E758" s="11">
        <v>-11</v>
      </c>
      <c r="F758" s="11">
        <f t="shared" si="23"/>
        <v>-11</v>
      </c>
      <c r="G758" s="11" t="s">
        <v>24</v>
      </c>
      <c r="H758" s="11" t="s">
        <v>25</v>
      </c>
      <c r="I758" s="11" t="s">
        <v>26</v>
      </c>
      <c r="J758" s="11">
        <v>4</v>
      </c>
      <c r="K758" s="11">
        <v>9</v>
      </c>
      <c r="L758" s="11"/>
      <c r="M758" s="11">
        <f t="shared" si="22"/>
        <v>44</v>
      </c>
      <c r="N758" s="11">
        <f>IF(Table1[[#This Row],[Transaction Type]]="Sale",ABS(E758)*K758,0)</f>
        <v>99</v>
      </c>
      <c r="O758" s="29">
        <f>IF(Table1[[#This Row],[Transaction Type]]="Purchase",E758*J758,0)</f>
        <v>0</v>
      </c>
    </row>
    <row r="759" spans="1:15" x14ac:dyDescent="0.35">
      <c r="A759" s="27" t="s">
        <v>1086</v>
      </c>
      <c r="B759" s="12">
        <v>45883</v>
      </c>
      <c r="C759" s="11" t="s">
        <v>69</v>
      </c>
      <c r="D759" s="11" t="s">
        <v>13</v>
      </c>
      <c r="E759" s="11">
        <v>-14</v>
      </c>
      <c r="F759" s="11">
        <f t="shared" si="23"/>
        <v>-14</v>
      </c>
      <c r="G759" s="11" t="s">
        <v>14</v>
      </c>
      <c r="H759" s="11" t="s">
        <v>70</v>
      </c>
      <c r="I759" s="11" t="s">
        <v>16</v>
      </c>
      <c r="J759" s="11">
        <v>23</v>
      </c>
      <c r="K759" s="11">
        <v>38</v>
      </c>
      <c r="L759" s="11"/>
      <c r="M759" s="11">
        <f t="shared" si="22"/>
        <v>322</v>
      </c>
      <c r="N759" s="11">
        <f>IF(Table1[[#This Row],[Transaction Type]]="Sale",ABS(E759)*K759,0)</f>
        <v>532</v>
      </c>
      <c r="O759" s="29">
        <f>IF(Table1[[#This Row],[Transaction Type]]="Purchase",E759*J759,0)</f>
        <v>0</v>
      </c>
    </row>
    <row r="760" spans="1:15" x14ac:dyDescent="0.35">
      <c r="A760" s="27" t="s">
        <v>1087</v>
      </c>
      <c r="B760" s="12">
        <v>45883</v>
      </c>
      <c r="C760" s="11" t="s">
        <v>36</v>
      </c>
      <c r="D760" s="11" t="s">
        <v>40</v>
      </c>
      <c r="E760" s="11">
        <v>101</v>
      </c>
      <c r="F760" s="11">
        <f t="shared" si="23"/>
        <v>101</v>
      </c>
      <c r="G760" s="11" t="s">
        <v>14</v>
      </c>
      <c r="H760" s="11" t="s">
        <v>37</v>
      </c>
      <c r="I760" s="11" t="s">
        <v>16</v>
      </c>
      <c r="J760" s="11">
        <v>7.2</v>
      </c>
      <c r="K760" s="11">
        <v>12.5</v>
      </c>
      <c r="L760" s="11" t="s">
        <v>1088</v>
      </c>
      <c r="M760" s="11">
        <f t="shared" si="22"/>
        <v>727.2</v>
      </c>
      <c r="N760" s="11">
        <f>IF(Table1[[#This Row],[Transaction Type]]="Sale",ABS(E760)*K760,0)</f>
        <v>0</v>
      </c>
      <c r="O760" s="29">
        <f>IF(Table1[[#This Row],[Transaction Type]]="Purchase",E760*J760,0)</f>
        <v>727.2</v>
      </c>
    </row>
    <row r="761" spans="1:15" x14ac:dyDescent="0.35">
      <c r="A761" s="27" t="s">
        <v>1089</v>
      </c>
      <c r="B761" s="12">
        <v>45883</v>
      </c>
      <c r="C761" s="11" t="s">
        <v>69</v>
      </c>
      <c r="D761" s="11" t="s">
        <v>13</v>
      </c>
      <c r="E761" s="11">
        <v>-12</v>
      </c>
      <c r="F761" s="11">
        <f t="shared" si="23"/>
        <v>-12</v>
      </c>
      <c r="G761" s="11" t="s">
        <v>19</v>
      </c>
      <c r="H761" s="11" t="s">
        <v>70</v>
      </c>
      <c r="I761" s="11" t="s">
        <v>16</v>
      </c>
      <c r="J761" s="11">
        <v>23</v>
      </c>
      <c r="K761" s="11">
        <v>38</v>
      </c>
      <c r="L761" s="11"/>
      <c r="M761" s="11">
        <f t="shared" si="22"/>
        <v>276</v>
      </c>
      <c r="N761" s="11">
        <f>IF(Table1[[#This Row],[Transaction Type]]="Sale",ABS(E761)*K761,0)</f>
        <v>456</v>
      </c>
      <c r="O761" s="29">
        <f>IF(Table1[[#This Row],[Transaction Type]]="Purchase",E761*J761,0)</f>
        <v>0</v>
      </c>
    </row>
    <row r="762" spans="1:15" x14ac:dyDescent="0.35">
      <c r="A762" s="27" t="s">
        <v>1090</v>
      </c>
      <c r="B762" s="12">
        <v>45884</v>
      </c>
      <c r="C762" s="11" t="s">
        <v>43</v>
      </c>
      <c r="D762" s="11" t="s">
        <v>13</v>
      </c>
      <c r="E762" s="11">
        <v>-9</v>
      </c>
      <c r="F762" s="11">
        <f t="shared" si="23"/>
        <v>-9</v>
      </c>
      <c r="G762" s="11" t="s">
        <v>14</v>
      </c>
      <c r="H762" s="11" t="s">
        <v>44</v>
      </c>
      <c r="I762" s="11" t="s">
        <v>45</v>
      </c>
      <c r="J762" s="11">
        <v>5.2</v>
      </c>
      <c r="K762" s="11">
        <v>11</v>
      </c>
      <c r="L762" s="11"/>
      <c r="M762" s="11">
        <f t="shared" si="22"/>
        <v>46.800000000000004</v>
      </c>
      <c r="N762" s="11">
        <f>IF(Table1[[#This Row],[Transaction Type]]="Sale",ABS(E762)*K762,0)</f>
        <v>99</v>
      </c>
      <c r="O762" s="29">
        <f>IF(Table1[[#This Row],[Transaction Type]]="Purchase",E762*J762,0)</f>
        <v>0</v>
      </c>
    </row>
    <row r="763" spans="1:15" x14ac:dyDescent="0.35">
      <c r="A763" s="27" t="s">
        <v>1091</v>
      </c>
      <c r="B763" s="12">
        <v>45884</v>
      </c>
      <c r="C763" s="11" t="s">
        <v>36</v>
      </c>
      <c r="D763" s="11" t="s">
        <v>13</v>
      </c>
      <c r="E763" s="11">
        <v>-13</v>
      </c>
      <c r="F763" s="11">
        <f t="shared" si="23"/>
        <v>-13</v>
      </c>
      <c r="G763" s="11" t="s">
        <v>14</v>
      </c>
      <c r="H763" s="11" t="s">
        <v>37</v>
      </c>
      <c r="I763" s="11" t="s">
        <v>16</v>
      </c>
      <c r="J763" s="11">
        <v>7.2</v>
      </c>
      <c r="K763" s="11">
        <v>12.5</v>
      </c>
      <c r="L763" s="11"/>
      <c r="M763" s="11">
        <f t="shared" si="22"/>
        <v>93.600000000000009</v>
      </c>
      <c r="N763" s="11">
        <f>IF(Table1[[#This Row],[Transaction Type]]="Sale",ABS(E763)*K763,0)</f>
        <v>162.5</v>
      </c>
      <c r="O763" s="29">
        <f>IF(Table1[[#This Row],[Transaction Type]]="Purchase",E763*J763,0)</f>
        <v>0</v>
      </c>
    </row>
    <row r="764" spans="1:15" x14ac:dyDescent="0.35">
      <c r="A764" s="27" t="s">
        <v>1092</v>
      </c>
      <c r="B764" s="12">
        <v>45884</v>
      </c>
      <c r="C764" s="11" t="s">
        <v>794</v>
      </c>
      <c r="D764" s="11" t="s">
        <v>13</v>
      </c>
      <c r="E764" s="11">
        <v>-2</v>
      </c>
      <c r="F764" s="11">
        <f t="shared" si="23"/>
        <v>-2</v>
      </c>
      <c r="G764" s="11" t="s">
        <v>14</v>
      </c>
      <c r="H764" s="11" t="s">
        <v>74</v>
      </c>
      <c r="I764" s="11" t="s">
        <v>75</v>
      </c>
      <c r="J764" s="11">
        <v>82</v>
      </c>
      <c r="K764" s="11">
        <v>135</v>
      </c>
      <c r="L764" s="11"/>
      <c r="M764" s="11">
        <f t="shared" si="22"/>
        <v>164</v>
      </c>
      <c r="N764" s="11">
        <f>IF(Table1[[#This Row],[Transaction Type]]="Sale",ABS(E764)*K764,0)</f>
        <v>270</v>
      </c>
      <c r="O764" s="29">
        <f>IF(Table1[[#This Row],[Transaction Type]]="Purchase",E764*J764,0)</f>
        <v>0</v>
      </c>
    </row>
    <row r="765" spans="1:15" x14ac:dyDescent="0.35">
      <c r="A765" s="27" t="s">
        <v>1093</v>
      </c>
      <c r="B765" s="12">
        <v>45884</v>
      </c>
      <c r="C765" s="11" t="s">
        <v>52</v>
      </c>
      <c r="D765" s="11" t="s">
        <v>40</v>
      </c>
      <c r="E765" s="11">
        <v>106</v>
      </c>
      <c r="F765" s="11">
        <f t="shared" si="23"/>
        <v>106</v>
      </c>
      <c r="G765" s="11" t="s">
        <v>19</v>
      </c>
      <c r="H765" s="11" t="s">
        <v>20</v>
      </c>
      <c r="I765" s="11" t="s">
        <v>21</v>
      </c>
      <c r="J765" s="11">
        <v>5.5</v>
      </c>
      <c r="K765" s="11">
        <v>12</v>
      </c>
      <c r="L765" s="11" t="s">
        <v>1094</v>
      </c>
      <c r="M765" s="11">
        <f t="shared" si="22"/>
        <v>583</v>
      </c>
      <c r="N765" s="11">
        <f>IF(Table1[[#This Row],[Transaction Type]]="Sale",ABS(E765)*K765,0)</f>
        <v>0</v>
      </c>
      <c r="O765" s="29">
        <f>IF(Table1[[#This Row],[Transaction Type]]="Purchase",E765*J765,0)</f>
        <v>583</v>
      </c>
    </row>
    <row r="766" spans="1:15" x14ac:dyDescent="0.35">
      <c r="A766" s="27" t="s">
        <v>1095</v>
      </c>
      <c r="B766" s="12">
        <v>45885</v>
      </c>
      <c r="C766" s="11" t="s">
        <v>69</v>
      </c>
      <c r="D766" s="11" t="s">
        <v>13</v>
      </c>
      <c r="E766" s="11">
        <v>-2</v>
      </c>
      <c r="F766" s="11">
        <f t="shared" si="23"/>
        <v>-2</v>
      </c>
      <c r="G766" s="11" t="s">
        <v>24</v>
      </c>
      <c r="H766" s="11" t="s">
        <v>70</v>
      </c>
      <c r="I766" s="11" t="s">
        <v>16</v>
      </c>
      <c r="J766" s="11">
        <v>23</v>
      </c>
      <c r="K766" s="11">
        <v>38</v>
      </c>
      <c r="L766" s="11"/>
      <c r="M766" s="11">
        <f t="shared" si="22"/>
        <v>46</v>
      </c>
      <c r="N766" s="11">
        <f>IF(Table1[[#This Row],[Transaction Type]]="Sale",ABS(E766)*K766,0)</f>
        <v>76</v>
      </c>
      <c r="O766" s="29">
        <f>IF(Table1[[#This Row],[Transaction Type]]="Purchase",E766*J766,0)</f>
        <v>0</v>
      </c>
    </row>
    <row r="767" spans="1:15" x14ac:dyDescent="0.35">
      <c r="A767" s="27" t="s">
        <v>1096</v>
      </c>
      <c r="B767" s="12">
        <v>45885</v>
      </c>
      <c r="C767" s="11" t="s">
        <v>60</v>
      </c>
      <c r="D767" s="11" t="s">
        <v>58</v>
      </c>
      <c r="E767" s="11">
        <v>6</v>
      </c>
      <c r="F767" s="11">
        <f t="shared" si="23"/>
        <v>6</v>
      </c>
      <c r="G767" s="11" t="s">
        <v>14</v>
      </c>
      <c r="H767" s="11" t="s">
        <v>61</v>
      </c>
      <c r="I767" s="11" t="s">
        <v>62</v>
      </c>
      <c r="J767" s="11">
        <v>3.4</v>
      </c>
      <c r="K767" s="11">
        <v>8</v>
      </c>
      <c r="L767" s="11"/>
      <c r="M767" s="11">
        <f t="shared" si="22"/>
        <v>20.399999999999999</v>
      </c>
      <c r="N767" s="11">
        <f>IF(Table1[[#This Row],[Transaction Type]]="Sale",ABS(E767)*K767,0)</f>
        <v>0</v>
      </c>
      <c r="O767" s="29">
        <f>IF(Table1[[#This Row],[Transaction Type]]="Purchase",E767*J767,0)</f>
        <v>0</v>
      </c>
    </row>
    <row r="768" spans="1:15" x14ac:dyDescent="0.35">
      <c r="A768" s="27" t="s">
        <v>1097</v>
      </c>
      <c r="B768" s="12">
        <v>45886</v>
      </c>
      <c r="C768" s="11" t="s">
        <v>60</v>
      </c>
      <c r="D768" s="11" t="s">
        <v>13</v>
      </c>
      <c r="E768" s="11">
        <v>-6</v>
      </c>
      <c r="F768" s="11">
        <f t="shared" si="23"/>
        <v>-6</v>
      </c>
      <c r="G768" s="11" t="s">
        <v>24</v>
      </c>
      <c r="H768" s="11" t="s">
        <v>61</v>
      </c>
      <c r="I768" s="11" t="s">
        <v>62</v>
      </c>
      <c r="J768" s="11">
        <v>3.4</v>
      </c>
      <c r="K768" s="11">
        <v>8</v>
      </c>
      <c r="L768" s="11"/>
      <c r="M768" s="11">
        <f t="shared" si="22"/>
        <v>20.399999999999999</v>
      </c>
      <c r="N768" s="11">
        <f>IF(Table1[[#This Row],[Transaction Type]]="Sale",ABS(E768)*K768,0)</f>
        <v>48</v>
      </c>
      <c r="O768" s="29">
        <f>IF(Table1[[#This Row],[Transaction Type]]="Purchase",E768*J768,0)</f>
        <v>0</v>
      </c>
    </row>
    <row r="769" spans="1:15" x14ac:dyDescent="0.35">
      <c r="A769" s="27" t="s">
        <v>1098</v>
      </c>
      <c r="B769" s="12">
        <v>45886</v>
      </c>
      <c r="C769" s="11" t="s">
        <v>29</v>
      </c>
      <c r="D769" s="11" t="s">
        <v>40</v>
      </c>
      <c r="E769" s="11">
        <v>117</v>
      </c>
      <c r="F769" s="11">
        <f t="shared" si="23"/>
        <v>117</v>
      </c>
      <c r="G769" s="11" t="s">
        <v>14</v>
      </c>
      <c r="H769" s="11" t="s">
        <v>30</v>
      </c>
      <c r="I769" s="11" t="s">
        <v>16</v>
      </c>
      <c r="J769" s="11">
        <v>8.8000000000000007</v>
      </c>
      <c r="K769" s="11">
        <v>17</v>
      </c>
      <c r="L769" s="11" t="s">
        <v>1099</v>
      </c>
      <c r="M769" s="11">
        <f t="shared" si="22"/>
        <v>1029.6000000000001</v>
      </c>
      <c r="N769" s="11">
        <f>IF(Table1[[#This Row],[Transaction Type]]="Sale",ABS(E769)*K769,0)</f>
        <v>0</v>
      </c>
      <c r="O769" s="29">
        <f>IF(Table1[[#This Row],[Transaction Type]]="Purchase",E769*J769,0)</f>
        <v>1029.6000000000001</v>
      </c>
    </row>
    <row r="770" spans="1:15" x14ac:dyDescent="0.35">
      <c r="A770" s="27" t="s">
        <v>1100</v>
      </c>
      <c r="B770" s="12">
        <v>45886</v>
      </c>
      <c r="C770" s="11" t="s">
        <v>36</v>
      </c>
      <c r="D770" s="11" t="s">
        <v>13</v>
      </c>
      <c r="E770" s="11">
        <v>-8</v>
      </c>
      <c r="F770" s="11">
        <f t="shared" si="23"/>
        <v>-8</v>
      </c>
      <c r="G770" s="11" t="s">
        <v>24</v>
      </c>
      <c r="H770" s="11" t="s">
        <v>37</v>
      </c>
      <c r="I770" s="11" t="s">
        <v>16</v>
      </c>
      <c r="J770" s="11">
        <v>7.2</v>
      </c>
      <c r="K770" s="11">
        <v>12.5</v>
      </c>
      <c r="L770" s="11"/>
      <c r="M770" s="11">
        <f t="shared" ref="M770:M833" si="24">ABS(E770)*J770</f>
        <v>57.6</v>
      </c>
      <c r="N770" s="11">
        <f>IF(Table1[[#This Row],[Transaction Type]]="Sale",ABS(E770)*K770,0)</f>
        <v>100</v>
      </c>
      <c r="O770" s="29">
        <f>IF(Table1[[#This Row],[Transaction Type]]="Purchase",E770*J770,0)</f>
        <v>0</v>
      </c>
    </row>
    <row r="771" spans="1:15" x14ac:dyDescent="0.35">
      <c r="A771" s="27" t="s">
        <v>1101</v>
      </c>
      <c r="B771" s="12">
        <v>45886</v>
      </c>
      <c r="C771" s="11" t="s">
        <v>94</v>
      </c>
      <c r="D771" s="11" t="s">
        <v>40</v>
      </c>
      <c r="E771" s="11">
        <v>71</v>
      </c>
      <c r="F771" s="11">
        <f t="shared" ref="F771:F834" si="25">E771</f>
        <v>71</v>
      </c>
      <c r="G771" s="11" t="s">
        <v>24</v>
      </c>
      <c r="H771" s="11" t="s">
        <v>95</v>
      </c>
      <c r="I771" s="11" t="s">
        <v>16</v>
      </c>
      <c r="J771" s="11">
        <v>18.5</v>
      </c>
      <c r="K771" s="11">
        <v>31</v>
      </c>
      <c r="L771" s="11" t="s">
        <v>1102</v>
      </c>
      <c r="M771" s="11">
        <f t="shared" si="24"/>
        <v>1313.5</v>
      </c>
      <c r="N771" s="11">
        <f>IF(Table1[[#This Row],[Transaction Type]]="Sale",ABS(E771)*K771,0)</f>
        <v>0</v>
      </c>
      <c r="O771" s="29">
        <f>IF(Table1[[#This Row],[Transaction Type]]="Purchase",E771*J771,0)</f>
        <v>1313.5</v>
      </c>
    </row>
    <row r="772" spans="1:15" x14ac:dyDescent="0.35">
      <c r="A772" s="27" t="s">
        <v>1103</v>
      </c>
      <c r="B772" s="12">
        <v>45886</v>
      </c>
      <c r="C772" s="11" t="s">
        <v>81</v>
      </c>
      <c r="D772" s="11" t="s">
        <v>13</v>
      </c>
      <c r="E772" s="11">
        <v>-4</v>
      </c>
      <c r="F772" s="11">
        <f t="shared" si="25"/>
        <v>-4</v>
      </c>
      <c r="G772" s="11" t="s">
        <v>14</v>
      </c>
      <c r="H772" s="11" t="s">
        <v>30</v>
      </c>
      <c r="I772" s="11" t="s">
        <v>16</v>
      </c>
      <c r="J772" s="11">
        <v>8</v>
      </c>
      <c r="K772" s="11">
        <v>15</v>
      </c>
      <c r="L772" s="11"/>
      <c r="M772" s="11">
        <f t="shared" si="24"/>
        <v>32</v>
      </c>
      <c r="N772" s="11">
        <f>IF(Table1[[#This Row],[Transaction Type]]="Sale",ABS(E772)*K772,0)</f>
        <v>60</v>
      </c>
      <c r="O772" s="29">
        <f>IF(Table1[[#This Row],[Transaction Type]]="Purchase",E772*J772,0)</f>
        <v>0</v>
      </c>
    </row>
    <row r="773" spans="1:15" x14ac:dyDescent="0.35">
      <c r="A773" s="27" t="s">
        <v>1104</v>
      </c>
      <c r="B773" s="12">
        <v>45886</v>
      </c>
      <c r="C773" s="11" t="s">
        <v>136</v>
      </c>
      <c r="D773" s="11" t="s">
        <v>40</v>
      </c>
      <c r="E773" s="11">
        <v>37</v>
      </c>
      <c r="F773" s="11">
        <f t="shared" si="25"/>
        <v>37</v>
      </c>
      <c r="G773" s="11" t="s">
        <v>14</v>
      </c>
      <c r="H773" s="11" t="s">
        <v>33</v>
      </c>
      <c r="I773" s="11" t="s">
        <v>34</v>
      </c>
      <c r="J773" s="11">
        <v>34</v>
      </c>
      <c r="K773" s="11">
        <v>55</v>
      </c>
      <c r="L773" s="11" t="s">
        <v>1105</v>
      </c>
      <c r="M773" s="11">
        <f t="shared" si="24"/>
        <v>1258</v>
      </c>
      <c r="N773" s="11">
        <f>IF(Table1[[#This Row],[Transaction Type]]="Sale",ABS(E773)*K773,0)</f>
        <v>0</v>
      </c>
      <c r="O773" s="29">
        <f>IF(Table1[[#This Row],[Transaction Type]]="Purchase",E773*J773,0)</f>
        <v>1258</v>
      </c>
    </row>
    <row r="774" spans="1:15" x14ac:dyDescent="0.35">
      <c r="A774" s="27" t="s">
        <v>1106</v>
      </c>
      <c r="B774" s="12">
        <v>45886</v>
      </c>
      <c r="C774" s="11" t="s">
        <v>185</v>
      </c>
      <c r="D774" s="11" t="s">
        <v>40</v>
      </c>
      <c r="E774" s="11">
        <v>112</v>
      </c>
      <c r="F774" s="11">
        <f t="shared" si="25"/>
        <v>112</v>
      </c>
      <c r="G774" s="11" t="s">
        <v>14</v>
      </c>
      <c r="H774" s="11" t="s">
        <v>44</v>
      </c>
      <c r="I774" s="11" t="s">
        <v>45</v>
      </c>
      <c r="J774" s="11">
        <v>63</v>
      </c>
      <c r="K774" s="11">
        <v>95</v>
      </c>
      <c r="L774" s="11" t="s">
        <v>1107</v>
      </c>
      <c r="M774" s="11">
        <f t="shared" si="24"/>
        <v>7056</v>
      </c>
      <c r="N774" s="11">
        <f>IF(Table1[[#This Row],[Transaction Type]]="Sale",ABS(E774)*K774,0)</f>
        <v>0</v>
      </c>
      <c r="O774" s="29">
        <f>IF(Table1[[#This Row],[Transaction Type]]="Purchase",E774*J774,0)</f>
        <v>7056</v>
      </c>
    </row>
    <row r="775" spans="1:15" x14ac:dyDescent="0.35">
      <c r="A775" s="27" t="s">
        <v>1108</v>
      </c>
      <c r="B775" s="12">
        <v>45887</v>
      </c>
      <c r="C775" s="11" t="s">
        <v>136</v>
      </c>
      <c r="D775" s="11" t="s">
        <v>40</v>
      </c>
      <c r="E775" s="11">
        <v>41</v>
      </c>
      <c r="F775" s="11">
        <f t="shared" si="25"/>
        <v>41</v>
      </c>
      <c r="G775" s="11" t="s">
        <v>14</v>
      </c>
      <c r="H775" s="11" t="s">
        <v>33</v>
      </c>
      <c r="I775" s="11" t="s">
        <v>34</v>
      </c>
      <c r="J775" s="11">
        <v>34</v>
      </c>
      <c r="K775" s="11">
        <v>55</v>
      </c>
      <c r="L775" s="11" t="s">
        <v>1109</v>
      </c>
      <c r="M775" s="11">
        <f t="shared" si="24"/>
        <v>1394</v>
      </c>
      <c r="N775" s="11">
        <f>IF(Table1[[#This Row],[Transaction Type]]="Sale",ABS(E775)*K775,0)</f>
        <v>0</v>
      </c>
      <c r="O775" s="29">
        <f>IF(Table1[[#This Row],[Transaction Type]]="Purchase",E775*J775,0)</f>
        <v>1394</v>
      </c>
    </row>
    <row r="776" spans="1:15" x14ac:dyDescent="0.35">
      <c r="A776" s="27" t="s">
        <v>1110</v>
      </c>
      <c r="B776" s="12">
        <v>45887</v>
      </c>
      <c r="C776" s="11" t="s">
        <v>43</v>
      </c>
      <c r="D776" s="11" t="s">
        <v>40</v>
      </c>
      <c r="E776" s="11">
        <v>73</v>
      </c>
      <c r="F776" s="11">
        <f t="shared" si="25"/>
        <v>73</v>
      </c>
      <c r="G776" s="11" t="s">
        <v>19</v>
      </c>
      <c r="H776" s="11" t="s">
        <v>44</v>
      </c>
      <c r="I776" s="11" t="s">
        <v>45</v>
      </c>
      <c r="J776" s="11">
        <v>5.2</v>
      </c>
      <c r="K776" s="11">
        <v>11</v>
      </c>
      <c r="L776" s="11" t="s">
        <v>1111</v>
      </c>
      <c r="M776" s="11">
        <f t="shared" si="24"/>
        <v>379.6</v>
      </c>
      <c r="N776" s="11">
        <f>IF(Table1[[#This Row],[Transaction Type]]="Sale",ABS(E776)*K776,0)</f>
        <v>0</v>
      </c>
      <c r="O776" s="29">
        <f>IF(Table1[[#This Row],[Transaction Type]]="Purchase",E776*J776,0)</f>
        <v>379.6</v>
      </c>
    </row>
    <row r="777" spans="1:15" x14ac:dyDescent="0.35">
      <c r="A777" s="27" t="s">
        <v>1112</v>
      </c>
      <c r="B777" s="12">
        <v>45888</v>
      </c>
      <c r="C777" s="11" t="s">
        <v>94</v>
      </c>
      <c r="D777" s="11" t="s">
        <v>13</v>
      </c>
      <c r="E777" s="11">
        <v>-3</v>
      </c>
      <c r="F777" s="11">
        <f t="shared" si="25"/>
        <v>-3</v>
      </c>
      <c r="G777" s="11" t="s">
        <v>14</v>
      </c>
      <c r="H777" s="11" t="s">
        <v>95</v>
      </c>
      <c r="I777" s="11" t="s">
        <v>16</v>
      </c>
      <c r="J777" s="11">
        <v>18.5</v>
      </c>
      <c r="K777" s="11">
        <v>31</v>
      </c>
      <c r="L777" s="11"/>
      <c r="M777" s="11">
        <f t="shared" si="24"/>
        <v>55.5</v>
      </c>
      <c r="N777" s="11">
        <f>IF(Table1[[#This Row],[Transaction Type]]="Sale",ABS(E777)*K777,0)</f>
        <v>93</v>
      </c>
      <c r="O777" s="29">
        <f>IF(Table1[[#This Row],[Transaction Type]]="Purchase",E777*J777,0)</f>
        <v>0</v>
      </c>
    </row>
    <row r="778" spans="1:15" x14ac:dyDescent="0.35">
      <c r="A778" s="27" t="s">
        <v>1113</v>
      </c>
      <c r="B778" s="12">
        <v>45888</v>
      </c>
      <c r="C778" s="11" t="s">
        <v>136</v>
      </c>
      <c r="D778" s="11" t="s">
        <v>40</v>
      </c>
      <c r="E778" s="11">
        <v>91</v>
      </c>
      <c r="F778" s="11">
        <f t="shared" si="25"/>
        <v>91</v>
      </c>
      <c r="G778" s="11" t="s">
        <v>24</v>
      </c>
      <c r="H778" s="11" t="s">
        <v>33</v>
      </c>
      <c r="I778" s="11" t="s">
        <v>34</v>
      </c>
      <c r="J778" s="11">
        <v>34</v>
      </c>
      <c r="K778" s="11">
        <v>55</v>
      </c>
      <c r="L778" s="11" t="s">
        <v>1114</v>
      </c>
      <c r="M778" s="11">
        <f t="shared" si="24"/>
        <v>3094</v>
      </c>
      <c r="N778" s="11">
        <f>IF(Table1[[#This Row],[Transaction Type]]="Sale",ABS(E778)*K778,0)</f>
        <v>0</v>
      </c>
      <c r="O778" s="29">
        <f>IF(Table1[[#This Row],[Transaction Type]]="Purchase",E778*J778,0)</f>
        <v>3094</v>
      </c>
    </row>
    <row r="779" spans="1:15" x14ac:dyDescent="0.35">
      <c r="A779" s="27" t="s">
        <v>1115</v>
      </c>
      <c r="B779" s="12">
        <v>45888</v>
      </c>
      <c r="C779" s="11" t="s">
        <v>350</v>
      </c>
      <c r="D779" s="11" t="s">
        <v>40</v>
      </c>
      <c r="E779" s="11">
        <v>47</v>
      </c>
      <c r="F779" s="11">
        <f t="shared" si="25"/>
        <v>47</v>
      </c>
      <c r="G779" s="11" t="s">
        <v>24</v>
      </c>
      <c r="H779" s="11" t="s">
        <v>74</v>
      </c>
      <c r="I779" s="11" t="s">
        <v>75</v>
      </c>
      <c r="J779" s="11">
        <v>145</v>
      </c>
      <c r="K779" s="11">
        <v>210</v>
      </c>
      <c r="L779" s="11" t="s">
        <v>1116</v>
      </c>
      <c r="M779" s="11">
        <f t="shared" si="24"/>
        <v>6815</v>
      </c>
      <c r="N779" s="11">
        <f>IF(Table1[[#This Row],[Transaction Type]]="Sale",ABS(E779)*K779,0)</f>
        <v>0</v>
      </c>
      <c r="O779" s="29">
        <f>IF(Table1[[#This Row],[Transaction Type]]="Purchase",E779*J779,0)</f>
        <v>6815</v>
      </c>
    </row>
    <row r="780" spans="1:15" x14ac:dyDescent="0.35">
      <c r="A780" s="27" t="s">
        <v>1117</v>
      </c>
      <c r="B780" s="12">
        <v>45888</v>
      </c>
      <c r="C780" s="11" t="s">
        <v>12</v>
      </c>
      <c r="D780" s="11" t="s">
        <v>13</v>
      </c>
      <c r="E780" s="11">
        <v>-12</v>
      </c>
      <c r="F780" s="11">
        <f t="shared" si="25"/>
        <v>-12</v>
      </c>
      <c r="G780" s="11" t="s">
        <v>19</v>
      </c>
      <c r="H780" s="11" t="s">
        <v>15</v>
      </c>
      <c r="I780" s="11" t="s">
        <v>16</v>
      </c>
      <c r="J780" s="11">
        <v>13.5</v>
      </c>
      <c r="K780" s="11">
        <v>24</v>
      </c>
      <c r="L780" s="11"/>
      <c r="M780" s="11">
        <f t="shared" si="24"/>
        <v>162</v>
      </c>
      <c r="N780" s="11">
        <f>IF(Table1[[#This Row],[Transaction Type]]="Sale",ABS(E780)*K780,0)</f>
        <v>288</v>
      </c>
      <c r="O780" s="29">
        <f>IF(Table1[[#This Row],[Transaction Type]]="Purchase",E780*J780,0)</f>
        <v>0</v>
      </c>
    </row>
    <row r="781" spans="1:15" x14ac:dyDescent="0.35">
      <c r="A781" s="27" t="s">
        <v>1118</v>
      </c>
      <c r="B781" s="12">
        <v>45888</v>
      </c>
      <c r="C781" s="11" t="s">
        <v>48</v>
      </c>
      <c r="D781" s="11" t="s">
        <v>58</v>
      </c>
      <c r="E781" s="11">
        <v>-18</v>
      </c>
      <c r="F781" s="11">
        <f t="shared" si="25"/>
        <v>-18</v>
      </c>
      <c r="G781" s="11" t="s">
        <v>24</v>
      </c>
      <c r="H781" s="11" t="s">
        <v>49</v>
      </c>
      <c r="I781" s="11" t="s">
        <v>21</v>
      </c>
      <c r="J781" s="11">
        <v>8.5</v>
      </c>
      <c r="K781" s="11">
        <v>18</v>
      </c>
      <c r="L781" s="11"/>
      <c r="M781" s="11">
        <f t="shared" si="24"/>
        <v>153</v>
      </c>
      <c r="N781" s="11">
        <f>IF(Table1[[#This Row],[Transaction Type]]="Sale",ABS(E781)*K781,0)</f>
        <v>0</v>
      </c>
      <c r="O781" s="29">
        <f>IF(Table1[[#This Row],[Transaction Type]]="Purchase",E781*J781,0)</f>
        <v>0</v>
      </c>
    </row>
    <row r="782" spans="1:15" x14ac:dyDescent="0.35">
      <c r="A782" s="27" t="s">
        <v>1119</v>
      </c>
      <c r="B782" s="12">
        <v>45889</v>
      </c>
      <c r="C782" s="11" t="s">
        <v>65</v>
      </c>
      <c r="D782" s="11" t="s">
        <v>13</v>
      </c>
      <c r="E782" s="11">
        <v>-4</v>
      </c>
      <c r="F782" s="11">
        <f t="shared" si="25"/>
        <v>-4</v>
      </c>
      <c r="G782" s="11" t="s">
        <v>14</v>
      </c>
      <c r="H782" s="11" t="s">
        <v>67</v>
      </c>
      <c r="I782" s="11" t="s">
        <v>21</v>
      </c>
      <c r="J782" s="11">
        <v>11</v>
      </c>
      <c r="K782" s="11">
        <v>22</v>
      </c>
      <c r="L782" s="11"/>
      <c r="M782" s="11">
        <f t="shared" si="24"/>
        <v>44</v>
      </c>
      <c r="N782" s="11">
        <f>IF(Table1[[#This Row],[Transaction Type]]="Sale",ABS(E782)*K782,0)</f>
        <v>88</v>
      </c>
      <c r="O782" s="29">
        <f>IF(Table1[[#This Row],[Transaction Type]]="Purchase",E782*J782,0)</f>
        <v>0</v>
      </c>
    </row>
    <row r="783" spans="1:15" x14ac:dyDescent="0.35">
      <c r="A783" s="27" t="s">
        <v>1120</v>
      </c>
      <c r="B783" s="12">
        <v>45889</v>
      </c>
      <c r="C783" s="11" t="s">
        <v>23</v>
      </c>
      <c r="D783" s="11" t="s">
        <v>13</v>
      </c>
      <c r="E783" s="11">
        <v>-10</v>
      </c>
      <c r="F783" s="11">
        <f t="shared" si="25"/>
        <v>-10</v>
      </c>
      <c r="G783" s="11" t="s">
        <v>14</v>
      </c>
      <c r="H783" s="11" t="s">
        <v>25</v>
      </c>
      <c r="I783" s="11" t="s">
        <v>26</v>
      </c>
      <c r="J783" s="11">
        <v>3</v>
      </c>
      <c r="K783" s="11">
        <v>7</v>
      </c>
      <c r="L783" s="11"/>
      <c r="M783" s="11">
        <f t="shared" si="24"/>
        <v>30</v>
      </c>
      <c r="N783" s="11">
        <f>IF(Table1[[#This Row],[Transaction Type]]="Sale",ABS(E783)*K783,0)</f>
        <v>70</v>
      </c>
      <c r="O783" s="29">
        <f>IF(Table1[[#This Row],[Transaction Type]]="Purchase",E783*J783,0)</f>
        <v>0</v>
      </c>
    </row>
    <row r="784" spans="1:15" x14ac:dyDescent="0.35">
      <c r="A784" s="27" t="s">
        <v>1121</v>
      </c>
      <c r="B784" s="12">
        <v>45889</v>
      </c>
      <c r="C784" s="11" t="s">
        <v>23</v>
      </c>
      <c r="D784" s="11" t="s">
        <v>40</v>
      </c>
      <c r="E784" s="11">
        <v>54</v>
      </c>
      <c r="F784" s="11">
        <f t="shared" si="25"/>
        <v>54</v>
      </c>
      <c r="G784" s="11" t="s">
        <v>24</v>
      </c>
      <c r="H784" s="11" t="s">
        <v>25</v>
      </c>
      <c r="I784" s="11" t="s">
        <v>26</v>
      </c>
      <c r="J784" s="11">
        <v>3</v>
      </c>
      <c r="K784" s="11">
        <v>7</v>
      </c>
      <c r="L784" s="11" t="s">
        <v>1122</v>
      </c>
      <c r="M784" s="11">
        <f t="shared" si="24"/>
        <v>162</v>
      </c>
      <c r="N784" s="11">
        <f>IF(Table1[[#This Row],[Transaction Type]]="Sale",ABS(E784)*K784,0)</f>
        <v>0</v>
      </c>
      <c r="O784" s="29">
        <f>IF(Table1[[#This Row],[Transaction Type]]="Purchase",E784*J784,0)</f>
        <v>162</v>
      </c>
    </row>
    <row r="785" spans="1:15" x14ac:dyDescent="0.35">
      <c r="A785" s="27" t="s">
        <v>1123</v>
      </c>
      <c r="B785" s="12">
        <v>45889</v>
      </c>
      <c r="C785" s="11" t="s">
        <v>23</v>
      </c>
      <c r="D785" s="11" t="s">
        <v>40</v>
      </c>
      <c r="E785" s="11">
        <v>73</v>
      </c>
      <c r="F785" s="11">
        <f t="shared" si="25"/>
        <v>73</v>
      </c>
      <c r="G785" s="11" t="s">
        <v>14</v>
      </c>
      <c r="H785" s="11" t="s">
        <v>25</v>
      </c>
      <c r="I785" s="11" t="s">
        <v>26</v>
      </c>
      <c r="J785" s="11">
        <v>3</v>
      </c>
      <c r="K785" s="11">
        <v>7</v>
      </c>
      <c r="L785" s="11" t="s">
        <v>1124</v>
      </c>
      <c r="M785" s="11">
        <f t="shared" si="24"/>
        <v>219</v>
      </c>
      <c r="N785" s="11">
        <f>IF(Table1[[#This Row],[Transaction Type]]="Sale",ABS(E785)*K785,0)</f>
        <v>0</v>
      </c>
      <c r="O785" s="29">
        <f>IF(Table1[[#This Row],[Transaction Type]]="Purchase",E785*J785,0)</f>
        <v>219</v>
      </c>
    </row>
    <row r="786" spans="1:15" x14ac:dyDescent="0.35">
      <c r="A786" s="27" t="s">
        <v>1125</v>
      </c>
      <c r="B786" s="12">
        <v>45889</v>
      </c>
      <c r="C786" s="11" t="s">
        <v>83</v>
      </c>
      <c r="D786" s="11" t="s">
        <v>13</v>
      </c>
      <c r="E786" s="11">
        <v>-1</v>
      </c>
      <c r="F786" s="11">
        <f t="shared" si="25"/>
        <v>-1</v>
      </c>
      <c r="G786" s="11" t="s">
        <v>14</v>
      </c>
      <c r="H786" s="11" t="s">
        <v>84</v>
      </c>
      <c r="I786" s="11" t="s">
        <v>45</v>
      </c>
      <c r="J786" s="11">
        <v>130</v>
      </c>
      <c r="K786" s="11">
        <v>185</v>
      </c>
      <c r="L786" s="11"/>
      <c r="M786" s="11">
        <f t="shared" si="24"/>
        <v>130</v>
      </c>
      <c r="N786" s="11">
        <f>IF(Table1[[#This Row],[Transaction Type]]="Sale",ABS(E786)*K786,0)</f>
        <v>185</v>
      </c>
      <c r="O786" s="29">
        <f>IF(Table1[[#This Row],[Transaction Type]]="Purchase",E786*J786,0)</f>
        <v>0</v>
      </c>
    </row>
    <row r="787" spans="1:15" x14ac:dyDescent="0.35">
      <c r="A787" s="27" t="s">
        <v>1126</v>
      </c>
      <c r="B787" s="12">
        <v>45890</v>
      </c>
      <c r="C787" s="11" t="s">
        <v>83</v>
      </c>
      <c r="D787" s="11" t="s">
        <v>13</v>
      </c>
      <c r="E787" s="11">
        <v>-6</v>
      </c>
      <c r="F787" s="11">
        <f t="shared" si="25"/>
        <v>-6</v>
      </c>
      <c r="G787" s="11" t="s">
        <v>14</v>
      </c>
      <c r="H787" s="11" t="s">
        <v>84</v>
      </c>
      <c r="I787" s="11" t="s">
        <v>45</v>
      </c>
      <c r="J787" s="11">
        <v>130</v>
      </c>
      <c r="K787" s="11">
        <v>185</v>
      </c>
      <c r="L787" s="11"/>
      <c r="M787" s="11">
        <f t="shared" si="24"/>
        <v>780</v>
      </c>
      <c r="N787" s="11">
        <f>IF(Table1[[#This Row],[Transaction Type]]="Sale",ABS(E787)*K787,0)</f>
        <v>1110</v>
      </c>
      <c r="O787" s="29">
        <f>IF(Table1[[#This Row],[Transaction Type]]="Purchase",E787*J787,0)</f>
        <v>0</v>
      </c>
    </row>
    <row r="788" spans="1:15" x14ac:dyDescent="0.35">
      <c r="A788" s="27" t="s">
        <v>1127</v>
      </c>
      <c r="B788" s="12">
        <v>45890</v>
      </c>
      <c r="C788" s="11" t="s">
        <v>139</v>
      </c>
      <c r="D788" s="11" t="s">
        <v>13</v>
      </c>
      <c r="E788" s="11">
        <v>-10</v>
      </c>
      <c r="F788" s="11">
        <f t="shared" si="25"/>
        <v>-10</v>
      </c>
      <c r="G788" s="11" t="s">
        <v>19</v>
      </c>
      <c r="H788" s="11" t="s">
        <v>56</v>
      </c>
      <c r="I788" s="11" t="s">
        <v>16</v>
      </c>
      <c r="J788" s="11">
        <v>16.5</v>
      </c>
      <c r="K788" s="11">
        <v>28</v>
      </c>
      <c r="L788" s="11"/>
      <c r="M788" s="11">
        <f t="shared" si="24"/>
        <v>165</v>
      </c>
      <c r="N788" s="11">
        <f>IF(Table1[[#This Row],[Transaction Type]]="Sale",ABS(E788)*K788,0)</f>
        <v>280</v>
      </c>
      <c r="O788" s="29">
        <f>IF(Table1[[#This Row],[Transaction Type]]="Purchase",E788*J788,0)</f>
        <v>0</v>
      </c>
    </row>
    <row r="789" spans="1:15" x14ac:dyDescent="0.35">
      <c r="A789" s="27" t="s">
        <v>1128</v>
      </c>
      <c r="B789" s="12">
        <v>45890</v>
      </c>
      <c r="C789" s="11" t="s">
        <v>29</v>
      </c>
      <c r="D789" s="11" t="s">
        <v>13</v>
      </c>
      <c r="E789" s="11">
        <v>-10</v>
      </c>
      <c r="F789" s="11">
        <f t="shared" si="25"/>
        <v>-10</v>
      </c>
      <c r="G789" s="11" t="s">
        <v>14</v>
      </c>
      <c r="H789" s="11" t="s">
        <v>30</v>
      </c>
      <c r="I789" s="11" t="s">
        <v>16</v>
      </c>
      <c r="J789" s="11">
        <v>8.8000000000000007</v>
      </c>
      <c r="K789" s="11">
        <v>17</v>
      </c>
      <c r="L789" s="11"/>
      <c r="M789" s="11">
        <f t="shared" si="24"/>
        <v>88</v>
      </c>
      <c r="N789" s="11">
        <f>IF(Table1[[#This Row],[Transaction Type]]="Sale",ABS(E789)*K789,0)</f>
        <v>170</v>
      </c>
      <c r="O789" s="29">
        <f>IF(Table1[[#This Row],[Transaction Type]]="Purchase",E789*J789,0)</f>
        <v>0</v>
      </c>
    </row>
    <row r="790" spans="1:15" x14ac:dyDescent="0.35">
      <c r="A790" s="27" t="s">
        <v>1129</v>
      </c>
      <c r="B790" s="12">
        <v>45890</v>
      </c>
      <c r="C790" s="11" t="s">
        <v>98</v>
      </c>
      <c r="D790" s="11" t="s">
        <v>13</v>
      </c>
      <c r="E790" s="11">
        <v>-10</v>
      </c>
      <c r="F790" s="11">
        <f t="shared" si="25"/>
        <v>-10</v>
      </c>
      <c r="G790" s="11" t="s">
        <v>14</v>
      </c>
      <c r="H790" s="11" t="s">
        <v>30</v>
      </c>
      <c r="I790" s="11" t="s">
        <v>16</v>
      </c>
      <c r="J790" s="11">
        <v>16</v>
      </c>
      <c r="K790" s="11">
        <v>29</v>
      </c>
      <c r="L790" s="11"/>
      <c r="M790" s="11">
        <f t="shared" si="24"/>
        <v>160</v>
      </c>
      <c r="N790" s="11">
        <f>IF(Table1[[#This Row],[Transaction Type]]="Sale",ABS(E790)*K790,0)</f>
        <v>290</v>
      </c>
      <c r="O790" s="29">
        <f>IF(Table1[[#This Row],[Transaction Type]]="Purchase",E790*J790,0)</f>
        <v>0</v>
      </c>
    </row>
    <row r="791" spans="1:15" x14ac:dyDescent="0.35">
      <c r="A791" s="27" t="s">
        <v>1130</v>
      </c>
      <c r="B791" s="12">
        <v>45891</v>
      </c>
      <c r="C791" s="11" t="s">
        <v>23</v>
      </c>
      <c r="D791" s="11" t="s">
        <v>40</v>
      </c>
      <c r="E791" s="11">
        <v>113</v>
      </c>
      <c r="F791" s="11">
        <f t="shared" si="25"/>
        <v>113</v>
      </c>
      <c r="G791" s="11" t="s">
        <v>19</v>
      </c>
      <c r="H791" s="11" t="s">
        <v>25</v>
      </c>
      <c r="I791" s="11" t="s">
        <v>26</v>
      </c>
      <c r="J791" s="11">
        <v>3</v>
      </c>
      <c r="K791" s="11">
        <v>7</v>
      </c>
      <c r="L791" s="11" t="s">
        <v>1131</v>
      </c>
      <c r="M791" s="11">
        <f t="shared" si="24"/>
        <v>339</v>
      </c>
      <c r="N791" s="11">
        <f>IF(Table1[[#This Row],[Transaction Type]]="Sale",ABS(E791)*K791,0)</f>
        <v>0</v>
      </c>
      <c r="O791" s="29">
        <f>IF(Table1[[#This Row],[Transaction Type]]="Purchase",E791*J791,0)</f>
        <v>339</v>
      </c>
    </row>
    <row r="792" spans="1:15" x14ac:dyDescent="0.35">
      <c r="A792" s="27" t="s">
        <v>1132</v>
      </c>
      <c r="B792" s="12">
        <v>45891</v>
      </c>
      <c r="C792" s="11" t="s">
        <v>77</v>
      </c>
      <c r="D792" s="11" t="s">
        <v>13</v>
      </c>
      <c r="E792" s="11">
        <v>-14</v>
      </c>
      <c r="F792" s="11">
        <f t="shared" si="25"/>
        <v>-14</v>
      </c>
      <c r="G792" s="11" t="s">
        <v>19</v>
      </c>
      <c r="H792" s="11" t="s">
        <v>78</v>
      </c>
      <c r="I792" s="11" t="s">
        <v>16</v>
      </c>
      <c r="J792" s="11">
        <v>25</v>
      </c>
      <c r="K792" s="11">
        <v>42</v>
      </c>
      <c r="L792" s="11"/>
      <c r="M792" s="11">
        <f t="shared" si="24"/>
        <v>350</v>
      </c>
      <c r="N792" s="11">
        <f>IF(Table1[[#This Row],[Transaction Type]]="Sale",ABS(E792)*K792,0)</f>
        <v>588</v>
      </c>
      <c r="O792" s="29">
        <f>IF(Table1[[#This Row],[Transaction Type]]="Purchase",E792*J792,0)</f>
        <v>0</v>
      </c>
    </row>
    <row r="793" spans="1:15" x14ac:dyDescent="0.35">
      <c r="A793" s="27" t="s">
        <v>1133</v>
      </c>
      <c r="B793" s="12">
        <v>45892</v>
      </c>
      <c r="C793" s="11" t="s">
        <v>18</v>
      </c>
      <c r="D793" s="11" t="s">
        <v>13</v>
      </c>
      <c r="E793" s="11">
        <v>-9</v>
      </c>
      <c r="F793" s="11">
        <f t="shared" si="25"/>
        <v>-9</v>
      </c>
      <c r="G793" s="11" t="s">
        <v>19</v>
      </c>
      <c r="H793" s="11" t="s">
        <v>20</v>
      </c>
      <c r="I793" s="11" t="s">
        <v>21</v>
      </c>
      <c r="J793" s="11">
        <v>2.6</v>
      </c>
      <c r="K793" s="11">
        <v>5.5</v>
      </c>
      <c r="L793" s="11"/>
      <c r="M793" s="11">
        <f t="shared" si="24"/>
        <v>23.400000000000002</v>
      </c>
      <c r="N793" s="11">
        <f>IF(Table1[[#This Row],[Transaction Type]]="Sale",ABS(E793)*K793,0)</f>
        <v>49.5</v>
      </c>
      <c r="O793" s="29">
        <f>IF(Table1[[#This Row],[Transaction Type]]="Purchase",E793*J793,0)</f>
        <v>0</v>
      </c>
    </row>
    <row r="794" spans="1:15" x14ac:dyDescent="0.35">
      <c r="A794" s="27" t="s">
        <v>1134</v>
      </c>
      <c r="B794" s="12">
        <v>45892</v>
      </c>
      <c r="C794" s="11" t="s">
        <v>81</v>
      </c>
      <c r="D794" s="11" t="s">
        <v>13</v>
      </c>
      <c r="E794" s="11">
        <v>-3</v>
      </c>
      <c r="F794" s="11">
        <f t="shared" si="25"/>
        <v>-3</v>
      </c>
      <c r="G794" s="11" t="s">
        <v>14</v>
      </c>
      <c r="H794" s="11" t="s">
        <v>30</v>
      </c>
      <c r="I794" s="11" t="s">
        <v>16</v>
      </c>
      <c r="J794" s="11">
        <v>8</v>
      </c>
      <c r="K794" s="11">
        <v>15</v>
      </c>
      <c r="L794" s="11"/>
      <c r="M794" s="11">
        <f t="shared" si="24"/>
        <v>24</v>
      </c>
      <c r="N794" s="11">
        <f>IF(Table1[[#This Row],[Transaction Type]]="Sale",ABS(E794)*K794,0)</f>
        <v>45</v>
      </c>
      <c r="O794" s="29">
        <f>IF(Table1[[#This Row],[Transaction Type]]="Purchase",E794*J794,0)</f>
        <v>0</v>
      </c>
    </row>
    <row r="795" spans="1:15" x14ac:dyDescent="0.35">
      <c r="A795" s="27" t="s">
        <v>1135</v>
      </c>
      <c r="B795" s="12">
        <v>45892</v>
      </c>
      <c r="C795" s="11" t="s">
        <v>52</v>
      </c>
      <c r="D795" s="11" t="s">
        <v>13</v>
      </c>
      <c r="E795" s="11">
        <v>-2</v>
      </c>
      <c r="F795" s="11">
        <f t="shared" si="25"/>
        <v>-2</v>
      </c>
      <c r="G795" s="11" t="s">
        <v>14</v>
      </c>
      <c r="H795" s="11" t="s">
        <v>20</v>
      </c>
      <c r="I795" s="11" t="s">
        <v>21</v>
      </c>
      <c r="J795" s="11">
        <v>5.5</v>
      </c>
      <c r="K795" s="11">
        <v>12</v>
      </c>
      <c r="L795" s="11"/>
      <c r="M795" s="11">
        <f t="shared" si="24"/>
        <v>11</v>
      </c>
      <c r="N795" s="11">
        <f>IF(Table1[[#This Row],[Transaction Type]]="Sale",ABS(E795)*K795,0)</f>
        <v>24</v>
      </c>
      <c r="O795" s="29">
        <f>IF(Table1[[#This Row],[Transaction Type]]="Purchase",E795*J795,0)</f>
        <v>0</v>
      </c>
    </row>
    <row r="796" spans="1:15" x14ac:dyDescent="0.35">
      <c r="A796" s="27" t="s">
        <v>1136</v>
      </c>
      <c r="B796" s="12">
        <v>45892</v>
      </c>
      <c r="C796" s="11" t="s">
        <v>18</v>
      </c>
      <c r="D796" s="11" t="s">
        <v>40</v>
      </c>
      <c r="E796" s="11">
        <v>91</v>
      </c>
      <c r="F796" s="11">
        <f t="shared" si="25"/>
        <v>91</v>
      </c>
      <c r="G796" s="11" t="s">
        <v>14</v>
      </c>
      <c r="H796" s="11" t="s">
        <v>20</v>
      </c>
      <c r="I796" s="11" t="s">
        <v>21</v>
      </c>
      <c r="J796" s="11">
        <v>2.6</v>
      </c>
      <c r="K796" s="11">
        <v>5.5</v>
      </c>
      <c r="L796" s="11" t="s">
        <v>1137</v>
      </c>
      <c r="M796" s="11">
        <f t="shared" si="24"/>
        <v>236.6</v>
      </c>
      <c r="N796" s="11">
        <f>IF(Table1[[#This Row],[Transaction Type]]="Sale",ABS(E796)*K796,0)</f>
        <v>0</v>
      </c>
      <c r="O796" s="29">
        <f>IF(Table1[[#This Row],[Transaction Type]]="Purchase",E796*J796,0)</f>
        <v>236.6</v>
      </c>
    </row>
    <row r="797" spans="1:15" x14ac:dyDescent="0.35">
      <c r="A797" s="27" t="s">
        <v>1138</v>
      </c>
      <c r="B797" s="12">
        <v>45892</v>
      </c>
      <c r="C797" s="11" t="s">
        <v>81</v>
      </c>
      <c r="D797" s="11" t="s">
        <v>13</v>
      </c>
      <c r="E797" s="11">
        <v>-4</v>
      </c>
      <c r="F797" s="11">
        <f t="shared" si="25"/>
        <v>-4</v>
      </c>
      <c r="G797" s="11" t="s">
        <v>14</v>
      </c>
      <c r="H797" s="11" t="s">
        <v>30</v>
      </c>
      <c r="I797" s="11" t="s">
        <v>16</v>
      </c>
      <c r="J797" s="11">
        <v>8</v>
      </c>
      <c r="K797" s="11">
        <v>15</v>
      </c>
      <c r="L797" s="11"/>
      <c r="M797" s="11">
        <f t="shared" si="24"/>
        <v>32</v>
      </c>
      <c r="N797" s="11">
        <f>IF(Table1[[#This Row],[Transaction Type]]="Sale",ABS(E797)*K797,0)</f>
        <v>60</v>
      </c>
      <c r="O797" s="29">
        <f>IF(Table1[[#This Row],[Transaction Type]]="Purchase",E797*J797,0)</f>
        <v>0</v>
      </c>
    </row>
    <row r="798" spans="1:15" x14ac:dyDescent="0.35">
      <c r="A798" s="27" t="s">
        <v>1139</v>
      </c>
      <c r="B798" s="12">
        <v>45893</v>
      </c>
      <c r="C798" s="11" t="s">
        <v>109</v>
      </c>
      <c r="D798" s="11" t="s">
        <v>13</v>
      </c>
      <c r="E798" s="11">
        <v>-6</v>
      </c>
      <c r="F798" s="11">
        <f t="shared" si="25"/>
        <v>-6</v>
      </c>
      <c r="G798" s="11" t="s">
        <v>14</v>
      </c>
      <c r="H798" s="11" t="s">
        <v>110</v>
      </c>
      <c r="I798" s="11" t="s">
        <v>26</v>
      </c>
      <c r="J798" s="11">
        <v>105</v>
      </c>
      <c r="K798" s="11">
        <v>165</v>
      </c>
      <c r="L798" s="11"/>
      <c r="M798" s="11">
        <f t="shared" si="24"/>
        <v>630</v>
      </c>
      <c r="N798" s="11">
        <f>IF(Table1[[#This Row],[Transaction Type]]="Sale",ABS(E798)*K798,0)</f>
        <v>990</v>
      </c>
      <c r="O798" s="29">
        <f>IF(Table1[[#This Row],[Transaction Type]]="Purchase",E798*J798,0)</f>
        <v>0</v>
      </c>
    </row>
    <row r="799" spans="1:15" x14ac:dyDescent="0.35">
      <c r="A799" s="27" t="s">
        <v>1140</v>
      </c>
      <c r="B799" s="12">
        <v>45893</v>
      </c>
      <c r="C799" s="11" t="s">
        <v>52</v>
      </c>
      <c r="D799" s="11" t="s">
        <v>13</v>
      </c>
      <c r="E799" s="11">
        <v>-4</v>
      </c>
      <c r="F799" s="11">
        <f t="shared" si="25"/>
        <v>-4</v>
      </c>
      <c r="G799" s="11" t="s">
        <v>14</v>
      </c>
      <c r="H799" s="11" t="s">
        <v>20</v>
      </c>
      <c r="I799" s="11" t="s">
        <v>21</v>
      </c>
      <c r="J799" s="11">
        <v>5.5</v>
      </c>
      <c r="K799" s="11">
        <v>12</v>
      </c>
      <c r="L799" s="11"/>
      <c r="M799" s="11">
        <f t="shared" si="24"/>
        <v>22</v>
      </c>
      <c r="N799" s="11">
        <f>IF(Table1[[#This Row],[Transaction Type]]="Sale",ABS(E799)*K799,0)</f>
        <v>48</v>
      </c>
      <c r="O799" s="29">
        <f>IF(Table1[[#This Row],[Transaction Type]]="Purchase",E799*J799,0)</f>
        <v>0</v>
      </c>
    </row>
    <row r="800" spans="1:15" x14ac:dyDescent="0.35">
      <c r="A800" s="27" t="s">
        <v>1141</v>
      </c>
      <c r="B800" s="12">
        <v>45893</v>
      </c>
      <c r="C800" s="11" t="s">
        <v>94</v>
      </c>
      <c r="D800" s="11" t="s">
        <v>13</v>
      </c>
      <c r="E800" s="11">
        <v>-12</v>
      </c>
      <c r="F800" s="11">
        <f t="shared" si="25"/>
        <v>-12</v>
      </c>
      <c r="G800" s="11" t="s">
        <v>24</v>
      </c>
      <c r="H800" s="11" t="s">
        <v>95</v>
      </c>
      <c r="I800" s="11" t="s">
        <v>16</v>
      </c>
      <c r="J800" s="11">
        <v>18.5</v>
      </c>
      <c r="K800" s="11">
        <v>31</v>
      </c>
      <c r="L800" s="11"/>
      <c r="M800" s="11">
        <f t="shared" si="24"/>
        <v>222</v>
      </c>
      <c r="N800" s="11">
        <f>IF(Table1[[#This Row],[Transaction Type]]="Sale",ABS(E800)*K800,0)</f>
        <v>372</v>
      </c>
      <c r="O800" s="29">
        <f>IF(Table1[[#This Row],[Transaction Type]]="Purchase",E800*J800,0)</f>
        <v>0</v>
      </c>
    </row>
    <row r="801" spans="1:15" x14ac:dyDescent="0.35">
      <c r="A801" s="27" t="s">
        <v>1142</v>
      </c>
      <c r="B801" s="12">
        <v>45893</v>
      </c>
      <c r="C801" s="11" t="s">
        <v>227</v>
      </c>
      <c r="D801" s="11" t="s">
        <v>40</v>
      </c>
      <c r="E801" s="11">
        <v>94</v>
      </c>
      <c r="F801" s="11">
        <f t="shared" si="25"/>
        <v>94</v>
      </c>
      <c r="G801" s="11" t="s">
        <v>24</v>
      </c>
      <c r="H801" s="11" t="s">
        <v>228</v>
      </c>
      <c r="I801" s="11" t="s">
        <v>16</v>
      </c>
      <c r="J801" s="11">
        <v>78</v>
      </c>
      <c r="K801" s="11">
        <v>125</v>
      </c>
      <c r="L801" s="11" t="s">
        <v>1143</v>
      </c>
      <c r="M801" s="11">
        <f t="shared" si="24"/>
        <v>7332</v>
      </c>
      <c r="N801" s="11">
        <f>IF(Table1[[#This Row],[Transaction Type]]="Sale",ABS(E801)*K801,0)</f>
        <v>0</v>
      </c>
      <c r="O801" s="29">
        <f>IF(Table1[[#This Row],[Transaction Type]]="Purchase",E801*J801,0)</f>
        <v>7332</v>
      </c>
    </row>
    <row r="802" spans="1:15" x14ac:dyDescent="0.35">
      <c r="A802" s="27" t="s">
        <v>1144</v>
      </c>
      <c r="B802" s="12">
        <v>45893</v>
      </c>
      <c r="C802" s="11" t="s">
        <v>170</v>
      </c>
      <c r="D802" s="11" t="s">
        <v>13</v>
      </c>
      <c r="E802" s="11">
        <v>-6</v>
      </c>
      <c r="F802" s="11">
        <f t="shared" si="25"/>
        <v>-6</v>
      </c>
      <c r="G802" s="11" t="s">
        <v>14</v>
      </c>
      <c r="H802" s="11" t="s">
        <v>171</v>
      </c>
      <c r="I802" s="11" t="s">
        <v>34</v>
      </c>
      <c r="J802" s="11">
        <v>25</v>
      </c>
      <c r="K802" s="11">
        <v>45</v>
      </c>
      <c r="L802" s="11"/>
      <c r="M802" s="11">
        <f t="shared" si="24"/>
        <v>150</v>
      </c>
      <c r="N802" s="11">
        <f>IF(Table1[[#This Row],[Transaction Type]]="Sale",ABS(E802)*K802,0)</f>
        <v>270</v>
      </c>
      <c r="O802" s="29">
        <f>IF(Table1[[#This Row],[Transaction Type]]="Purchase",E802*J802,0)</f>
        <v>0</v>
      </c>
    </row>
    <row r="803" spans="1:15" x14ac:dyDescent="0.35">
      <c r="A803" s="27" t="s">
        <v>1145</v>
      </c>
      <c r="B803" s="12">
        <v>45894</v>
      </c>
      <c r="C803" s="11" t="s">
        <v>36</v>
      </c>
      <c r="D803" s="11" t="s">
        <v>13</v>
      </c>
      <c r="E803" s="11">
        <v>-7</v>
      </c>
      <c r="F803" s="11">
        <f t="shared" si="25"/>
        <v>-7</v>
      </c>
      <c r="G803" s="11" t="s">
        <v>24</v>
      </c>
      <c r="H803" s="11" t="s">
        <v>37</v>
      </c>
      <c r="I803" s="11" t="s">
        <v>16</v>
      </c>
      <c r="J803" s="11">
        <v>7.2</v>
      </c>
      <c r="K803" s="11">
        <v>12.5</v>
      </c>
      <c r="L803" s="11"/>
      <c r="M803" s="11">
        <f t="shared" si="24"/>
        <v>50.4</v>
      </c>
      <c r="N803" s="11">
        <f>IF(Table1[[#This Row],[Transaction Type]]="Sale",ABS(E803)*K803,0)</f>
        <v>87.5</v>
      </c>
      <c r="O803" s="29">
        <f>IF(Table1[[#This Row],[Transaction Type]]="Purchase",E803*J803,0)</f>
        <v>0</v>
      </c>
    </row>
    <row r="804" spans="1:15" x14ac:dyDescent="0.35">
      <c r="A804" s="27" t="s">
        <v>1146</v>
      </c>
      <c r="B804" s="12">
        <v>45894</v>
      </c>
      <c r="C804" s="11" t="s">
        <v>32</v>
      </c>
      <c r="D804" s="11" t="s">
        <v>13</v>
      </c>
      <c r="E804" s="11">
        <v>-2</v>
      </c>
      <c r="F804" s="11">
        <f t="shared" si="25"/>
        <v>-2</v>
      </c>
      <c r="G804" s="11" t="s">
        <v>14</v>
      </c>
      <c r="H804" s="11" t="s">
        <v>33</v>
      </c>
      <c r="I804" s="11" t="s">
        <v>34</v>
      </c>
      <c r="J804" s="11">
        <v>20</v>
      </c>
      <c r="K804" s="11">
        <v>35</v>
      </c>
      <c r="L804" s="11"/>
      <c r="M804" s="11">
        <f t="shared" si="24"/>
        <v>40</v>
      </c>
      <c r="N804" s="11">
        <f>IF(Table1[[#This Row],[Transaction Type]]="Sale",ABS(E804)*K804,0)</f>
        <v>70</v>
      </c>
      <c r="O804" s="29">
        <f>IF(Table1[[#This Row],[Transaction Type]]="Purchase",E804*J804,0)</f>
        <v>0</v>
      </c>
    </row>
    <row r="805" spans="1:15" x14ac:dyDescent="0.35">
      <c r="A805" s="27" t="s">
        <v>1147</v>
      </c>
      <c r="B805" s="12">
        <v>45894</v>
      </c>
      <c r="C805" s="11" t="s">
        <v>18</v>
      </c>
      <c r="D805" s="11" t="s">
        <v>13</v>
      </c>
      <c r="E805" s="11">
        <v>-13</v>
      </c>
      <c r="F805" s="11">
        <f t="shared" si="25"/>
        <v>-13</v>
      </c>
      <c r="G805" s="11" t="s">
        <v>19</v>
      </c>
      <c r="H805" s="11" t="s">
        <v>20</v>
      </c>
      <c r="I805" s="11" t="s">
        <v>21</v>
      </c>
      <c r="J805" s="11">
        <v>2.6</v>
      </c>
      <c r="K805" s="11">
        <v>5.5</v>
      </c>
      <c r="L805" s="11"/>
      <c r="M805" s="11">
        <f t="shared" si="24"/>
        <v>33.800000000000004</v>
      </c>
      <c r="N805" s="11">
        <f>IF(Table1[[#This Row],[Transaction Type]]="Sale",ABS(E805)*K805,0)</f>
        <v>71.5</v>
      </c>
      <c r="O805" s="29">
        <f>IF(Table1[[#This Row],[Transaction Type]]="Purchase",E805*J805,0)</f>
        <v>0</v>
      </c>
    </row>
    <row r="806" spans="1:15" x14ac:dyDescent="0.35">
      <c r="A806" s="27" t="s">
        <v>1148</v>
      </c>
      <c r="B806" s="12">
        <v>45894</v>
      </c>
      <c r="C806" s="11" t="s">
        <v>136</v>
      </c>
      <c r="D806" s="11" t="s">
        <v>13</v>
      </c>
      <c r="E806" s="11">
        <v>-7</v>
      </c>
      <c r="F806" s="11">
        <f t="shared" si="25"/>
        <v>-7</v>
      </c>
      <c r="G806" s="11" t="s">
        <v>14</v>
      </c>
      <c r="H806" s="11" t="s">
        <v>33</v>
      </c>
      <c r="I806" s="11" t="s">
        <v>34</v>
      </c>
      <c r="J806" s="11">
        <v>34</v>
      </c>
      <c r="K806" s="11">
        <v>55</v>
      </c>
      <c r="L806" s="11"/>
      <c r="M806" s="11">
        <f t="shared" si="24"/>
        <v>238</v>
      </c>
      <c r="N806" s="11">
        <f>IF(Table1[[#This Row],[Transaction Type]]="Sale",ABS(E806)*K806,0)</f>
        <v>385</v>
      </c>
      <c r="O806" s="29">
        <f>IF(Table1[[#This Row],[Transaction Type]]="Purchase",E806*J806,0)</f>
        <v>0</v>
      </c>
    </row>
    <row r="807" spans="1:15" x14ac:dyDescent="0.35">
      <c r="A807" s="27" t="s">
        <v>1149</v>
      </c>
      <c r="B807" s="12">
        <v>45894</v>
      </c>
      <c r="C807" s="11" t="s">
        <v>170</v>
      </c>
      <c r="D807" s="11" t="s">
        <v>13</v>
      </c>
      <c r="E807" s="11">
        <v>-13</v>
      </c>
      <c r="F807" s="11">
        <f t="shared" si="25"/>
        <v>-13</v>
      </c>
      <c r="G807" s="11" t="s">
        <v>2522</v>
      </c>
      <c r="H807" s="11" t="s">
        <v>171</v>
      </c>
      <c r="I807" s="11" t="s">
        <v>34</v>
      </c>
      <c r="J807" s="11">
        <v>25</v>
      </c>
      <c r="K807" s="11">
        <v>45</v>
      </c>
      <c r="L807" s="11"/>
      <c r="M807" s="11">
        <f t="shared" si="24"/>
        <v>325</v>
      </c>
      <c r="N807" s="11">
        <f>IF(Table1[[#This Row],[Transaction Type]]="Sale",ABS(E807)*K807,0)</f>
        <v>585</v>
      </c>
      <c r="O807" s="29">
        <f>IF(Table1[[#This Row],[Transaction Type]]="Purchase",E807*J807,0)</f>
        <v>0</v>
      </c>
    </row>
    <row r="808" spans="1:15" x14ac:dyDescent="0.35">
      <c r="A808" s="27" t="s">
        <v>1150</v>
      </c>
      <c r="B808" s="12">
        <v>45894</v>
      </c>
      <c r="C808" s="11" t="s">
        <v>12</v>
      </c>
      <c r="D808" s="11" t="s">
        <v>40</v>
      </c>
      <c r="E808" s="11">
        <v>64</v>
      </c>
      <c r="F808" s="11">
        <f t="shared" si="25"/>
        <v>64</v>
      </c>
      <c r="G808" s="11" t="s">
        <v>19</v>
      </c>
      <c r="H808" s="11" t="s">
        <v>15</v>
      </c>
      <c r="I808" s="11" t="s">
        <v>16</v>
      </c>
      <c r="J808" s="11">
        <v>13.5</v>
      </c>
      <c r="K808" s="11">
        <v>24</v>
      </c>
      <c r="L808" s="11" t="s">
        <v>1151</v>
      </c>
      <c r="M808" s="11">
        <f t="shared" si="24"/>
        <v>864</v>
      </c>
      <c r="N808" s="11">
        <f>IF(Table1[[#This Row],[Transaction Type]]="Sale",ABS(E808)*K808,0)</f>
        <v>0</v>
      </c>
      <c r="O808" s="29">
        <f>IF(Table1[[#This Row],[Transaction Type]]="Purchase",E808*J808,0)</f>
        <v>864</v>
      </c>
    </row>
    <row r="809" spans="1:15" x14ac:dyDescent="0.35">
      <c r="A809" s="27" t="s">
        <v>1152</v>
      </c>
      <c r="B809" s="12">
        <v>45894</v>
      </c>
      <c r="C809" s="11" t="s">
        <v>48</v>
      </c>
      <c r="D809" s="11" t="s">
        <v>13</v>
      </c>
      <c r="E809" s="11">
        <v>-3</v>
      </c>
      <c r="F809" s="11">
        <f t="shared" si="25"/>
        <v>-3</v>
      </c>
      <c r="G809" s="11" t="s">
        <v>14</v>
      </c>
      <c r="H809" s="11" t="s">
        <v>49</v>
      </c>
      <c r="I809" s="11" t="s">
        <v>21</v>
      </c>
      <c r="J809" s="11">
        <v>8.5</v>
      </c>
      <c r="K809" s="11">
        <v>18</v>
      </c>
      <c r="L809" s="11"/>
      <c r="M809" s="11">
        <f t="shared" si="24"/>
        <v>25.5</v>
      </c>
      <c r="N809" s="11">
        <f>IF(Table1[[#This Row],[Transaction Type]]="Sale",ABS(E809)*K809,0)</f>
        <v>54</v>
      </c>
      <c r="O809" s="29">
        <f>IF(Table1[[#This Row],[Transaction Type]]="Purchase",E809*J809,0)</f>
        <v>0</v>
      </c>
    </row>
    <row r="810" spans="1:15" x14ac:dyDescent="0.35">
      <c r="A810" s="27" t="s">
        <v>1153</v>
      </c>
      <c r="B810" s="12">
        <v>45894</v>
      </c>
      <c r="C810" s="11" t="s">
        <v>170</v>
      </c>
      <c r="D810" s="11" t="s">
        <v>13</v>
      </c>
      <c r="E810" s="11">
        <v>-15</v>
      </c>
      <c r="F810" s="11">
        <f t="shared" si="25"/>
        <v>-15</v>
      </c>
      <c r="G810" s="11" t="s">
        <v>14</v>
      </c>
      <c r="H810" s="11" t="s">
        <v>171</v>
      </c>
      <c r="I810" s="11" t="s">
        <v>34</v>
      </c>
      <c r="J810" s="11">
        <v>25</v>
      </c>
      <c r="K810" s="11">
        <v>45</v>
      </c>
      <c r="L810" s="11"/>
      <c r="M810" s="11">
        <f t="shared" si="24"/>
        <v>375</v>
      </c>
      <c r="N810" s="11">
        <f>IF(Table1[[#This Row],[Transaction Type]]="Sale",ABS(E810)*K810,0)</f>
        <v>675</v>
      </c>
      <c r="O810" s="29">
        <f>IF(Table1[[#This Row],[Transaction Type]]="Purchase",E810*J810,0)</f>
        <v>0</v>
      </c>
    </row>
    <row r="811" spans="1:15" x14ac:dyDescent="0.35">
      <c r="A811" s="27" t="s">
        <v>1154</v>
      </c>
      <c r="B811" s="12">
        <v>45895</v>
      </c>
      <c r="C811" s="11" t="s">
        <v>794</v>
      </c>
      <c r="D811" s="11" t="s">
        <v>13</v>
      </c>
      <c r="E811" s="11">
        <v>-6</v>
      </c>
      <c r="F811" s="11">
        <f t="shared" si="25"/>
        <v>-6</v>
      </c>
      <c r="G811" s="11" t="s">
        <v>24</v>
      </c>
      <c r="H811" s="11" t="s">
        <v>74</v>
      </c>
      <c r="I811" s="11" t="s">
        <v>75</v>
      </c>
      <c r="J811" s="11">
        <v>82</v>
      </c>
      <c r="K811" s="11">
        <v>135</v>
      </c>
      <c r="L811" s="11"/>
      <c r="M811" s="11">
        <f t="shared" si="24"/>
        <v>492</v>
      </c>
      <c r="N811" s="11">
        <f>IF(Table1[[#This Row],[Transaction Type]]="Sale",ABS(E811)*K811,0)</f>
        <v>810</v>
      </c>
      <c r="O811" s="29">
        <f>IF(Table1[[#This Row],[Transaction Type]]="Purchase",E811*J811,0)</f>
        <v>0</v>
      </c>
    </row>
    <row r="812" spans="1:15" x14ac:dyDescent="0.35">
      <c r="A812" s="27" t="s">
        <v>1155</v>
      </c>
      <c r="B812" s="12">
        <v>45895</v>
      </c>
      <c r="C812" s="11" t="s">
        <v>18</v>
      </c>
      <c r="D812" s="11" t="s">
        <v>40</v>
      </c>
      <c r="E812" s="11">
        <v>81</v>
      </c>
      <c r="F812" s="11">
        <f t="shared" si="25"/>
        <v>81</v>
      </c>
      <c r="G812" s="11" t="s">
        <v>24</v>
      </c>
      <c r="H812" s="11" t="s">
        <v>20</v>
      </c>
      <c r="I812" s="11" t="s">
        <v>21</v>
      </c>
      <c r="J812" s="11">
        <v>2.6</v>
      </c>
      <c r="K812" s="11">
        <v>5.5</v>
      </c>
      <c r="L812" s="11" t="s">
        <v>1156</v>
      </c>
      <c r="M812" s="11">
        <f t="shared" si="24"/>
        <v>210.6</v>
      </c>
      <c r="N812" s="11">
        <f>IF(Table1[[#This Row],[Transaction Type]]="Sale",ABS(E812)*K812,0)</f>
        <v>0</v>
      </c>
      <c r="O812" s="29">
        <f>IF(Table1[[#This Row],[Transaction Type]]="Purchase",E812*J812,0)</f>
        <v>210.6</v>
      </c>
    </row>
    <row r="813" spans="1:15" x14ac:dyDescent="0.35">
      <c r="A813" s="27" t="s">
        <v>1157</v>
      </c>
      <c r="B813" s="12">
        <v>45895</v>
      </c>
      <c r="C813" s="11" t="s">
        <v>36</v>
      </c>
      <c r="D813" s="11" t="s">
        <v>40</v>
      </c>
      <c r="E813" s="11">
        <v>112</v>
      </c>
      <c r="F813" s="11">
        <f t="shared" si="25"/>
        <v>112</v>
      </c>
      <c r="G813" s="11" t="s">
        <v>24</v>
      </c>
      <c r="H813" s="11" t="s">
        <v>37</v>
      </c>
      <c r="I813" s="11" t="s">
        <v>16</v>
      </c>
      <c r="J813" s="11">
        <v>7.2</v>
      </c>
      <c r="K813" s="11">
        <v>12.5</v>
      </c>
      <c r="L813" s="11" t="s">
        <v>1158</v>
      </c>
      <c r="M813" s="11">
        <f t="shared" si="24"/>
        <v>806.4</v>
      </c>
      <c r="N813" s="11">
        <f>IF(Table1[[#This Row],[Transaction Type]]="Sale",ABS(E813)*K813,0)</f>
        <v>0</v>
      </c>
      <c r="O813" s="29">
        <f>IF(Table1[[#This Row],[Transaction Type]]="Purchase",E813*J813,0)</f>
        <v>806.4</v>
      </c>
    </row>
    <row r="814" spans="1:15" x14ac:dyDescent="0.35">
      <c r="A814" s="27" t="s">
        <v>1159</v>
      </c>
      <c r="B814" s="12">
        <v>45895</v>
      </c>
      <c r="C814" s="11" t="s">
        <v>65</v>
      </c>
      <c r="D814" s="11" t="s">
        <v>13</v>
      </c>
      <c r="E814" s="11">
        <v>-1</v>
      </c>
      <c r="F814" s="11">
        <f t="shared" si="25"/>
        <v>-1</v>
      </c>
      <c r="G814" s="11" t="s">
        <v>24</v>
      </c>
      <c r="H814" s="11" t="s">
        <v>67</v>
      </c>
      <c r="I814" s="11" t="s">
        <v>21</v>
      </c>
      <c r="J814" s="11">
        <v>11</v>
      </c>
      <c r="K814" s="11">
        <v>22</v>
      </c>
      <c r="L814" s="11"/>
      <c r="M814" s="11">
        <f t="shared" si="24"/>
        <v>11</v>
      </c>
      <c r="N814" s="11">
        <f>IF(Table1[[#This Row],[Transaction Type]]="Sale",ABS(E814)*K814,0)</f>
        <v>22</v>
      </c>
      <c r="O814" s="29">
        <f>IF(Table1[[#This Row],[Transaction Type]]="Purchase",E814*J814,0)</f>
        <v>0</v>
      </c>
    </row>
    <row r="815" spans="1:15" x14ac:dyDescent="0.35">
      <c r="A815" s="27" t="s">
        <v>1160</v>
      </c>
      <c r="B815" s="12">
        <v>45895</v>
      </c>
      <c r="C815" s="11" t="s">
        <v>60</v>
      </c>
      <c r="D815" s="11" t="s">
        <v>66</v>
      </c>
      <c r="E815" s="11">
        <v>4</v>
      </c>
      <c r="F815" s="11">
        <f t="shared" si="25"/>
        <v>4</v>
      </c>
      <c r="G815" s="11" t="s">
        <v>14</v>
      </c>
      <c r="H815" s="11" t="s">
        <v>61</v>
      </c>
      <c r="I815" s="11" t="s">
        <v>62</v>
      </c>
      <c r="J815" s="11">
        <v>3.4</v>
      </c>
      <c r="K815" s="11">
        <v>8</v>
      </c>
      <c r="L815" s="11"/>
      <c r="M815" s="11">
        <f t="shared" si="24"/>
        <v>13.6</v>
      </c>
      <c r="N815" s="11">
        <f>IF(Table1[[#This Row],[Transaction Type]]="Sale",ABS(E815)*K815,0)</f>
        <v>0</v>
      </c>
      <c r="O815" s="29">
        <f>IF(Table1[[#This Row],[Transaction Type]]="Purchase",E815*J815,0)</f>
        <v>0</v>
      </c>
    </row>
    <row r="816" spans="1:15" x14ac:dyDescent="0.35">
      <c r="A816" s="27" t="s">
        <v>1161</v>
      </c>
      <c r="B816" s="12">
        <v>45896</v>
      </c>
      <c r="C816" s="11" t="s">
        <v>69</v>
      </c>
      <c r="D816" s="11" t="s">
        <v>40</v>
      </c>
      <c r="E816" s="11">
        <v>106</v>
      </c>
      <c r="F816" s="11">
        <f t="shared" si="25"/>
        <v>106</v>
      </c>
      <c r="G816" s="11" t="s">
        <v>14</v>
      </c>
      <c r="H816" s="11" t="s">
        <v>70</v>
      </c>
      <c r="I816" s="11" t="s">
        <v>16</v>
      </c>
      <c r="J816" s="11">
        <v>23</v>
      </c>
      <c r="K816" s="11">
        <v>38</v>
      </c>
      <c r="L816" s="11" t="s">
        <v>1162</v>
      </c>
      <c r="M816" s="11">
        <f t="shared" si="24"/>
        <v>2438</v>
      </c>
      <c r="N816" s="11">
        <f>IF(Table1[[#This Row],[Transaction Type]]="Sale",ABS(E816)*K816,0)</f>
        <v>0</v>
      </c>
      <c r="O816" s="29">
        <f>IF(Table1[[#This Row],[Transaction Type]]="Purchase",E816*J816,0)</f>
        <v>2438</v>
      </c>
    </row>
    <row r="817" spans="1:15" x14ac:dyDescent="0.35">
      <c r="A817" s="27" t="s">
        <v>1163</v>
      </c>
      <c r="B817" s="12">
        <v>45896</v>
      </c>
      <c r="C817" s="11" t="s">
        <v>65</v>
      </c>
      <c r="D817" s="11" t="s">
        <v>40</v>
      </c>
      <c r="E817" s="11">
        <v>44</v>
      </c>
      <c r="F817" s="11">
        <f t="shared" si="25"/>
        <v>44</v>
      </c>
      <c r="G817" s="11" t="s">
        <v>14</v>
      </c>
      <c r="H817" s="11" t="s">
        <v>67</v>
      </c>
      <c r="I817" s="11" t="s">
        <v>21</v>
      </c>
      <c r="J817" s="11">
        <v>11</v>
      </c>
      <c r="K817" s="11">
        <v>22</v>
      </c>
      <c r="L817" s="11" t="s">
        <v>1164</v>
      </c>
      <c r="M817" s="11">
        <f t="shared" si="24"/>
        <v>484</v>
      </c>
      <c r="N817" s="11">
        <f>IF(Table1[[#This Row],[Transaction Type]]="Sale",ABS(E817)*K817,0)</f>
        <v>0</v>
      </c>
      <c r="O817" s="29">
        <f>IF(Table1[[#This Row],[Transaction Type]]="Purchase",E817*J817,0)</f>
        <v>484</v>
      </c>
    </row>
    <row r="818" spans="1:15" x14ac:dyDescent="0.35">
      <c r="A818" s="27" t="s">
        <v>1165</v>
      </c>
      <c r="B818" s="12">
        <v>45896</v>
      </c>
      <c r="C818" s="11" t="s">
        <v>77</v>
      </c>
      <c r="D818" s="11" t="s">
        <v>13</v>
      </c>
      <c r="E818" s="11">
        <v>-15</v>
      </c>
      <c r="F818" s="11">
        <f t="shared" si="25"/>
        <v>-15</v>
      </c>
      <c r="G818" s="11" t="s">
        <v>14</v>
      </c>
      <c r="H818" s="11" t="s">
        <v>78</v>
      </c>
      <c r="I818" s="11" t="s">
        <v>16</v>
      </c>
      <c r="J818" s="11">
        <v>25</v>
      </c>
      <c r="K818" s="11">
        <v>42</v>
      </c>
      <c r="L818" s="11"/>
      <c r="M818" s="11">
        <f t="shared" si="24"/>
        <v>375</v>
      </c>
      <c r="N818" s="11">
        <f>IF(Table1[[#This Row],[Transaction Type]]="Sale",ABS(E818)*K818,0)</f>
        <v>630</v>
      </c>
      <c r="O818" s="29">
        <f>IF(Table1[[#This Row],[Transaction Type]]="Purchase",E818*J818,0)</f>
        <v>0</v>
      </c>
    </row>
    <row r="819" spans="1:15" x14ac:dyDescent="0.35">
      <c r="A819" s="27" t="s">
        <v>1166</v>
      </c>
      <c r="B819" s="12">
        <v>45897</v>
      </c>
      <c r="C819" s="11" t="s">
        <v>185</v>
      </c>
      <c r="D819" s="11" t="s">
        <v>40</v>
      </c>
      <c r="E819" s="11">
        <v>75</v>
      </c>
      <c r="F819" s="11">
        <f t="shared" si="25"/>
        <v>75</v>
      </c>
      <c r="G819" s="11" t="s">
        <v>14</v>
      </c>
      <c r="H819" s="11" t="s">
        <v>44</v>
      </c>
      <c r="I819" s="11" t="s">
        <v>45</v>
      </c>
      <c r="J819" s="11">
        <v>63</v>
      </c>
      <c r="K819" s="11">
        <v>95</v>
      </c>
      <c r="L819" s="11" t="s">
        <v>1167</v>
      </c>
      <c r="M819" s="11">
        <f t="shared" si="24"/>
        <v>4725</v>
      </c>
      <c r="N819" s="11">
        <f>IF(Table1[[#This Row],[Transaction Type]]="Sale",ABS(E819)*K819,0)</f>
        <v>0</v>
      </c>
      <c r="O819" s="29">
        <f>IF(Table1[[#This Row],[Transaction Type]]="Purchase",E819*J819,0)</f>
        <v>4725</v>
      </c>
    </row>
    <row r="820" spans="1:15" x14ac:dyDescent="0.35">
      <c r="A820" s="27" t="s">
        <v>1168</v>
      </c>
      <c r="B820" s="12">
        <v>45897</v>
      </c>
      <c r="C820" s="11" t="s">
        <v>52</v>
      </c>
      <c r="D820" s="11" t="s">
        <v>58</v>
      </c>
      <c r="E820" s="11">
        <v>9</v>
      </c>
      <c r="F820" s="11">
        <f t="shared" si="25"/>
        <v>9</v>
      </c>
      <c r="G820" s="11" t="s">
        <v>14</v>
      </c>
      <c r="H820" s="11" t="s">
        <v>20</v>
      </c>
      <c r="I820" s="11" t="s">
        <v>21</v>
      </c>
      <c r="J820" s="11">
        <v>5.5</v>
      </c>
      <c r="K820" s="11">
        <v>12</v>
      </c>
      <c r="L820" s="11"/>
      <c r="M820" s="11">
        <f t="shared" si="24"/>
        <v>49.5</v>
      </c>
      <c r="N820" s="11">
        <f>IF(Table1[[#This Row],[Transaction Type]]="Sale",ABS(E820)*K820,0)</f>
        <v>0</v>
      </c>
      <c r="O820" s="29">
        <f>IF(Table1[[#This Row],[Transaction Type]]="Purchase",E820*J820,0)</f>
        <v>0</v>
      </c>
    </row>
    <row r="821" spans="1:15" x14ac:dyDescent="0.35">
      <c r="A821" s="27" t="s">
        <v>1169</v>
      </c>
      <c r="B821" s="12">
        <v>45897</v>
      </c>
      <c r="C821" s="11" t="s">
        <v>794</v>
      </c>
      <c r="D821" s="11" t="s">
        <v>13</v>
      </c>
      <c r="E821" s="11">
        <v>-5</v>
      </c>
      <c r="F821" s="11">
        <f t="shared" si="25"/>
        <v>-5</v>
      </c>
      <c r="G821" s="11" t="s">
        <v>24</v>
      </c>
      <c r="H821" s="11" t="s">
        <v>74</v>
      </c>
      <c r="I821" s="11" t="s">
        <v>75</v>
      </c>
      <c r="J821" s="11">
        <v>82</v>
      </c>
      <c r="K821" s="11">
        <v>135</v>
      </c>
      <c r="L821" s="11"/>
      <c r="M821" s="11">
        <f t="shared" si="24"/>
        <v>410</v>
      </c>
      <c r="N821" s="11">
        <f>IF(Table1[[#This Row],[Transaction Type]]="Sale",ABS(E821)*K821,0)</f>
        <v>675</v>
      </c>
      <c r="O821" s="29">
        <f>IF(Table1[[#This Row],[Transaction Type]]="Purchase",E821*J821,0)</f>
        <v>0</v>
      </c>
    </row>
    <row r="822" spans="1:15" x14ac:dyDescent="0.35">
      <c r="A822" s="27" t="s">
        <v>1170</v>
      </c>
      <c r="B822" s="12">
        <v>45898</v>
      </c>
      <c r="C822" s="11" t="s">
        <v>87</v>
      </c>
      <c r="D822" s="11" t="s">
        <v>13</v>
      </c>
      <c r="E822" s="11">
        <v>-9</v>
      </c>
      <c r="F822" s="11">
        <f t="shared" si="25"/>
        <v>-9</v>
      </c>
      <c r="G822" s="11" t="s">
        <v>14</v>
      </c>
      <c r="H822" s="11" t="s">
        <v>88</v>
      </c>
      <c r="I822" s="11" t="s">
        <v>16</v>
      </c>
      <c r="J822" s="11">
        <v>6</v>
      </c>
      <c r="K822" s="11">
        <v>14</v>
      </c>
      <c r="L822" s="11"/>
      <c r="M822" s="11">
        <f t="shared" si="24"/>
        <v>54</v>
      </c>
      <c r="N822" s="11">
        <f>IF(Table1[[#This Row],[Transaction Type]]="Sale",ABS(E822)*K822,0)</f>
        <v>126</v>
      </c>
      <c r="O822" s="29">
        <f>IF(Table1[[#This Row],[Transaction Type]]="Purchase",E822*J822,0)</f>
        <v>0</v>
      </c>
    </row>
    <row r="823" spans="1:15" x14ac:dyDescent="0.35">
      <c r="A823" s="27" t="s">
        <v>1171</v>
      </c>
      <c r="B823" s="12">
        <v>45898</v>
      </c>
      <c r="C823" s="11" t="s">
        <v>48</v>
      </c>
      <c r="D823" s="11" t="s">
        <v>66</v>
      </c>
      <c r="E823" s="11">
        <v>2</v>
      </c>
      <c r="F823" s="11">
        <f t="shared" si="25"/>
        <v>2</v>
      </c>
      <c r="G823" s="11" t="s">
        <v>14</v>
      </c>
      <c r="H823" s="11" t="s">
        <v>49</v>
      </c>
      <c r="I823" s="11" t="s">
        <v>21</v>
      </c>
      <c r="J823" s="11">
        <v>8.5</v>
      </c>
      <c r="K823" s="11">
        <v>18</v>
      </c>
      <c r="L823" s="11"/>
      <c r="M823" s="11">
        <f t="shared" si="24"/>
        <v>17</v>
      </c>
      <c r="N823" s="11">
        <f>IF(Table1[[#This Row],[Transaction Type]]="Sale",ABS(E823)*K823,0)</f>
        <v>0</v>
      </c>
      <c r="O823" s="29">
        <f>IF(Table1[[#This Row],[Transaction Type]]="Purchase",E823*J823,0)</f>
        <v>0</v>
      </c>
    </row>
    <row r="824" spans="1:15" x14ac:dyDescent="0.35">
      <c r="A824" s="27" t="s">
        <v>1172</v>
      </c>
      <c r="B824" s="12">
        <v>45899</v>
      </c>
      <c r="C824" s="11" t="s">
        <v>136</v>
      </c>
      <c r="D824" s="11" t="s">
        <v>13</v>
      </c>
      <c r="E824" s="11">
        <v>-8</v>
      </c>
      <c r="F824" s="11">
        <f t="shared" si="25"/>
        <v>-8</v>
      </c>
      <c r="G824" s="11" t="s">
        <v>14</v>
      </c>
      <c r="H824" s="11" t="s">
        <v>33</v>
      </c>
      <c r="I824" s="11" t="s">
        <v>34</v>
      </c>
      <c r="J824" s="11">
        <v>34</v>
      </c>
      <c r="K824" s="11">
        <v>55</v>
      </c>
      <c r="L824" s="11"/>
      <c r="M824" s="11">
        <f t="shared" si="24"/>
        <v>272</v>
      </c>
      <c r="N824" s="11">
        <f>IF(Table1[[#This Row],[Transaction Type]]="Sale",ABS(E824)*K824,0)</f>
        <v>440</v>
      </c>
      <c r="O824" s="29">
        <f>IF(Table1[[#This Row],[Transaction Type]]="Purchase",E824*J824,0)</f>
        <v>0</v>
      </c>
    </row>
    <row r="825" spans="1:15" x14ac:dyDescent="0.35">
      <c r="A825" s="27" t="s">
        <v>1173</v>
      </c>
      <c r="B825" s="12">
        <v>45900</v>
      </c>
      <c r="C825" s="11" t="s">
        <v>77</v>
      </c>
      <c r="D825" s="11" t="s">
        <v>13</v>
      </c>
      <c r="E825" s="11">
        <v>-6</v>
      </c>
      <c r="F825" s="11">
        <f t="shared" si="25"/>
        <v>-6</v>
      </c>
      <c r="G825" s="11" t="s">
        <v>19</v>
      </c>
      <c r="H825" s="11" t="s">
        <v>78</v>
      </c>
      <c r="I825" s="11" t="s">
        <v>16</v>
      </c>
      <c r="J825" s="11">
        <v>25</v>
      </c>
      <c r="K825" s="11">
        <v>42</v>
      </c>
      <c r="L825" s="11"/>
      <c r="M825" s="11">
        <f t="shared" si="24"/>
        <v>150</v>
      </c>
      <c r="N825" s="11">
        <f>IF(Table1[[#This Row],[Transaction Type]]="Sale",ABS(E825)*K825,0)</f>
        <v>252</v>
      </c>
      <c r="O825" s="29">
        <f>IF(Table1[[#This Row],[Transaction Type]]="Purchase",E825*J825,0)</f>
        <v>0</v>
      </c>
    </row>
    <row r="826" spans="1:15" x14ac:dyDescent="0.35">
      <c r="A826" s="27" t="s">
        <v>1174</v>
      </c>
      <c r="B826" s="12">
        <v>45900</v>
      </c>
      <c r="C826" s="11" t="s">
        <v>83</v>
      </c>
      <c r="D826" s="11" t="s">
        <v>13</v>
      </c>
      <c r="E826" s="11">
        <v>-7</v>
      </c>
      <c r="F826" s="11">
        <f t="shared" si="25"/>
        <v>-7</v>
      </c>
      <c r="G826" s="11" t="s">
        <v>19</v>
      </c>
      <c r="H826" s="11" t="s">
        <v>84</v>
      </c>
      <c r="I826" s="11" t="s">
        <v>45</v>
      </c>
      <c r="J826" s="11">
        <v>130</v>
      </c>
      <c r="K826" s="11">
        <v>185</v>
      </c>
      <c r="L826" s="11"/>
      <c r="M826" s="11">
        <f t="shared" si="24"/>
        <v>910</v>
      </c>
      <c r="N826" s="11">
        <f>IF(Table1[[#This Row],[Transaction Type]]="Sale",ABS(E826)*K826,0)</f>
        <v>1295</v>
      </c>
      <c r="O826" s="29">
        <f>IF(Table1[[#This Row],[Transaction Type]]="Purchase",E826*J826,0)</f>
        <v>0</v>
      </c>
    </row>
    <row r="827" spans="1:15" x14ac:dyDescent="0.35">
      <c r="A827" s="27" t="s">
        <v>1175</v>
      </c>
      <c r="B827" s="12">
        <v>45900</v>
      </c>
      <c r="C827" s="11" t="s">
        <v>81</v>
      </c>
      <c r="D827" s="11" t="s">
        <v>66</v>
      </c>
      <c r="E827" s="11">
        <v>3</v>
      </c>
      <c r="F827" s="11">
        <f t="shared" si="25"/>
        <v>3</v>
      </c>
      <c r="G827" s="11" t="s">
        <v>19</v>
      </c>
      <c r="H827" s="11" t="s">
        <v>30</v>
      </c>
      <c r="I827" s="11" t="s">
        <v>16</v>
      </c>
      <c r="J827" s="11">
        <v>8</v>
      </c>
      <c r="K827" s="11">
        <v>15</v>
      </c>
      <c r="L827" s="11"/>
      <c r="M827" s="11">
        <f t="shared" si="24"/>
        <v>24</v>
      </c>
      <c r="N827" s="11">
        <f>IF(Table1[[#This Row],[Transaction Type]]="Sale",ABS(E827)*K827,0)</f>
        <v>0</v>
      </c>
      <c r="O827" s="29">
        <f>IF(Table1[[#This Row],[Transaction Type]]="Purchase",E827*J827,0)</f>
        <v>0</v>
      </c>
    </row>
    <row r="828" spans="1:15" x14ac:dyDescent="0.35">
      <c r="A828" s="27" t="s">
        <v>1176</v>
      </c>
      <c r="B828" s="12">
        <v>45901</v>
      </c>
      <c r="C828" s="11" t="s">
        <v>60</v>
      </c>
      <c r="D828" s="11" t="s">
        <v>13</v>
      </c>
      <c r="E828" s="11">
        <v>-14</v>
      </c>
      <c r="F828" s="11">
        <f t="shared" si="25"/>
        <v>-14</v>
      </c>
      <c r="G828" s="11" t="s">
        <v>24</v>
      </c>
      <c r="H828" s="11" t="s">
        <v>61</v>
      </c>
      <c r="I828" s="11" t="s">
        <v>62</v>
      </c>
      <c r="J828" s="11">
        <v>3.4</v>
      </c>
      <c r="K828" s="11">
        <v>8</v>
      </c>
      <c r="L828" s="11"/>
      <c r="M828" s="11">
        <f t="shared" si="24"/>
        <v>47.6</v>
      </c>
      <c r="N828" s="11">
        <f>IF(Table1[[#This Row],[Transaction Type]]="Sale",ABS(E828)*K828,0)</f>
        <v>112</v>
      </c>
      <c r="O828" s="29">
        <f>IF(Table1[[#This Row],[Transaction Type]]="Purchase",E828*J828,0)</f>
        <v>0</v>
      </c>
    </row>
    <row r="829" spans="1:15" x14ac:dyDescent="0.35">
      <c r="A829" s="27" t="s">
        <v>1177</v>
      </c>
      <c r="B829" s="12">
        <v>45903</v>
      </c>
      <c r="C829" s="11" t="s">
        <v>52</v>
      </c>
      <c r="D829" s="11" t="s">
        <v>40</v>
      </c>
      <c r="E829" s="11">
        <v>61</v>
      </c>
      <c r="F829" s="11">
        <f t="shared" si="25"/>
        <v>61</v>
      </c>
      <c r="G829" s="11" t="s">
        <v>14</v>
      </c>
      <c r="H829" s="11" t="s">
        <v>20</v>
      </c>
      <c r="I829" s="11" t="s">
        <v>21</v>
      </c>
      <c r="J829" s="11">
        <v>5.5</v>
      </c>
      <c r="K829" s="11">
        <v>12</v>
      </c>
      <c r="L829" s="11" t="s">
        <v>1178</v>
      </c>
      <c r="M829" s="11">
        <f t="shared" si="24"/>
        <v>335.5</v>
      </c>
      <c r="N829" s="11">
        <f>IF(Table1[[#This Row],[Transaction Type]]="Sale",ABS(E829)*K829,0)</f>
        <v>0</v>
      </c>
      <c r="O829" s="29">
        <f>IF(Table1[[#This Row],[Transaction Type]]="Purchase",E829*J829,0)</f>
        <v>335.5</v>
      </c>
    </row>
    <row r="830" spans="1:15" x14ac:dyDescent="0.35">
      <c r="A830" s="27" t="s">
        <v>1179</v>
      </c>
      <c r="B830" s="12">
        <v>45903</v>
      </c>
      <c r="C830" s="11" t="s">
        <v>36</v>
      </c>
      <c r="D830" s="11" t="s">
        <v>40</v>
      </c>
      <c r="E830" s="11">
        <v>40</v>
      </c>
      <c r="F830" s="11">
        <f t="shared" si="25"/>
        <v>40</v>
      </c>
      <c r="G830" s="11" t="s">
        <v>14</v>
      </c>
      <c r="H830" s="11" t="s">
        <v>37</v>
      </c>
      <c r="I830" s="11" t="s">
        <v>16</v>
      </c>
      <c r="J830" s="11">
        <v>7.2</v>
      </c>
      <c r="K830" s="11">
        <v>12.5</v>
      </c>
      <c r="L830" s="11" t="s">
        <v>1180</v>
      </c>
      <c r="M830" s="11">
        <f t="shared" si="24"/>
        <v>288</v>
      </c>
      <c r="N830" s="11">
        <f>IF(Table1[[#This Row],[Transaction Type]]="Sale",ABS(E830)*K830,0)</f>
        <v>0</v>
      </c>
      <c r="O830" s="29">
        <f>IF(Table1[[#This Row],[Transaction Type]]="Purchase",E830*J830,0)</f>
        <v>288</v>
      </c>
    </row>
    <row r="831" spans="1:15" x14ac:dyDescent="0.35">
      <c r="A831" s="27" t="s">
        <v>1181</v>
      </c>
      <c r="B831" s="12">
        <v>45903</v>
      </c>
      <c r="C831" s="11" t="s">
        <v>29</v>
      </c>
      <c r="D831" s="11" t="s">
        <v>58</v>
      </c>
      <c r="E831" s="11">
        <v>14</v>
      </c>
      <c r="F831" s="11">
        <f t="shared" si="25"/>
        <v>14</v>
      </c>
      <c r="G831" s="11" t="s">
        <v>19</v>
      </c>
      <c r="H831" s="11" t="s">
        <v>30</v>
      </c>
      <c r="I831" s="11" t="s">
        <v>16</v>
      </c>
      <c r="J831" s="11">
        <v>8.8000000000000007</v>
      </c>
      <c r="K831" s="11">
        <v>17</v>
      </c>
      <c r="L831" s="11"/>
      <c r="M831" s="11">
        <f t="shared" si="24"/>
        <v>123.20000000000002</v>
      </c>
      <c r="N831" s="11">
        <f>IF(Table1[[#This Row],[Transaction Type]]="Sale",ABS(E831)*K831,0)</f>
        <v>0</v>
      </c>
      <c r="O831" s="29">
        <f>IF(Table1[[#This Row],[Transaction Type]]="Purchase",E831*J831,0)</f>
        <v>0</v>
      </c>
    </row>
    <row r="832" spans="1:15" x14ac:dyDescent="0.35">
      <c r="A832" s="27" t="s">
        <v>1182</v>
      </c>
      <c r="B832" s="12">
        <v>45903</v>
      </c>
      <c r="C832" s="11" t="s">
        <v>29</v>
      </c>
      <c r="D832" s="11" t="s">
        <v>40</v>
      </c>
      <c r="E832" s="11">
        <v>113</v>
      </c>
      <c r="F832" s="11">
        <f t="shared" si="25"/>
        <v>113</v>
      </c>
      <c r="G832" s="11" t="s">
        <v>24</v>
      </c>
      <c r="H832" s="11" t="s">
        <v>30</v>
      </c>
      <c r="I832" s="11" t="s">
        <v>16</v>
      </c>
      <c r="J832" s="11">
        <v>8.8000000000000007</v>
      </c>
      <c r="K832" s="11">
        <v>17</v>
      </c>
      <c r="L832" s="11" t="s">
        <v>1183</v>
      </c>
      <c r="M832" s="11">
        <f t="shared" si="24"/>
        <v>994.40000000000009</v>
      </c>
      <c r="N832" s="11">
        <f>IF(Table1[[#This Row],[Transaction Type]]="Sale",ABS(E832)*K832,0)</f>
        <v>0</v>
      </c>
      <c r="O832" s="29">
        <f>IF(Table1[[#This Row],[Transaction Type]]="Purchase",E832*J832,0)</f>
        <v>994.40000000000009</v>
      </c>
    </row>
    <row r="833" spans="1:15" x14ac:dyDescent="0.35">
      <c r="A833" s="27" t="s">
        <v>1184</v>
      </c>
      <c r="B833" s="12">
        <v>45904</v>
      </c>
      <c r="C833" s="11" t="s">
        <v>139</v>
      </c>
      <c r="D833" s="11" t="s">
        <v>40</v>
      </c>
      <c r="E833" s="11">
        <v>116</v>
      </c>
      <c r="F833" s="11">
        <f t="shared" si="25"/>
        <v>116</v>
      </c>
      <c r="G833" s="11" t="s">
        <v>24</v>
      </c>
      <c r="H833" s="11" t="s">
        <v>56</v>
      </c>
      <c r="I833" s="11" t="s">
        <v>16</v>
      </c>
      <c r="J833" s="11">
        <v>16.5</v>
      </c>
      <c r="K833" s="11">
        <v>28</v>
      </c>
      <c r="L833" s="11" t="s">
        <v>1185</v>
      </c>
      <c r="M833" s="11">
        <f t="shared" si="24"/>
        <v>1914</v>
      </c>
      <c r="N833" s="11">
        <f>IF(Table1[[#This Row],[Transaction Type]]="Sale",ABS(E833)*K833,0)</f>
        <v>0</v>
      </c>
      <c r="O833" s="29">
        <f>IF(Table1[[#This Row],[Transaction Type]]="Purchase",E833*J833,0)</f>
        <v>1914</v>
      </c>
    </row>
    <row r="834" spans="1:15" x14ac:dyDescent="0.35">
      <c r="A834" s="27" t="s">
        <v>1186</v>
      </c>
      <c r="B834" s="12">
        <v>45904</v>
      </c>
      <c r="C834" s="11" t="s">
        <v>23</v>
      </c>
      <c r="D834" s="11" t="s">
        <v>13</v>
      </c>
      <c r="E834" s="11">
        <v>-12</v>
      </c>
      <c r="F834" s="11">
        <f t="shared" si="25"/>
        <v>-12</v>
      </c>
      <c r="G834" s="11" t="s">
        <v>19</v>
      </c>
      <c r="H834" s="11" t="s">
        <v>25</v>
      </c>
      <c r="I834" s="11" t="s">
        <v>26</v>
      </c>
      <c r="J834" s="11">
        <v>3</v>
      </c>
      <c r="K834" s="11">
        <v>7</v>
      </c>
      <c r="L834" s="11"/>
      <c r="M834" s="11">
        <f t="shared" ref="M834:M897" si="26">ABS(E834)*J834</f>
        <v>36</v>
      </c>
      <c r="N834" s="11">
        <f>IF(Table1[[#This Row],[Transaction Type]]="Sale",ABS(E834)*K834,0)</f>
        <v>84</v>
      </c>
      <c r="O834" s="29">
        <f>IF(Table1[[#This Row],[Transaction Type]]="Purchase",E834*J834,0)</f>
        <v>0</v>
      </c>
    </row>
    <row r="835" spans="1:15" x14ac:dyDescent="0.35">
      <c r="A835" s="27" t="s">
        <v>1187</v>
      </c>
      <c r="B835" s="12">
        <v>45905</v>
      </c>
      <c r="C835" s="11" t="s">
        <v>55</v>
      </c>
      <c r="D835" s="11" t="s">
        <v>13</v>
      </c>
      <c r="E835" s="11">
        <v>-14</v>
      </c>
      <c r="F835" s="11">
        <f t="shared" ref="F835:F898" si="27">E835</f>
        <v>-14</v>
      </c>
      <c r="G835" s="11" t="s">
        <v>14</v>
      </c>
      <c r="H835" s="11" t="s">
        <v>56</v>
      </c>
      <c r="I835" s="11" t="s">
        <v>16</v>
      </c>
      <c r="J835" s="11">
        <v>4.2</v>
      </c>
      <c r="K835" s="11">
        <v>10</v>
      </c>
      <c r="L835" s="11"/>
      <c r="M835" s="11">
        <f t="shared" si="26"/>
        <v>58.800000000000004</v>
      </c>
      <c r="N835" s="11">
        <f>IF(Table1[[#This Row],[Transaction Type]]="Sale",ABS(E835)*K835,0)</f>
        <v>140</v>
      </c>
      <c r="O835" s="29">
        <f>IF(Table1[[#This Row],[Transaction Type]]="Purchase",E835*J835,0)</f>
        <v>0</v>
      </c>
    </row>
    <row r="836" spans="1:15" x14ac:dyDescent="0.35">
      <c r="A836" s="27" t="s">
        <v>1188</v>
      </c>
      <c r="B836" s="12">
        <v>45905</v>
      </c>
      <c r="C836" s="11" t="s">
        <v>185</v>
      </c>
      <c r="D836" s="11" t="s">
        <v>13</v>
      </c>
      <c r="E836" s="11">
        <v>-10</v>
      </c>
      <c r="F836" s="11">
        <f t="shared" si="27"/>
        <v>-10</v>
      </c>
      <c r="G836" s="11" t="s">
        <v>24</v>
      </c>
      <c r="H836" s="11" t="s">
        <v>44</v>
      </c>
      <c r="I836" s="11" t="s">
        <v>45</v>
      </c>
      <c r="J836" s="11">
        <v>63</v>
      </c>
      <c r="K836" s="11">
        <v>95</v>
      </c>
      <c r="L836" s="11"/>
      <c r="M836" s="11">
        <f t="shared" si="26"/>
        <v>630</v>
      </c>
      <c r="N836" s="11">
        <f>IF(Table1[[#This Row],[Transaction Type]]="Sale",ABS(E836)*K836,0)</f>
        <v>950</v>
      </c>
      <c r="O836" s="29">
        <f>IF(Table1[[#This Row],[Transaction Type]]="Purchase",E836*J836,0)</f>
        <v>0</v>
      </c>
    </row>
    <row r="837" spans="1:15" x14ac:dyDescent="0.35">
      <c r="A837" s="27" t="s">
        <v>1189</v>
      </c>
      <c r="B837" s="12">
        <v>45905</v>
      </c>
      <c r="C837" s="11" t="s">
        <v>23</v>
      </c>
      <c r="D837" s="11" t="s">
        <v>40</v>
      </c>
      <c r="E837" s="11">
        <v>36</v>
      </c>
      <c r="F837" s="11">
        <f t="shared" si="27"/>
        <v>36</v>
      </c>
      <c r="G837" s="11" t="s">
        <v>14</v>
      </c>
      <c r="H837" s="11" t="s">
        <v>25</v>
      </c>
      <c r="I837" s="11" t="s">
        <v>26</v>
      </c>
      <c r="J837" s="11">
        <v>3</v>
      </c>
      <c r="K837" s="11">
        <v>7</v>
      </c>
      <c r="L837" s="11" t="s">
        <v>1190</v>
      </c>
      <c r="M837" s="11">
        <f t="shared" si="26"/>
        <v>108</v>
      </c>
      <c r="N837" s="11">
        <f>IF(Table1[[#This Row],[Transaction Type]]="Sale",ABS(E837)*K837,0)</f>
        <v>0</v>
      </c>
      <c r="O837" s="29">
        <f>IF(Table1[[#This Row],[Transaction Type]]="Purchase",E837*J837,0)</f>
        <v>108</v>
      </c>
    </row>
    <row r="838" spans="1:15" x14ac:dyDescent="0.35">
      <c r="A838" s="27" t="s">
        <v>1191</v>
      </c>
      <c r="B838" s="12">
        <v>45905</v>
      </c>
      <c r="C838" s="11" t="s">
        <v>55</v>
      </c>
      <c r="D838" s="11" t="s">
        <v>13</v>
      </c>
      <c r="E838" s="11">
        <v>-12</v>
      </c>
      <c r="F838" s="11">
        <f t="shared" si="27"/>
        <v>-12</v>
      </c>
      <c r="G838" s="11" t="s">
        <v>24</v>
      </c>
      <c r="H838" s="11" t="s">
        <v>56</v>
      </c>
      <c r="I838" s="11" t="s">
        <v>16</v>
      </c>
      <c r="J838" s="11">
        <v>4.2</v>
      </c>
      <c r="K838" s="11">
        <v>10</v>
      </c>
      <c r="L838" s="11"/>
      <c r="M838" s="11">
        <f t="shared" si="26"/>
        <v>50.400000000000006</v>
      </c>
      <c r="N838" s="11">
        <f>IF(Table1[[#This Row],[Transaction Type]]="Sale",ABS(E838)*K838,0)</f>
        <v>120</v>
      </c>
      <c r="O838" s="29">
        <f>IF(Table1[[#This Row],[Transaction Type]]="Purchase",E838*J838,0)</f>
        <v>0</v>
      </c>
    </row>
    <row r="839" spans="1:15" x14ac:dyDescent="0.35">
      <c r="A839" s="27" t="s">
        <v>1192</v>
      </c>
      <c r="B839" s="12">
        <v>45906</v>
      </c>
      <c r="C839" s="11" t="s">
        <v>43</v>
      </c>
      <c r="D839" s="11" t="s">
        <v>40</v>
      </c>
      <c r="E839" s="11">
        <v>91</v>
      </c>
      <c r="F839" s="11">
        <f t="shared" si="27"/>
        <v>91</v>
      </c>
      <c r="G839" s="11" t="s">
        <v>24</v>
      </c>
      <c r="H839" s="11" t="s">
        <v>44</v>
      </c>
      <c r="I839" s="11" t="s">
        <v>45</v>
      </c>
      <c r="J839" s="11">
        <v>5.2</v>
      </c>
      <c r="K839" s="11">
        <v>11</v>
      </c>
      <c r="L839" s="11" t="s">
        <v>1193</v>
      </c>
      <c r="M839" s="11">
        <f t="shared" si="26"/>
        <v>473.2</v>
      </c>
      <c r="N839" s="11">
        <f>IF(Table1[[#This Row],[Transaction Type]]="Sale",ABS(E839)*K839,0)</f>
        <v>0</v>
      </c>
      <c r="O839" s="29">
        <f>IF(Table1[[#This Row],[Transaction Type]]="Purchase",E839*J839,0)</f>
        <v>473.2</v>
      </c>
    </row>
    <row r="840" spans="1:15" x14ac:dyDescent="0.35">
      <c r="A840" s="27" t="s">
        <v>1194</v>
      </c>
      <c r="B840" s="12">
        <v>45906</v>
      </c>
      <c r="C840" s="11" t="s">
        <v>109</v>
      </c>
      <c r="D840" s="11" t="s">
        <v>13</v>
      </c>
      <c r="E840" s="11">
        <v>-4</v>
      </c>
      <c r="F840" s="11">
        <f t="shared" si="27"/>
        <v>-4</v>
      </c>
      <c r="G840" s="11" t="s">
        <v>14</v>
      </c>
      <c r="H840" s="11" t="s">
        <v>110</v>
      </c>
      <c r="I840" s="11" t="s">
        <v>26</v>
      </c>
      <c r="J840" s="11">
        <v>105</v>
      </c>
      <c r="K840" s="11">
        <v>165</v>
      </c>
      <c r="L840" s="11"/>
      <c r="M840" s="11">
        <f t="shared" si="26"/>
        <v>420</v>
      </c>
      <c r="N840" s="11">
        <f>IF(Table1[[#This Row],[Transaction Type]]="Sale",ABS(E840)*K840,0)</f>
        <v>660</v>
      </c>
      <c r="O840" s="29">
        <f>IF(Table1[[#This Row],[Transaction Type]]="Purchase",E840*J840,0)</f>
        <v>0</v>
      </c>
    </row>
    <row r="841" spans="1:15" x14ac:dyDescent="0.35">
      <c r="A841" s="27" t="s">
        <v>1195</v>
      </c>
      <c r="B841" s="12">
        <v>45907</v>
      </c>
      <c r="C841" s="11" t="s">
        <v>77</v>
      </c>
      <c r="D841" s="11" t="s">
        <v>13</v>
      </c>
      <c r="E841" s="11">
        <v>-8</v>
      </c>
      <c r="F841" s="11">
        <f t="shared" si="27"/>
        <v>-8</v>
      </c>
      <c r="G841" s="11" t="s">
        <v>24</v>
      </c>
      <c r="H841" s="11" t="s">
        <v>78</v>
      </c>
      <c r="I841" s="11" t="s">
        <v>16</v>
      </c>
      <c r="J841" s="11">
        <v>25</v>
      </c>
      <c r="K841" s="11">
        <v>42</v>
      </c>
      <c r="L841" s="11"/>
      <c r="M841" s="11">
        <f t="shared" si="26"/>
        <v>200</v>
      </c>
      <c r="N841" s="11">
        <f>IF(Table1[[#This Row],[Transaction Type]]="Sale",ABS(E841)*K841,0)</f>
        <v>336</v>
      </c>
      <c r="O841" s="29">
        <f>IF(Table1[[#This Row],[Transaction Type]]="Purchase",E841*J841,0)</f>
        <v>0</v>
      </c>
    </row>
    <row r="842" spans="1:15" x14ac:dyDescent="0.35">
      <c r="A842" s="27" t="s">
        <v>1196</v>
      </c>
      <c r="B842" s="12">
        <v>45907</v>
      </c>
      <c r="C842" s="11" t="s">
        <v>60</v>
      </c>
      <c r="D842" s="11" t="s">
        <v>40</v>
      </c>
      <c r="E842" s="11">
        <v>54</v>
      </c>
      <c r="F842" s="11">
        <f t="shared" si="27"/>
        <v>54</v>
      </c>
      <c r="G842" s="11" t="s">
        <v>24</v>
      </c>
      <c r="H842" s="11" t="s">
        <v>61</v>
      </c>
      <c r="I842" s="11" t="s">
        <v>62</v>
      </c>
      <c r="J842" s="11">
        <v>3.4</v>
      </c>
      <c r="K842" s="11">
        <v>8</v>
      </c>
      <c r="L842" s="11" t="s">
        <v>1197</v>
      </c>
      <c r="M842" s="11">
        <f t="shared" si="26"/>
        <v>183.6</v>
      </c>
      <c r="N842" s="11">
        <f>IF(Table1[[#This Row],[Transaction Type]]="Sale",ABS(E842)*K842,0)</f>
        <v>0</v>
      </c>
      <c r="O842" s="29">
        <f>IF(Table1[[#This Row],[Transaction Type]]="Purchase",E842*J842,0)</f>
        <v>183.6</v>
      </c>
    </row>
    <row r="843" spans="1:15" x14ac:dyDescent="0.35">
      <c r="A843" s="27" t="s">
        <v>1198</v>
      </c>
      <c r="B843" s="12">
        <v>45908</v>
      </c>
      <c r="C843" s="11" t="s">
        <v>43</v>
      </c>
      <c r="D843" s="11" t="s">
        <v>58</v>
      </c>
      <c r="E843" s="11">
        <v>-14</v>
      </c>
      <c r="F843" s="11">
        <f t="shared" si="27"/>
        <v>-14</v>
      </c>
      <c r="G843" s="11" t="s">
        <v>14</v>
      </c>
      <c r="H843" s="11" t="s">
        <v>44</v>
      </c>
      <c r="I843" s="11" t="s">
        <v>45</v>
      </c>
      <c r="J843" s="11">
        <v>5.2</v>
      </c>
      <c r="K843" s="11">
        <v>11</v>
      </c>
      <c r="L843" s="11"/>
      <c r="M843" s="11">
        <f t="shared" si="26"/>
        <v>72.8</v>
      </c>
      <c r="N843" s="11">
        <f>IF(Table1[[#This Row],[Transaction Type]]="Sale",ABS(E843)*K843,0)</f>
        <v>0</v>
      </c>
      <c r="O843" s="29">
        <f>IF(Table1[[#This Row],[Transaction Type]]="Purchase",E843*J843,0)</f>
        <v>0</v>
      </c>
    </row>
    <row r="844" spans="1:15" x14ac:dyDescent="0.35">
      <c r="A844" s="27" t="s">
        <v>1199</v>
      </c>
      <c r="B844" s="12">
        <v>45908</v>
      </c>
      <c r="C844" s="11" t="s">
        <v>794</v>
      </c>
      <c r="D844" s="11" t="s">
        <v>13</v>
      </c>
      <c r="E844" s="11">
        <v>-5</v>
      </c>
      <c r="F844" s="11">
        <f t="shared" si="27"/>
        <v>-5</v>
      </c>
      <c r="G844" s="11" t="s">
        <v>24</v>
      </c>
      <c r="H844" s="11" t="s">
        <v>74</v>
      </c>
      <c r="I844" s="11" t="s">
        <v>75</v>
      </c>
      <c r="J844" s="11">
        <v>82</v>
      </c>
      <c r="K844" s="11">
        <v>135</v>
      </c>
      <c r="L844" s="11"/>
      <c r="M844" s="11">
        <f t="shared" si="26"/>
        <v>410</v>
      </c>
      <c r="N844" s="11">
        <f>IF(Table1[[#This Row],[Transaction Type]]="Sale",ABS(E844)*K844,0)</f>
        <v>675</v>
      </c>
      <c r="O844" s="29">
        <f>IF(Table1[[#This Row],[Transaction Type]]="Purchase",E844*J844,0)</f>
        <v>0</v>
      </c>
    </row>
    <row r="845" spans="1:15" x14ac:dyDescent="0.35">
      <c r="A845" s="27" t="s">
        <v>1200</v>
      </c>
      <c r="B845" s="12">
        <v>45908</v>
      </c>
      <c r="C845" s="11" t="s">
        <v>43</v>
      </c>
      <c r="D845" s="11" t="s">
        <v>58</v>
      </c>
      <c r="E845" s="11">
        <v>15</v>
      </c>
      <c r="F845" s="11">
        <f t="shared" si="27"/>
        <v>15</v>
      </c>
      <c r="G845" s="11" t="s">
        <v>14</v>
      </c>
      <c r="H845" s="11" t="s">
        <v>44</v>
      </c>
      <c r="I845" s="11" t="s">
        <v>45</v>
      </c>
      <c r="J845" s="11">
        <v>5.2</v>
      </c>
      <c r="K845" s="11">
        <v>11</v>
      </c>
      <c r="L845" s="11"/>
      <c r="M845" s="11">
        <f t="shared" si="26"/>
        <v>78</v>
      </c>
      <c r="N845" s="11">
        <f>IF(Table1[[#This Row],[Transaction Type]]="Sale",ABS(E845)*K845,0)</f>
        <v>0</v>
      </c>
      <c r="O845" s="29">
        <f>IF(Table1[[#This Row],[Transaction Type]]="Purchase",E845*J845,0)</f>
        <v>0</v>
      </c>
    </row>
    <row r="846" spans="1:15" x14ac:dyDescent="0.35">
      <c r="A846" s="27" t="s">
        <v>1201</v>
      </c>
      <c r="B846" s="12">
        <v>45909</v>
      </c>
      <c r="C846" s="11" t="s">
        <v>18</v>
      </c>
      <c r="D846" s="11" t="s">
        <v>40</v>
      </c>
      <c r="E846" s="11">
        <v>57</v>
      </c>
      <c r="F846" s="11">
        <f t="shared" si="27"/>
        <v>57</v>
      </c>
      <c r="G846" s="11" t="s">
        <v>19</v>
      </c>
      <c r="H846" s="11" t="s">
        <v>20</v>
      </c>
      <c r="I846" s="11" t="s">
        <v>21</v>
      </c>
      <c r="J846" s="11">
        <v>2.6</v>
      </c>
      <c r="K846" s="11">
        <v>5.5</v>
      </c>
      <c r="L846" s="11" t="s">
        <v>1202</v>
      </c>
      <c r="M846" s="11">
        <f t="shared" si="26"/>
        <v>148.20000000000002</v>
      </c>
      <c r="N846" s="11">
        <f>IF(Table1[[#This Row],[Transaction Type]]="Sale",ABS(E846)*K846,0)</f>
        <v>0</v>
      </c>
      <c r="O846" s="29">
        <f>IF(Table1[[#This Row],[Transaction Type]]="Purchase",E846*J846,0)</f>
        <v>148.20000000000002</v>
      </c>
    </row>
    <row r="847" spans="1:15" x14ac:dyDescent="0.35">
      <c r="A847" s="27" t="s">
        <v>1203</v>
      </c>
      <c r="B847" s="12">
        <v>45909</v>
      </c>
      <c r="C847" s="11" t="s">
        <v>23</v>
      </c>
      <c r="D847" s="11" t="s">
        <v>40</v>
      </c>
      <c r="E847" s="11">
        <v>72</v>
      </c>
      <c r="F847" s="11">
        <f t="shared" si="27"/>
        <v>72</v>
      </c>
      <c r="G847" s="11" t="s">
        <v>19</v>
      </c>
      <c r="H847" s="11" t="s">
        <v>25</v>
      </c>
      <c r="I847" s="11" t="s">
        <v>26</v>
      </c>
      <c r="J847" s="11">
        <v>3</v>
      </c>
      <c r="K847" s="11">
        <v>7</v>
      </c>
      <c r="L847" s="11" t="s">
        <v>1204</v>
      </c>
      <c r="M847" s="11">
        <f t="shared" si="26"/>
        <v>216</v>
      </c>
      <c r="N847" s="11">
        <f>IF(Table1[[#This Row],[Transaction Type]]="Sale",ABS(E847)*K847,0)</f>
        <v>0</v>
      </c>
      <c r="O847" s="29">
        <f>IF(Table1[[#This Row],[Transaction Type]]="Purchase",E847*J847,0)</f>
        <v>216</v>
      </c>
    </row>
    <row r="848" spans="1:15" x14ac:dyDescent="0.35">
      <c r="A848" s="27" t="s">
        <v>1205</v>
      </c>
      <c r="B848" s="12">
        <v>45939</v>
      </c>
      <c r="C848" s="11" t="s">
        <v>69</v>
      </c>
      <c r="D848" s="11" t="s">
        <v>40</v>
      </c>
      <c r="E848" s="11">
        <v>95</v>
      </c>
      <c r="F848" s="11">
        <f t="shared" si="27"/>
        <v>95</v>
      </c>
      <c r="G848" s="11" t="s">
        <v>14</v>
      </c>
      <c r="H848" s="11" t="s">
        <v>70</v>
      </c>
      <c r="I848" s="11" t="s">
        <v>16</v>
      </c>
      <c r="J848" s="11">
        <v>23</v>
      </c>
      <c r="K848" s="11">
        <v>38</v>
      </c>
      <c r="L848" s="11" t="s">
        <v>1206</v>
      </c>
      <c r="M848" s="11">
        <f t="shared" si="26"/>
        <v>2185</v>
      </c>
      <c r="N848" s="11">
        <f>IF(Table1[[#This Row],[Transaction Type]]="Sale",ABS(E848)*K848,0)</f>
        <v>0</v>
      </c>
      <c r="O848" s="29">
        <f>IF(Table1[[#This Row],[Transaction Type]]="Purchase",E848*J848,0)</f>
        <v>2185</v>
      </c>
    </row>
    <row r="849" spans="1:15" x14ac:dyDescent="0.35">
      <c r="A849" s="27" t="s">
        <v>1207</v>
      </c>
      <c r="B849" s="12">
        <v>45910</v>
      </c>
      <c r="C849" s="11" t="s">
        <v>12</v>
      </c>
      <c r="D849" s="11" t="s">
        <v>40</v>
      </c>
      <c r="E849" s="11">
        <v>75</v>
      </c>
      <c r="F849" s="11">
        <f t="shared" si="27"/>
        <v>75</v>
      </c>
      <c r="G849" s="11" t="s">
        <v>24</v>
      </c>
      <c r="H849" s="11" t="s">
        <v>15</v>
      </c>
      <c r="I849" s="11" t="s">
        <v>16</v>
      </c>
      <c r="J849" s="11">
        <v>13.5</v>
      </c>
      <c r="K849" s="11">
        <v>24</v>
      </c>
      <c r="L849" s="11" t="s">
        <v>1208</v>
      </c>
      <c r="M849" s="11">
        <f t="shared" si="26"/>
        <v>1012.5</v>
      </c>
      <c r="N849" s="11">
        <f>IF(Table1[[#This Row],[Transaction Type]]="Sale",ABS(E849)*K849,0)</f>
        <v>0</v>
      </c>
      <c r="O849" s="29">
        <f>IF(Table1[[#This Row],[Transaction Type]]="Purchase",E849*J849,0)</f>
        <v>1012.5</v>
      </c>
    </row>
    <row r="850" spans="1:15" x14ac:dyDescent="0.35">
      <c r="A850" s="27" t="s">
        <v>1209</v>
      </c>
      <c r="B850" s="12">
        <v>45910</v>
      </c>
      <c r="C850" s="11" t="s">
        <v>227</v>
      </c>
      <c r="D850" s="11" t="s">
        <v>13</v>
      </c>
      <c r="E850" s="11">
        <v>-15</v>
      </c>
      <c r="F850" s="11">
        <f t="shared" si="27"/>
        <v>-15</v>
      </c>
      <c r="G850" s="11" t="s">
        <v>24</v>
      </c>
      <c r="H850" s="11" t="s">
        <v>228</v>
      </c>
      <c r="I850" s="11" t="s">
        <v>16</v>
      </c>
      <c r="J850" s="11">
        <v>78</v>
      </c>
      <c r="K850" s="11">
        <v>125</v>
      </c>
      <c r="L850" s="11"/>
      <c r="M850" s="11">
        <f t="shared" si="26"/>
        <v>1170</v>
      </c>
      <c r="N850" s="11">
        <f>IF(Table1[[#This Row],[Transaction Type]]="Sale",ABS(E850)*K850,0)</f>
        <v>1875</v>
      </c>
      <c r="O850" s="29">
        <f>IF(Table1[[#This Row],[Transaction Type]]="Purchase",E850*J850,0)</f>
        <v>0</v>
      </c>
    </row>
    <row r="851" spans="1:15" x14ac:dyDescent="0.35">
      <c r="A851" s="27" t="s">
        <v>1210</v>
      </c>
      <c r="B851" s="12">
        <v>45911</v>
      </c>
      <c r="C851" s="11" t="s">
        <v>48</v>
      </c>
      <c r="D851" s="11" t="s">
        <v>13</v>
      </c>
      <c r="E851" s="11">
        <v>-6</v>
      </c>
      <c r="F851" s="11">
        <f t="shared" si="27"/>
        <v>-6</v>
      </c>
      <c r="G851" s="11" t="s">
        <v>14</v>
      </c>
      <c r="H851" s="11" t="s">
        <v>49</v>
      </c>
      <c r="I851" s="11" t="s">
        <v>21</v>
      </c>
      <c r="J851" s="11">
        <v>8.5</v>
      </c>
      <c r="K851" s="11">
        <v>18</v>
      </c>
      <c r="L851" s="11"/>
      <c r="M851" s="11">
        <f t="shared" si="26"/>
        <v>51</v>
      </c>
      <c r="N851" s="11">
        <f>IF(Table1[[#This Row],[Transaction Type]]="Sale",ABS(E851)*K851,0)</f>
        <v>108</v>
      </c>
      <c r="O851" s="29">
        <f>IF(Table1[[#This Row],[Transaction Type]]="Purchase",E851*J851,0)</f>
        <v>0</v>
      </c>
    </row>
    <row r="852" spans="1:15" x14ac:dyDescent="0.35">
      <c r="A852" s="27" t="s">
        <v>1211</v>
      </c>
      <c r="B852" s="12">
        <v>45911</v>
      </c>
      <c r="C852" s="11" t="s">
        <v>170</v>
      </c>
      <c r="D852" s="11" t="s">
        <v>13</v>
      </c>
      <c r="E852" s="11">
        <v>-15</v>
      </c>
      <c r="F852" s="11">
        <f t="shared" si="27"/>
        <v>-15</v>
      </c>
      <c r="G852" s="11" t="s">
        <v>24</v>
      </c>
      <c r="H852" s="11" t="s">
        <v>171</v>
      </c>
      <c r="I852" s="11" t="s">
        <v>34</v>
      </c>
      <c r="J852" s="11">
        <v>25</v>
      </c>
      <c r="K852" s="11">
        <v>45</v>
      </c>
      <c r="L852" s="11"/>
      <c r="M852" s="11">
        <f t="shared" si="26"/>
        <v>375</v>
      </c>
      <c r="N852" s="11">
        <f>IF(Table1[[#This Row],[Transaction Type]]="Sale",ABS(E852)*K852,0)</f>
        <v>675</v>
      </c>
      <c r="O852" s="29">
        <f>IF(Table1[[#This Row],[Transaction Type]]="Purchase",E852*J852,0)</f>
        <v>0</v>
      </c>
    </row>
    <row r="853" spans="1:15" x14ac:dyDescent="0.35">
      <c r="A853" s="27" t="s">
        <v>1212</v>
      </c>
      <c r="B853" s="12">
        <v>45911</v>
      </c>
      <c r="C853" s="11" t="s">
        <v>29</v>
      </c>
      <c r="D853" s="11" t="s">
        <v>40</v>
      </c>
      <c r="E853" s="11">
        <v>90</v>
      </c>
      <c r="F853" s="11">
        <f t="shared" si="27"/>
        <v>90</v>
      </c>
      <c r="G853" s="11" t="s">
        <v>14</v>
      </c>
      <c r="H853" s="11" t="s">
        <v>30</v>
      </c>
      <c r="I853" s="11" t="s">
        <v>16</v>
      </c>
      <c r="J853" s="11">
        <v>8.8000000000000007</v>
      </c>
      <c r="K853" s="11">
        <v>17</v>
      </c>
      <c r="L853" s="11" t="s">
        <v>1213</v>
      </c>
      <c r="M853" s="11">
        <f t="shared" si="26"/>
        <v>792.00000000000011</v>
      </c>
      <c r="N853" s="11">
        <f>IF(Table1[[#This Row],[Transaction Type]]="Sale",ABS(E853)*K853,0)</f>
        <v>0</v>
      </c>
      <c r="O853" s="29">
        <f>IF(Table1[[#This Row],[Transaction Type]]="Purchase",E853*J853,0)</f>
        <v>792.00000000000011</v>
      </c>
    </row>
    <row r="854" spans="1:15" x14ac:dyDescent="0.35">
      <c r="A854" s="27" t="s">
        <v>1214</v>
      </c>
      <c r="B854" s="12">
        <v>45912</v>
      </c>
      <c r="C854" s="11" t="s">
        <v>23</v>
      </c>
      <c r="D854" s="11" t="s">
        <v>13</v>
      </c>
      <c r="E854" s="11">
        <v>-14</v>
      </c>
      <c r="F854" s="11">
        <f t="shared" si="27"/>
        <v>-14</v>
      </c>
      <c r="G854" s="11" t="s">
        <v>24</v>
      </c>
      <c r="H854" s="11" t="s">
        <v>25</v>
      </c>
      <c r="I854" s="11" t="s">
        <v>26</v>
      </c>
      <c r="J854" s="11">
        <v>3</v>
      </c>
      <c r="K854" s="11">
        <v>7</v>
      </c>
      <c r="L854" s="11"/>
      <c r="M854" s="11">
        <f t="shared" si="26"/>
        <v>42</v>
      </c>
      <c r="N854" s="11">
        <f>IF(Table1[[#This Row],[Transaction Type]]="Sale",ABS(E854)*K854,0)</f>
        <v>98</v>
      </c>
      <c r="O854" s="29">
        <f>IF(Table1[[#This Row],[Transaction Type]]="Purchase",E854*J854,0)</f>
        <v>0</v>
      </c>
    </row>
    <row r="855" spans="1:15" x14ac:dyDescent="0.35">
      <c r="A855" s="27" t="s">
        <v>1215</v>
      </c>
      <c r="B855" s="12">
        <v>45912</v>
      </c>
      <c r="C855" s="11" t="s">
        <v>36</v>
      </c>
      <c r="D855" s="11" t="s">
        <v>58</v>
      </c>
      <c r="E855" s="11">
        <v>-10</v>
      </c>
      <c r="F855" s="11">
        <f t="shared" si="27"/>
        <v>-10</v>
      </c>
      <c r="G855" s="11" t="s">
        <v>14</v>
      </c>
      <c r="H855" s="11" t="s">
        <v>37</v>
      </c>
      <c r="I855" s="11" t="s">
        <v>16</v>
      </c>
      <c r="J855" s="11">
        <v>7.2</v>
      </c>
      <c r="K855" s="11">
        <v>12.5</v>
      </c>
      <c r="L855" s="11"/>
      <c r="M855" s="11">
        <f t="shared" si="26"/>
        <v>72</v>
      </c>
      <c r="N855" s="11">
        <f>IF(Table1[[#This Row],[Transaction Type]]="Sale",ABS(E855)*K855,0)</f>
        <v>0</v>
      </c>
      <c r="O855" s="29">
        <f>IF(Table1[[#This Row],[Transaction Type]]="Purchase",E855*J855,0)</f>
        <v>0</v>
      </c>
    </row>
    <row r="856" spans="1:15" x14ac:dyDescent="0.35">
      <c r="A856" s="27" t="s">
        <v>1216</v>
      </c>
      <c r="B856" s="12">
        <v>45912</v>
      </c>
      <c r="C856" s="11" t="s">
        <v>170</v>
      </c>
      <c r="D856" s="11" t="s">
        <v>40</v>
      </c>
      <c r="E856" s="11">
        <v>107</v>
      </c>
      <c r="F856" s="11">
        <f t="shared" si="27"/>
        <v>107</v>
      </c>
      <c r="G856" s="11" t="s">
        <v>14</v>
      </c>
      <c r="H856" s="11" t="s">
        <v>171</v>
      </c>
      <c r="I856" s="11" t="s">
        <v>34</v>
      </c>
      <c r="J856" s="11">
        <v>25</v>
      </c>
      <c r="K856" s="11">
        <v>45</v>
      </c>
      <c r="L856" s="11" t="s">
        <v>1217</v>
      </c>
      <c r="M856" s="11">
        <f t="shared" si="26"/>
        <v>2675</v>
      </c>
      <c r="N856" s="11">
        <f>IF(Table1[[#This Row],[Transaction Type]]="Sale",ABS(E856)*K856,0)</f>
        <v>0</v>
      </c>
      <c r="O856" s="29">
        <f>IF(Table1[[#This Row],[Transaction Type]]="Purchase",E856*J856,0)</f>
        <v>2675</v>
      </c>
    </row>
    <row r="857" spans="1:15" x14ac:dyDescent="0.35">
      <c r="A857" s="27" t="s">
        <v>1218</v>
      </c>
      <c r="B857" s="12">
        <v>45912</v>
      </c>
      <c r="C857" s="11" t="s">
        <v>48</v>
      </c>
      <c r="D857" s="11" t="s">
        <v>66</v>
      </c>
      <c r="E857" s="11">
        <v>3</v>
      </c>
      <c r="F857" s="11">
        <f t="shared" si="27"/>
        <v>3</v>
      </c>
      <c r="G857" s="11" t="s">
        <v>19</v>
      </c>
      <c r="H857" s="11" t="s">
        <v>49</v>
      </c>
      <c r="I857" s="11" t="s">
        <v>21</v>
      </c>
      <c r="J857" s="11">
        <v>8.5</v>
      </c>
      <c r="K857" s="11">
        <v>18</v>
      </c>
      <c r="L857" s="11"/>
      <c r="M857" s="11">
        <f t="shared" si="26"/>
        <v>25.5</v>
      </c>
      <c r="N857" s="11">
        <f>IF(Table1[[#This Row],[Transaction Type]]="Sale",ABS(E857)*K857,0)</f>
        <v>0</v>
      </c>
      <c r="O857" s="29">
        <f>IF(Table1[[#This Row],[Transaction Type]]="Purchase",E857*J857,0)</f>
        <v>0</v>
      </c>
    </row>
    <row r="858" spans="1:15" x14ac:dyDescent="0.35">
      <c r="A858" s="27" t="s">
        <v>1219</v>
      </c>
      <c r="B858" s="12">
        <v>45912</v>
      </c>
      <c r="C858" s="11" t="s">
        <v>23</v>
      </c>
      <c r="D858" s="11" t="s">
        <v>66</v>
      </c>
      <c r="E858" s="11">
        <v>5</v>
      </c>
      <c r="F858" s="11">
        <f t="shared" si="27"/>
        <v>5</v>
      </c>
      <c r="G858" s="11" t="s">
        <v>24</v>
      </c>
      <c r="H858" s="11" t="s">
        <v>25</v>
      </c>
      <c r="I858" s="11" t="s">
        <v>26</v>
      </c>
      <c r="J858" s="11">
        <v>3</v>
      </c>
      <c r="K858" s="11">
        <v>7</v>
      </c>
      <c r="L858" s="11"/>
      <c r="M858" s="11">
        <f t="shared" si="26"/>
        <v>15</v>
      </c>
      <c r="N858" s="11">
        <f>IF(Table1[[#This Row],[Transaction Type]]="Sale",ABS(E858)*K858,0)</f>
        <v>0</v>
      </c>
      <c r="O858" s="29">
        <f>IF(Table1[[#This Row],[Transaction Type]]="Purchase",E858*J858,0)</f>
        <v>0</v>
      </c>
    </row>
    <row r="859" spans="1:15" x14ac:dyDescent="0.35">
      <c r="A859" s="27" t="s">
        <v>1220</v>
      </c>
      <c r="B859" s="12">
        <v>45912</v>
      </c>
      <c r="C859" s="11" t="s">
        <v>32</v>
      </c>
      <c r="D859" s="11" t="s">
        <v>40</v>
      </c>
      <c r="E859" s="11">
        <v>51</v>
      </c>
      <c r="F859" s="11">
        <f t="shared" si="27"/>
        <v>51</v>
      </c>
      <c r="G859" s="11" t="s">
        <v>24</v>
      </c>
      <c r="H859" s="11" t="s">
        <v>33</v>
      </c>
      <c r="I859" s="11" t="s">
        <v>34</v>
      </c>
      <c r="J859" s="11">
        <v>20</v>
      </c>
      <c r="K859" s="11">
        <v>35</v>
      </c>
      <c r="L859" s="11" t="s">
        <v>1221</v>
      </c>
      <c r="M859" s="11">
        <f t="shared" si="26"/>
        <v>1020</v>
      </c>
      <c r="N859" s="11">
        <f>IF(Table1[[#This Row],[Transaction Type]]="Sale",ABS(E859)*K859,0)</f>
        <v>0</v>
      </c>
      <c r="O859" s="29">
        <f>IF(Table1[[#This Row],[Transaction Type]]="Purchase",E859*J859,0)</f>
        <v>1020</v>
      </c>
    </row>
    <row r="860" spans="1:15" x14ac:dyDescent="0.35">
      <c r="A860" s="27" t="s">
        <v>1222</v>
      </c>
      <c r="B860" s="12">
        <v>45912</v>
      </c>
      <c r="C860" s="11" t="s">
        <v>52</v>
      </c>
      <c r="D860" s="11" t="s">
        <v>13</v>
      </c>
      <c r="E860" s="11">
        <v>-4</v>
      </c>
      <c r="F860" s="11">
        <f t="shared" si="27"/>
        <v>-4</v>
      </c>
      <c r="G860" s="11" t="s">
        <v>24</v>
      </c>
      <c r="H860" s="11" t="s">
        <v>20</v>
      </c>
      <c r="I860" s="11" t="s">
        <v>21</v>
      </c>
      <c r="J860" s="11">
        <v>5.5</v>
      </c>
      <c r="K860" s="11">
        <v>12</v>
      </c>
      <c r="L860" s="11"/>
      <c r="M860" s="11">
        <f t="shared" si="26"/>
        <v>22</v>
      </c>
      <c r="N860" s="11">
        <f>IF(Table1[[#This Row],[Transaction Type]]="Sale",ABS(E860)*K860,0)</f>
        <v>48</v>
      </c>
      <c r="O860" s="29">
        <f>IF(Table1[[#This Row],[Transaction Type]]="Purchase",E860*J860,0)</f>
        <v>0</v>
      </c>
    </row>
    <row r="861" spans="1:15" x14ac:dyDescent="0.35">
      <c r="A861" s="27" t="s">
        <v>1223</v>
      </c>
      <c r="B861" s="12">
        <v>45912</v>
      </c>
      <c r="C861" s="11" t="s">
        <v>29</v>
      </c>
      <c r="D861" s="11" t="s">
        <v>13</v>
      </c>
      <c r="E861" s="11">
        <v>-15</v>
      </c>
      <c r="F861" s="11">
        <f t="shared" si="27"/>
        <v>-15</v>
      </c>
      <c r="G861" s="11" t="s">
        <v>24</v>
      </c>
      <c r="H861" s="11" t="s">
        <v>30</v>
      </c>
      <c r="I861" s="11" t="s">
        <v>16</v>
      </c>
      <c r="J861" s="11">
        <v>8.8000000000000007</v>
      </c>
      <c r="K861" s="11">
        <v>17</v>
      </c>
      <c r="L861" s="11"/>
      <c r="M861" s="11">
        <f t="shared" si="26"/>
        <v>132</v>
      </c>
      <c r="N861" s="11">
        <f>IF(Table1[[#This Row],[Transaction Type]]="Sale",ABS(E861)*K861,0)</f>
        <v>255</v>
      </c>
      <c r="O861" s="29">
        <f>IF(Table1[[#This Row],[Transaction Type]]="Purchase",E861*J861,0)</f>
        <v>0</v>
      </c>
    </row>
    <row r="862" spans="1:15" x14ac:dyDescent="0.35">
      <c r="A862" s="27" t="s">
        <v>1224</v>
      </c>
      <c r="B862" s="12">
        <v>45912</v>
      </c>
      <c r="C862" s="11" t="s">
        <v>23</v>
      </c>
      <c r="D862" s="11" t="s">
        <v>13</v>
      </c>
      <c r="E862" s="11">
        <v>-11</v>
      </c>
      <c r="F862" s="11">
        <f t="shared" si="27"/>
        <v>-11</v>
      </c>
      <c r="G862" s="11" t="s">
        <v>14</v>
      </c>
      <c r="H862" s="11" t="s">
        <v>25</v>
      </c>
      <c r="I862" s="11" t="s">
        <v>26</v>
      </c>
      <c r="J862" s="11">
        <v>3</v>
      </c>
      <c r="K862" s="11">
        <v>7</v>
      </c>
      <c r="L862" s="11"/>
      <c r="M862" s="11">
        <f t="shared" si="26"/>
        <v>33</v>
      </c>
      <c r="N862" s="11">
        <f>IF(Table1[[#This Row],[Transaction Type]]="Sale",ABS(E862)*K862,0)</f>
        <v>77</v>
      </c>
      <c r="O862" s="29">
        <f>IF(Table1[[#This Row],[Transaction Type]]="Purchase",E862*J862,0)</f>
        <v>0</v>
      </c>
    </row>
    <row r="863" spans="1:15" x14ac:dyDescent="0.35">
      <c r="A863" s="27" t="s">
        <v>1225</v>
      </c>
      <c r="B863" s="12">
        <v>45913</v>
      </c>
      <c r="C863" s="11" t="s">
        <v>23</v>
      </c>
      <c r="D863" s="11" t="s">
        <v>13</v>
      </c>
      <c r="E863" s="11">
        <v>-7</v>
      </c>
      <c r="F863" s="11">
        <f t="shared" si="27"/>
        <v>-7</v>
      </c>
      <c r="G863" s="11" t="s">
        <v>19</v>
      </c>
      <c r="H863" s="11" t="s">
        <v>25</v>
      </c>
      <c r="I863" s="11" t="s">
        <v>26</v>
      </c>
      <c r="J863" s="11">
        <v>3</v>
      </c>
      <c r="K863" s="11">
        <v>7</v>
      </c>
      <c r="L863" s="11"/>
      <c r="M863" s="11">
        <f t="shared" si="26"/>
        <v>21</v>
      </c>
      <c r="N863" s="11">
        <f>IF(Table1[[#This Row],[Transaction Type]]="Sale",ABS(E863)*K863,0)</f>
        <v>49</v>
      </c>
      <c r="O863" s="29">
        <f>IF(Table1[[#This Row],[Transaction Type]]="Purchase",E863*J863,0)</f>
        <v>0</v>
      </c>
    </row>
    <row r="864" spans="1:15" x14ac:dyDescent="0.35">
      <c r="A864" s="27" t="s">
        <v>1226</v>
      </c>
      <c r="B864" s="12">
        <v>45913</v>
      </c>
      <c r="C864" s="11" t="s">
        <v>18</v>
      </c>
      <c r="D864" s="11" t="s">
        <v>13</v>
      </c>
      <c r="E864" s="11">
        <v>-1</v>
      </c>
      <c r="F864" s="11">
        <f t="shared" si="27"/>
        <v>-1</v>
      </c>
      <c r="G864" s="11" t="s">
        <v>24</v>
      </c>
      <c r="H864" s="11" t="s">
        <v>20</v>
      </c>
      <c r="I864" s="11" t="s">
        <v>21</v>
      </c>
      <c r="J864" s="11">
        <v>2.6</v>
      </c>
      <c r="K864" s="11">
        <v>5.5</v>
      </c>
      <c r="L864" s="11"/>
      <c r="M864" s="11">
        <f t="shared" si="26"/>
        <v>2.6</v>
      </c>
      <c r="N864" s="11">
        <f>IF(Table1[[#This Row],[Transaction Type]]="Sale",ABS(E864)*K864,0)</f>
        <v>5.5</v>
      </c>
      <c r="O864" s="29">
        <f>IF(Table1[[#This Row],[Transaction Type]]="Purchase",E864*J864,0)</f>
        <v>0</v>
      </c>
    </row>
    <row r="865" spans="1:15" x14ac:dyDescent="0.35">
      <c r="A865" s="27" t="s">
        <v>1227</v>
      </c>
      <c r="B865" s="12">
        <v>45914</v>
      </c>
      <c r="C865" s="11" t="s">
        <v>18</v>
      </c>
      <c r="D865" s="11" t="s">
        <v>13</v>
      </c>
      <c r="E865" s="11">
        <v>-9</v>
      </c>
      <c r="F865" s="11">
        <f t="shared" si="27"/>
        <v>-9</v>
      </c>
      <c r="G865" s="11" t="s">
        <v>14</v>
      </c>
      <c r="H865" s="11" t="s">
        <v>20</v>
      </c>
      <c r="I865" s="11" t="s">
        <v>21</v>
      </c>
      <c r="J865" s="11">
        <v>2.6</v>
      </c>
      <c r="K865" s="11">
        <v>5.5</v>
      </c>
      <c r="L865" s="11"/>
      <c r="M865" s="11">
        <f t="shared" si="26"/>
        <v>23.400000000000002</v>
      </c>
      <c r="N865" s="11">
        <f>IF(Table1[[#This Row],[Transaction Type]]="Sale",ABS(E865)*K865,0)</f>
        <v>49.5</v>
      </c>
      <c r="O865" s="29">
        <f>IF(Table1[[#This Row],[Transaction Type]]="Purchase",E865*J865,0)</f>
        <v>0</v>
      </c>
    </row>
    <row r="866" spans="1:15" x14ac:dyDescent="0.35">
      <c r="A866" s="27" t="s">
        <v>1228</v>
      </c>
      <c r="B866" s="12">
        <v>45914</v>
      </c>
      <c r="C866" s="11" t="s">
        <v>23</v>
      </c>
      <c r="D866" s="11" t="s">
        <v>13</v>
      </c>
      <c r="E866" s="11">
        <v>-3</v>
      </c>
      <c r="F866" s="11">
        <f t="shared" si="27"/>
        <v>-3</v>
      </c>
      <c r="G866" s="11" t="s">
        <v>14</v>
      </c>
      <c r="H866" s="11" t="s">
        <v>25</v>
      </c>
      <c r="I866" s="11" t="s">
        <v>26</v>
      </c>
      <c r="J866" s="11">
        <v>3</v>
      </c>
      <c r="K866" s="11">
        <v>7</v>
      </c>
      <c r="L866" s="11"/>
      <c r="M866" s="11">
        <f t="shared" si="26"/>
        <v>9</v>
      </c>
      <c r="N866" s="11">
        <f>IF(Table1[[#This Row],[Transaction Type]]="Sale",ABS(E866)*K866,0)</f>
        <v>21</v>
      </c>
      <c r="O866" s="29">
        <f>IF(Table1[[#This Row],[Transaction Type]]="Purchase",E866*J866,0)</f>
        <v>0</v>
      </c>
    </row>
    <row r="867" spans="1:15" x14ac:dyDescent="0.35">
      <c r="A867" s="27" t="s">
        <v>1229</v>
      </c>
      <c r="B867" s="12">
        <v>45915</v>
      </c>
      <c r="C867" s="11" t="s">
        <v>36</v>
      </c>
      <c r="D867" s="11" t="s">
        <v>40</v>
      </c>
      <c r="E867" s="11">
        <v>44</v>
      </c>
      <c r="F867" s="11">
        <f t="shared" si="27"/>
        <v>44</v>
      </c>
      <c r="G867" s="11" t="s">
        <v>14</v>
      </c>
      <c r="H867" s="11" t="s">
        <v>37</v>
      </c>
      <c r="I867" s="11" t="s">
        <v>16</v>
      </c>
      <c r="J867" s="11">
        <v>7.2</v>
      </c>
      <c r="K867" s="11">
        <v>12.5</v>
      </c>
      <c r="L867" s="11" t="s">
        <v>1230</v>
      </c>
      <c r="M867" s="11">
        <f t="shared" si="26"/>
        <v>316.8</v>
      </c>
      <c r="N867" s="11">
        <f>IF(Table1[[#This Row],[Transaction Type]]="Sale",ABS(E867)*K867,0)</f>
        <v>0</v>
      </c>
      <c r="O867" s="29">
        <f>IF(Table1[[#This Row],[Transaction Type]]="Purchase",E867*J867,0)</f>
        <v>316.8</v>
      </c>
    </row>
    <row r="868" spans="1:15" x14ac:dyDescent="0.35">
      <c r="A868" s="27" t="s">
        <v>1231</v>
      </c>
      <c r="B868" s="12">
        <v>45915</v>
      </c>
      <c r="C868" s="11" t="s">
        <v>139</v>
      </c>
      <c r="D868" s="11" t="s">
        <v>58</v>
      </c>
      <c r="E868" s="11">
        <v>3</v>
      </c>
      <c r="F868" s="11">
        <f t="shared" si="27"/>
        <v>3</v>
      </c>
      <c r="G868" s="11" t="s">
        <v>14</v>
      </c>
      <c r="H868" s="11" t="s">
        <v>56</v>
      </c>
      <c r="I868" s="11" t="s">
        <v>16</v>
      </c>
      <c r="J868" s="11">
        <v>16.5</v>
      </c>
      <c r="K868" s="11">
        <v>28</v>
      </c>
      <c r="L868" s="11"/>
      <c r="M868" s="11">
        <f t="shared" si="26"/>
        <v>49.5</v>
      </c>
      <c r="N868" s="11">
        <f>IF(Table1[[#This Row],[Transaction Type]]="Sale",ABS(E868)*K868,0)</f>
        <v>0</v>
      </c>
      <c r="O868" s="29">
        <f>IF(Table1[[#This Row],[Transaction Type]]="Purchase",E868*J868,0)</f>
        <v>0</v>
      </c>
    </row>
    <row r="869" spans="1:15" x14ac:dyDescent="0.35">
      <c r="A869" s="27" t="s">
        <v>1232</v>
      </c>
      <c r="B869" s="12">
        <v>45915</v>
      </c>
      <c r="C869" s="11" t="s">
        <v>73</v>
      </c>
      <c r="D869" s="11" t="s">
        <v>66</v>
      </c>
      <c r="E869" s="11">
        <v>4</v>
      </c>
      <c r="F869" s="11">
        <f t="shared" si="27"/>
        <v>4</v>
      </c>
      <c r="G869" s="11" t="s">
        <v>14</v>
      </c>
      <c r="H869" s="11" t="s">
        <v>74</v>
      </c>
      <c r="I869" s="11" t="s">
        <v>75</v>
      </c>
      <c r="J869" s="11">
        <v>30</v>
      </c>
      <c r="K869" s="11">
        <v>48</v>
      </c>
      <c r="L869" s="11"/>
      <c r="M869" s="11">
        <f t="shared" si="26"/>
        <v>120</v>
      </c>
      <c r="N869" s="11">
        <f>IF(Table1[[#This Row],[Transaction Type]]="Sale",ABS(E869)*K869,0)</f>
        <v>0</v>
      </c>
      <c r="O869" s="29">
        <f>IF(Table1[[#This Row],[Transaction Type]]="Purchase",E869*J869,0)</f>
        <v>0</v>
      </c>
    </row>
    <row r="870" spans="1:15" x14ac:dyDescent="0.35">
      <c r="A870" s="27" t="s">
        <v>1233</v>
      </c>
      <c r="B870" s="12">
        <v>45915</v>
      </c>
      <c r="C870" s="11" t="s">
        <v>94</v>
      </c>
      <c r="D870" s="11" t="s">
        <v>40</v>
      </c>
      <c r="E870" s="11">
        <v>21</v>
      </c>
      <c r="F870" s="11">
        <f t="shared" si="27"/>
        <v>21</v>
      </c>
      <c r="G870" s="11" t="s">
        <v>19</v>
      </c>
      <c r="H870" s="11" t="s">
        <v>95</v>
      </c>
      <c r="I870" s="11" t="s">
        <v>16</v>
      </c>
      <c r="J870" s="11">
        <v>18.5</v>
      </c>
      <c r="K870" s="11">
        <v>31</v>
      </c>
      <c r="L870" s="11" t="s">
        <v>1234</v>
      </c>
      <c r="M870" s="11">
        <f t="shared" si="26"/>
        <v>388.5</v>
      </c>
      <c r="N870" s="11">
        <f>IF(Table1[[#This Row],[Transaction Type]]="Sale",ABS(E870)*K870,0)</f>
        <v>0</v>
      </c>
      <c r="O870" s="29">
        <f>IF(Table1[[#This Row],[Transaction Type]]="Purchase",E870*J870,0)</f>
        <v>388.5</v>
      </c>
    </row>
    <row r="871" spans="1:15" x14ac:dyDescent="0.35">
      <c r="A871" s="27" t="s">
        <v>1235</v>
      </c>
      <c r="B871" s="12">
        <v>45915</v>
      </c>
      <c r="C871" s="11" t="s">
        <v>65</v>
      </c>
      <c r="D871" s="11" t="s">
        <v>40</v>
      </c>
      <c r="E871" s="11">
        <v>54</v>
      </c>
      <c r="F871" s="11">
        <f t="shared" si="27"/>
        <v>54</v>
      </c>
      <c r="G871" s="11" t="s">
        <v>14</v>
      </c>
      <c r="H871" s="11" t="s">
        <v>67</v>
      </c>
      <c r="I871" s="11" t="s">
        <v>21</v>
      </c>
      <c r="J871" s="11">
        <v>11</v>
      </c>
      <c r="K871" s="11">
        <v>22</v>
      </c>
      <c r="L871" s="11" t="s">
        <v>1236</v>
      </c>
      <c r="M871" s="11">
        <f t="shared" si="26"/>
        <v>594</v>
      </c>
      <c r="N871" s="11">
        <f>IF(Table1[[#This Row],[Transaction Type]]="Sale",ABS(E871)*K871,0)</f>
        <v>0</v>
      </c>
      <c r="O871" s="29">
        <f>IF(Table1[[#This Row],[Transaction Type]]="Purchase",E871*J871,0)</f>
        <v>594</v>
      </c>
    </row>
    <row r="872" spans="1:15" x14ac:dyDescent="0.35">
      <c r="A872" s="27" t="s">
        <v>1237</v>
      </c>
      <c r="B872" s="12">
        <v>45916</v>
      </c>
      <c r="C872" s="11" t="s">
        <v>69</v>
      </c>
      <c r="D872" s="11" t="s">
        <v>40</v>
      </c>
      <c r="E872" s="11">
        <v>39</v>
      </c>
      <c r="F872" s="11">
        <f t="shared" si="27"/>
        <v>39</v>
      </c>
      <c r="G872" s="11" t="s">
        <v>14</v>
      </c>
      <c r="H872" s="11" t="s">
        <v>70</v>
      </c>
      <c r="I872" s="11" t="s">
        <v>16</v>
      </c>
      <c r="J872" s="11">
        <v>23</v>
      </c>
      <c r="K872" s="11">
        <v>38</v>
      </c>
      <c r="L872" s="11" t="s">
        <v>1238</v>
      </c>
      <c r="M872" s="11">
        <f t="shared" si="26"/>
        <v>897</v>
      </c>
      <c r="N872" s="11">
        <f>IF(Table1[[#This Row],[Transaction Type]]="Sale",ABS(E872)*K872,0)</f>
        <v>0</v>
      </c>
      <c r="O872" s="29">
        <f>IF(Table1[[#This Row],[Transaction Type]]="Purchase",E872*J872,0)</f>
        <v>897</v>
      </c>
    </row>
    <row r="873" spans="1:15" x14ac:dyDescent="0.35">
      <c r="A873" s="27" t="s">
        <v>1239</v>
      </c>
      <c r="B873" s="12">
        <v>45916</v>
      </c>
      <c r="C873" s="11" t="s">
        <v>350</v>
      </c>
      <c r="D873" s="11" t="s">
        <v>13</v>
      </c>
      <c r="E873" s="11">
        <v>-14</v>
      </c>
      <c r="F873" s="11">
        <f t="shared" si="27"/>
        <v>-14</v>
      </c>
      <c r="G873" s="11" t="s">
        <v>14</v>
      </c>
      <c r="H873" s="11" t="s">
        <v>74</v>
      </c>
      <c r="I873" s="11" t="s">
        <v>75</v>
      </c>
      <c r="J873" s="11">
        <v>145</v>
      </c>
      <c r="K873" s="11">
        <v>210</v>
      </c>
      <c r="L873" s="11"/>
      <c r="M873" s="11">
        <f t="shared" si="26"/>
        <v>2030</v>
      </c>
      <c r="N873" s="11">
        <f>IF(Table1[[#This Row],[Transaction Type]]="Sale",ABS(E873)*K873,0)</f>
        <v>2940</v>
      </c>
      <c r="O873" s="29">
        <f>IF(Table1[[#This Row],[Transaction Type]]="Purchase",E873*J873,0)</f>
        <v>0</v>
      </c>
    </row>
    <row r="874" spans="1:15" x14ac:dyDescent="0.35">
      <c r="A874" s="27" t="s">
        <v>1240</v>
      </c>
      <c r="B874" s="12">
        <v>45916</v>
      </c>
      <c r="C874" s="11" t="s">
        <v>55</v>
      </c>
      <c r="D874" s="11" t="s">
        <v>13</v>
      </c>
      <c r="E874" s="11">
        <v>-7</v>
      </c>
      <c r="F874" s="11">
        <f t="shared" si="27"/>
        <v>-7</v>
      </c>
      <c r="G874" s="11" t="s">
        <v>24</v>
      </c>
      <c r="H874" s="11" t="s">
        <v>56</v>
      </c>
      <c r="I874" s="11" t="s">
        <v>16</v>
      </c>
      <c r="J874" s="11">
        <v>4.2</v>
      </c>
      <c r="K874" s="11">
        <v>10</v>
      </c>
      <c r="L874" s="11"/>
      <c r="M874" s="11">
        <f t="shared" si="26"/>
        <v>29.400000000000002</v>
      </c>
      <c r="N874" s="11">
        <f>IF(Table1[[#This Row],[Transaction Type]]="Sale",ABS(E874)*K874,0)</f>
        <v>70</v>
      </c>
      <c r="O874" s="29">
        <f>IF(Table1[[#This Row],[Transaction Type]]="Purchase",E874*J874,0)</f>
        <v>0</v>
      </c>
    </row>
    <row r="875" spans="1:15" x14ac:dyDescent="0.35">
      <c r="A875" s="27" t="s">
        <v>1241</v>
      </c>
      <c r="B875" s="12">
        <v>45916</v>
      </c>
      <c r="C875" s="11" t="s">
        <v>65</v>
      </c>
      <c r="D875" s="11" t="s">
        <v>40</v>
      </c>
      <c r="E875" s="11">
        <v>23</v>
      </c>
      <c r="F875" s="11">
        <f t="shared" si="27"/>
        <v>23</v>
      </c>
      <c r="G875" s="11" t="s">
        <v>19</v>
      </c>
      <c r="H875" s="11" t="s">
        <v>67</v>
      </c>
      <c r="I875" s="11" t="s">
        <v>21</v>
      </c>
      <c r="J875" s="11">
        <v>11</v>
      </c>
      <c r="K875" s="11">
        <v>22</v>
      </c>
      <c r="L875" s="11" t="s">
        <v>1242</v>
      </c>
      <c r="M875" s="11">
        <f t="shared" si="26"/>
        <v>253</v>
      </c>
      <c r="N875" s="11">
        <f>IF(Table1[[#This Row],[Transaction Type]]="Sale",ABS(E875)*K875,0)</f>
        <v>0</v>
      </c>
      <c r="O875" s="29">
        <f>IF(Table1[[#This Row],[Transaction Type]]="Purchase",E875*J875,0)</f>
        <v>253</v>
      </c>
    </row>
    <row r="876" spans="1:15" x14ac:dyDescent="0.35">
      <c r="A876" s="27" t="s">
        <v>1243</v>
      </c>
      <c r="B876" s="12">
        <v>45916</v>
      </c>
      <c r="C876" s="11" t="s">
        <v>69</v>
      </c>
      <c r="D876" s="11" t="s">
        <v>13</v>
      </c>
      <c r="E876" s="11">
        <v>-9</v>
      </c>
      <c r="F876" s="11">
        <f t="shared" si="27"/>
        <v>-9</v>
      </c>
      <c r="G876" s="11" t="s">
        <v>24</v>
      </c>
      <c r="H876" s="11" t="s">
        <v>70</v>
      </c>
      <c r="I876" s="11" t="s">
        <v>16</v>
      </c>
      <c r="J876" s="11">
        <v>23</v>
      </c>
      <c r="K876" s="11">
        <v>38</v>
      </c>
      <c r="L876" s="11"/>
      <c r="M876" s="11">
        <f t="shared" si="26"/>
        <v>207</v>
      </c>
      <c r="N876" s="11">
        <f>IF(Table1[[#This Row],[Transaction Type]]="Sale",ABS(E876)*K876,0)</f>
        <v>342</v>
      </c>
      <c r="O876" s="29">
        <f>IF(Table1[[#This Row],[Transaction Type]]="Purchase",E876*J876,0)</f>
        <v>0</v>
      </c>
    </row>
    <row r="877" spans="1:15" x14ac:dyDescent="0.35">
      <c r="A877" s="27" t="s">
        <v>1244</v>
      </c>
      <c r="B877" s="12">
        <v>45916</v>
      </c>
      <c r="C877" s="11" t="s">
        <v>55</v>
      </c>
      <c r="D877" s="11" t="s">
        <v>13</v>
      </c>
      <c r="E877" s="11">
        <v>-10</v>
      </c>
      <c r="F877" s="11">
        <f t="shared" si="27"/>
        <v>-10</v>
      </c>
      <c r="G877" s="11" t="s">
        <v>14</v>
      </c>
      <c r="H877" s="11" t="s">
        <v>56</v>
      </c>
      <c r="I877" s="11" t="s">
        <v>16</v>
      </c>
      <c r="J877" s="11">
        <v>4.2</v>
      </c>
      <c r="K877" s="11">
        <v>10</v>
      </c>
      <c r="L877" s="11"/>
      <c r="M877" s="11">
        <f t="shared" si="26"/>
        <v>42</v>
      </c>
      <c r="N877" s="11">
        <f>IF(Table1[[#This Row],[Transaction Type]]="Sale",ABS(E877)*K877,0)</f>
        <v>100</v>
      </c>
      <c r="O877" s="29">
        <f>IF(Table1[[#This Row],[Transaction Type]]="Purchase",E877*J877,0)</f>
        <v>0</v>
      </c>
    </row>
    <row r="878" spans="1:15" x14ac:dyDescent="0.35">
      <c r="A878" s="27" t="s">
        <v>1246</v>
      </c>
      <c r="B878" s="12">
        <v>45917</v>
      </c>
      <c r="C878" s="11" t="s">
        <v>77</v>
      </c>
      <c r="D878" s="11" t="s">
        <v>40</v>
      </c>
      <c r="E878" s="11">
        <v>62</v>
      </c>
      <c r="F878" s="11">
        <f t="shared" si="27"/>
        <v>62</v>
      </c>
      <c r="G878" s="11" t="s">
        <v>19</v>
      </c>
      <c r="H878" s="11" t="s">
        <v>78</v>
      </c>
      <c r="I878" s="11" t="s">
        <v>16</v>
      </c>
      <c r="J878" s="11">
        <v>25</v>
      </c>
      <c r="K878" s="11">
        <v>42</v>
      </c>
      <c r="L878" s="11" t="s">
        <v>1247</v>
      </c>
      <c r="M878" s="11">
        <f t="shared" si="26"/>
        <v>1550</v>
      </c>
      <c r="N878" s="11">
        <f>IF(Table1[[#This Row],[Transaction Type]]="Sale",ABS(E878)*K878,0)</f>
        <v>0</v>
      </c>
      <c r="O878" s="29">
        <f>IF(Table1[[#This Row],[Transaction Type]]="Purchase",E878*J878,0)</f>
        <v>1550</v>
      </c>
    </row>
    <row r="879" spans="1:15" x14ac:dyDescent="0.35">
      <c r="A879" s="27" t="s">
        <v>1248</v>
      </c>
      <c r="B879" s="12">
        <v>45918</v>
      </c>
      <c r="C879" s="11" t="s">
        <v>36</v>
      </c>
      <c r="D879" s="11" t="s">
        <v>13</v>
      </c>
      <c r="E879" s="11">
        <v>-6</v>
      </c>
      <c r="F879" s="11">
        <f t="shared" si="27"/>
        <v>-6</v>
      </c>
      <c r="G879" s="11" t="s">
        <v>24</v>
      </c>
      <c r="H879" s="11" t="s">
        <v>37</v>
      </c>
      <c r="I879" s="11" t="s">
        <v>16</v>
      </c>
      <c r="J879" s="11">
        <v>7.2</v>
      </c>
      <c r="K879" s="11">
        <v>12.5</v>
      </c>
      <c r="L879" s="11"/>
      <c r="M879" s="11">
        <f t="shared" si="26"/>
        <v>43.2</v>
      </c>
      <c r="N879" s="11">
        <f>IF(Table1[[#This Row],[Transaction Type]]="Sale",ABS(E879)*K879,0)</f>
        <v>75</v>
      </c>
      <c r="O879" s="29">
        <f>IF(Table1[[#This Row],[Transaction Type]]="Purchase",E879*J879,0)</f>
        <v>0</v>
      </c>
    </row>
    <row r="880" spans="1:15" x14ac:dyDescent="0.35">
      <c r="A880" s="27" t="s">
        <v>1249</v>
      </c>
      <c r="B880" s="12">
        <v>45918</v>
      </c>
      <c r="C880" s="11" t="s">
        <v>12</v>
      </c>
      <c r="D880" s="11" t="s">
        <v>13</v>
      </c>
      <c r="E880" s="11">
        <v>-12</v>
      </c>
      <c r="F880" s="11">
        <f t="shared" si="27"/>
        <v>-12</v>
      </c>
      <c r="G880" s="11" t="s">
        <v>14</v>
      </c>
      <c r="H880" s="11" t="s">
        <v>15</v>
      </c>
      <c r="I880" s="11" t="s">
        <v>16</v>
      </c>
      <c r="J880" s="11">
        <v>13.5</v>
      </c>
      <c r="K880" s="11">
        <v>24</v>
      </c>
      <c r="L880" s="11"/>
      <c r="M880" s="11">
        <f t="shared" si="26"/>
        <v>162</v>
      </c>
      <c r="N880" s="11">
        <f>IF(Table1[[#This Row],[Transaction Type]]="Sale",ABS(E880)*K880,0)</f>
        <v>288</v>
      </c>
      <c r="O880" s="29">
        <f>IF(Table1[[#This Row],[Transaction Type]]="Purchase",E880*J880,0)</f>
        <v>0</v>
      </c>
    </row>
    <row r="881" spans="1:15" x14ac:dyDescent="0.35">
      <c r="A881" s="27" t="s">
        <v>1250</v>
      </c>
      <c r="B881" s="12">
        <v>45918</v>
      </c>
      <c r="C881" s="11" t="s">
        <v>81</v>
      </c>
      <c r="D881" s="11" t="s">
        <v>13</v>
      </c>
      <c r="E881" s="11">
        <v>-15</v>
      </c>
      <c r="F881" s="11">
        <f t="shared" si="27"/>
        <v>-15</v>
      </c>
      <c r="G881" s="11" t="s">
        <v>24</v>
      </c>
      <c r="H881" s="11" t="s">
        <v>30</v>
      </c>
      <c r="I881" s="11" t="s">
        <v>16</v>
      </c>
      <c r="J881" s="11">
        <v>8</v>
      </c>
      <c r="K881" s="11">
        <v>15</v>
      </c>
      <c r="L881" s="11"/>
      <c r="M881" s="11">
        <f t="shared" si="26"/>
        <v>120</v>
      </c>
      <c r="N881" s="11">
        <f>IF(Table1[[#This Row],[Transaction Type]]="Sale",ABS(E881)*K881,0)</f>
        <v>225</v>
      </c>
      <c r="O881" s="29">
        <f>IF(Table1[[#This Row],[Transaction Type]]="Purchase",E881*J881,0)</f>
        <v>0</v>
      </c>
    </row>
    <row r="882" spans="1:15" x14ac:dyDescent="0.35">
      <c r="A882" s="27" t="s">
        <v>1251</v>
      </c>
      <c r="B882" s="12">
        <v>45919</v>
      </c>
      <c r="C882" s="11" t="s">
        <v>98</v>
      </c>
      <c r="D882" s="11" t="s">
        <v>40</v>
      </c>
      <c r="E882" s="11">
        <v>79</v>
      </c>
      <c r="F882" s="11">
        <f t="shared" si="27"/>
        <v>79</v>
      </c>
      <c r="G882" s="11" t="s">
        <v>24</v>
      </c>
      <c r="H882" s="11" t="s">
        <v>30</v>
      </c>
      <c r="I882" s="11" t="s">
        <v>16</v>
      </c>
      <c r="J882" s="11">
        <v>16</v>
      </c>
      <c r="K882" s="11">
        <v>29</v>
      </c>
      <c r="L882" s="11" t="s">
        <v>1252</v>
      </c>
      <c r="M882" s="11">
        <f t="shared" si="26"/>
        <v>1264</v>
      </c>
      <c r="N882" s="11">
        <f>IF(Table1[[#This Row],[Transaction Type]]="Sale",ABS(E882)*K882,0)</f>
        <v>0</v>
      </c>
      <c r="O882" s="29">
        <f>IF(Table1[[#This Row],[Transaction Type]]="Purchase",E882*J882,0)</f>
        <v>1264</v>
      </c>
    </row>
    <row r="883" spans="1:15" x14ac:dyDescent="0.35">
      <c r="A883" s="27" t="s">
        <v>1253</v>
      </c>
      <c r="B883" s="12">
        <v>45919</v>
      </c>
      <c r="C883" s="11" t="s">
        <v>52</v>
      </c>
      <c r="D883" s="11" t="s">
        <v>40</v>
      </c>
      <c r="E883" s="11">
        <v>32</v>
      </c>
      <c r="F883" s="11">
        <f t="shared" si="27"/>
        <v>32</v>
      </c>
      <c r="G883" s="11" t="s">
        <v>19</v>
      </c>
      <c r="H883" s="11" t="s">
        <v>20</v>
      </c>
      <c r="I883" s="11" t="s">
        <v>21</v>
      </c>
      <c r="J883" s="11">
        <v>5.5</v>
      </c>
      <c r="K883" s="11">
        <v>12</v>
      </c>
      <c r="L883" s="11" t="s">
        <v>1254</v>
      </c>
      <c r="M883" s="11">
        <f t="shared" si="26"/>
        <v>176</v>
      </c>
      <c r="N883" s="11">
        <f>IF(Table1[[#This Row],[Transaction Type]]="Sale",ABS(E883)*K883,0)</f>
        <v>0</v>
      </c>
      <c r="O883" s="29">
        <f>IF(Table1[[#This Row],[Transaction Type]]="Purchase",E883*J883,0)</f>
        <v>176</v>
      </c>
    </row>
    <row r="884" spans="1:15" x14ac:dyDescent="0.35">
      <c r="A884" s="27" t="s">
        <v>1255</v>
      </c>
      <c r="B884" s="12">
        <v>45919</v>
      </c>
      <c r="C884" s="11" t="s">
        <v>73</v>
      </c>
      <c r="D884" s="11" t="s">
        <v>40</v>
      </c>
      <c r="E884" s="11">
        <v>103</v>
      </c>
      <c r="F884" s="11">
        <f t="shared" si="27"/>
        <v>103</v>
      </c>
      <c r="G884" s="11" t="s">
        <v>14</v>
      </c>
      <c r="H884" s="11" t="s">
        <v>74</v>
      </c>
      <c r="I884" s="11" t="s">
        <v>75</v>
      </c>
      <c r="J884" s="11">
        <v>30</v>
      </c>
      <c r="K884" s="11">
        <v>48</v>
      </c>
      <c r="L884" s="11" t="s">
        <v>1256</v>
      </c>
      <c r="M884" s="11">
        <f t="shared" si="26"/>
        <v>3090</v>
      </c>
      <c r="N884" s="11">
        <f>IF(Table1[[#This Row],[Transaction Type]]="Sale",ABS(E884)*K884,0)</f>
        <v>0</v>
      </c>
      <c r="O884" s="29">
        <f>IF(Table1[[#This Row],[Transaction Type]]="Purchase",E884*J884,0)</f>
        <v>3090</v>
      </c>
    </row>
    <row r="885" spans="1:15" x14ac:dyDescent="0.35">
      <c r="A885" s="27" t="s">
        <v>1257</v>
      </c>
      <c r="B885" s="12">
        <v>45921</v>
      </c>
      <c r="C885" s="11" t="s">
        <v>48</v>
      </c>
      <c r="D885" s="11" t="s">
        <v>40</v>
      </c>
      <c r="E885" s="11">
        <v>54</v>
      </c>
      <c r="F885" s="11">
        <f t="shared" si="27"/>
        <v>54</v>
      </c>
      <c r="G885" s="11" t="s">
        <v>19</v>
      </c>
      <c r="H885" s="11" t="s">
        <v>49</v>
      </c>
      <c r="I885" s="11" t="s">
        <v>21</v>
      </c>
      <c r="J885" s="11">
        <v>8.5</v>
      </c>
      <c r="K885" s="11">
        <v>18</v>
      </c>
      <c r="L885" s="11" t="s">
        <v>1258</v>
      </c>
      <c r="M885" s="11">
        <f t="shared" si="26"/>
        <v>459</v>
      </c>
      <c r="N885" s="11">
        <f>IF(Table1[[#This Row],[Transaction Type]]="Sale",ABS(E885)*K885,0)</f>
        <v>0</v>
      </c>
      <c r="O885" s="29">
        <f>IF(Table1[[#This Row],[Transaction Type]]="Purchase",E885*J885,0)</f>
        <v>459</v>
      </c>
    </row>
    <row r="886" spans="1:15" x14ac:dyDescent="0.35">
      <c r="A886" s="27" t="s">
        <v>1259</v>
      </c>
      <c r="B886" s="12">
        <v>45921</v>
      </c>
      <c r="C886" s="11" t="s">
        <v>65</v>
      </c>
      <c r="D886" s="11" t="s">
        <v>40</v>
      </c>
      <c r="E886" s="11">
        <v>57</v>
      </c>
      <c r="F886" s="11">
        <f t="shared" si="27"/>
        <v>57</v>
      </c>
      <c r="G886" s="11" t="s">
        <v>14</v>
      </c>
      <c r="H886" s="11" t="s">
        <v>67</v>
      </c>
      <c r="I886" s="11" t="s">
        <v>21</v>
      </c>
      <c r="J886" s="11">
        <v>11</v>
      </c>
      <c r="K886" s="11">
        <v>22</v>
      </c>
      <c r="L886" s="11" t="s">
        <v>1260</v>
      </c>
      <c r="M886" s="11">
        <f t="shared" si="26"/>
        <v>627</v>
      </c>
      <c r="N886" s="11">
        <f>IF(Table1[[#This Row],[Transaction Type]]="Sale",ABS(E886)*K886,0)</f>
        <v>0</v>
      </c>
      <c r="O886" s="29">
        <f>IF(Table1[[#This Row],[Transaction Type]]="Purchase",E886*J886,0)</f>
        <v>627</v>
      </c>
    </row>
    <row r="887" spans="1:15" x14ac:dyDescent="0.35">
      <c r="A887" s="27" t="s">
        <v>1261</v>
      </c>
      <c r="B887" s="12">
        <v>45922</v>
      </c>
      <c r="C887" s="11" t="s">
        <v>185</v>
      </c>
      <c r="D887" s="11" t="s">
        <v>40</v>
      </c>
      <c r="E887" s="11">
        <v>89</v>
      </c>
      <c r="F887" s="11">
        <f t="shared" si="27"/>
        <v>89</v>
      </c>
      <c r="G887" s="11" t="s">
        <v>14</v>
      </c>
      <c r="H887" s="11" t="s">
        <v>44</v>
      </c>
      <c r="I887" s="11" t="s">
        <v>45</v>
      </c>
      <c r="J887" s="11">
        <v>63</v>
      </c>
      <c r="K887" s="11">
        <v>95</v>
      </c>
      <c r="L887" s="11" t="s">
        <v>1262</v>
      </c>
      <c r="M887" s="11">
        <f t="shared" si="26"/>
        <v>5607</v>
      </c>
      <c r="N887" s="11">
        <f>IF(Table1[[#This Row],[Transaction Type]]="Sale",ABS(E887)*K887,0)</f>
        <v>0</v>
      </c>
      <c r="O887" s="29">
        <f>IF(Table1[[#This Row],[Transaction Type]]="Purchase",E887*J887,0)</f>
        <v>5607</v>
      </c>
    </row>
    <row r="888" spans="1:15" x14ac:dyDescent="0.35">
      <c r="A888" s="27" t="s">
        <v>1263</v>
      </c>
      <c r="B888" s="12">
        <v>45922</v>
      </c>
      <c r="C888" s="11" t="s">
        <v>23</v>
      </c>
      <c r="D888" s="11" t="s">
        <v>40</v>
      </c>
      <c r="E888" s="11">
        <v>61</v>
      </c>
      <c r="F888" s="11">
        <f t="shared" si="27"/>
        <v>61</v>
      </c>
      <c r="G888" s="11" t="s">
        <v>14</v>
      </c>
      <c r="H888" s="11" t="s">
        <v>25</v>
      </c>
      <c r="I888" s="11" t="s">
        <v>26</v>
      </c>
      <c r="J888" s="11">
        <v>3</v>
      </c>
      <c r="K888" s="11">
        <v>7</v>
      </c>
      <c r="L888" s="11" t="s">
        <v>1264</v>
      </c>
      <c r="M888" s="11">
        <f t="shared" si="26"/>
        <v>183</v>
      </c>
      <c r="N888" s="11">
        <f>IF(Table1[[#This Row],[Transaction Type]]="Sale",ABS(E888)*K888,0)</f>
        <v>0</v>
      </c>
      <c r="O888" s="29">
        <f>IF(Table1[[#This Row],[Transaction Type]]="Purchase",E888*J888,0)</f>
        <v>183</v>
      </c>
    </row>
    <row r="889" spans="1:15" x14ac:dyDescent="0.35">
      <c r="A889" s="27" t="s">
        <v>1265</v>
      </c>
      <c r="B889" s="12">
        <v>45923</v>
      </c>
      <c r="C889" s="11" t="s">
        <v>81</v>
      </c>
      <c r="D889" s="11" t="s">
        <v>58</v>
      </c>
      <c r="E889" s="11">
        <v>15</v>
      </c>
      <c r="F889" s="11">
        <f t="shared" si="27"/>
        <v>15</v>
      </c>
      <c r="G889" s="11" t="s">
        <v>14</v>
      </c>
      <c r="H889" s="11" t="s">
        <v>30</v>
      </c>
      <c r="I889" s="11" t="s">
        <v>16</v>
      </c>
      <c r="J889" s="11">
        <v>8</v>
      </c>
      <c r="K889" s="11">
        <v>15</v>
      </c>
      <c r="L889" s="11"/>
      <c r="M889" s="11">
        <f t="shared" si="26"/>
        <v>120</v>
      </c>
      <c r="N889" s="11">
        <f>IF(Table1[[#This Row],[Transaction Type]]="Sale",ABS(E889)*K889,0)</f>
        <v>0</v>
      </c>
      <c r="O889" s="29">
        <f>IF(Table1[[#This Row],[Transaction Type]]="Purchase",E889*J889,0)</f>
        <v>0</v>
      </c>
    </row>
    <row r="890" spans="1:15" x14ac:dyDescent="0.35">
      <c r="A890" s="27" t="s">
        <v>1266</v>
      </c>
      <c r="B890" s="12">
        <v>45923</v>
      </c>
      <c r="C890" s="11" t="s">
        <v>77</v>
      </c>
      <c r="D890" s="11" t="s">
        <v>13</v>
      </c>
      <c r="E890" s="11">
        <v>-12</v>
      </c>
      <c r="F890" s="11">
        <f t="shared" si="27"/>
        <v>-12</v>
      </c>
      <c r="G890" s="11" t="s">
        <v>14</v>
      </c>
      <c r="H890" s="11" t="s">
        <v>78</v>
      </c>
      <c r="I890" s="11" t="s">
        <v>16</v>
      </c>
      <c r="J890" s="11">
        <v>25</v>
      </c>
      <c r="K890" s="11">
        <v>42</v>
      </c>
      <c r="L890" s="11"/>
      <c r="M890" s="11">
        <f t="shared" si="26"/>
        <v>300</v>
      </c>
      <c r="N890" s="11">
        <f>IF(Table1[[#This Row],[Transaction Type]]="Sale",ABS(E890)*K890,0)</f>
        <v>504</v>
      </c>
      <c r="O890" s="29">
        <f>IF(Table1[[#This Row],[Transaction Type]]="Purchase",E890*J890,0)</f>
        <v>0</v>
      </c>
    </row>
    <row r="891" spans="1:15" x14ac:dyDescent="0.35">
      <c r="A891" s="27" t="s">
        <v>1267</v>
      </c>
      <c r="B891" s="12">
        <v>45923</v>
      </c>
      <c r="C891" s="11" t="s">
        <v>60</v>
      </c>
      <c r="D891" s="11" t="s">
        <v>40</v>
      </c>
      <c r="E891" s="11">
        <v>43</v>
      </c>
      <c r="F891" s="11">
        <f t="shared" si="27"/>
        <v>43</v>
      </c>
      <c r="G891" s="11" t="s">
        <v>14</v>
      </c>
      <c r="H891" s="11" t="s">
        <v>61</v>
      </c>
      <c r="I891" s="11" t="s">
        <v>62</v>
      </c>
      <c r="J891" s="11">
        <v>3.4</v>
      </c>
      <c r="K891" s="11">
        <v>8</v>
      </c>
      <c r="L891" s="11" t="s">
        <v>1268</v>
      </c>
      <c r="M891" s="11">
        <f t="shared" si="26"/>
        <v>146.19999999999999</v>
      </c>
      <c r="N891" s="11">
        <f>IF(Table1[[#This Row],[Transaction Type]]="Sale",ABS(E891)*K891,0)</f>
        <v>0</v>
      </c>
      <c r="O891" s="29">
        <f>IF(Table1[[#This Row],[Transaction Type]]="Purchase",E891*J891,0)</f>
        <v>146.19999999999999</v>
      </c>
    </row>
    <row r="892" spans="1:15" x14ac:dyDescent="0.35">
      <c r="A892" s="27" t="s">
        <v>1269</v>
      </c>
      <c r="B892" s="12">
        <v>45924</v>
      </c>
      <c r="C892" s="11" t="s">
        <v>60</v>
      </c>
      <c r="D892" s="11" t="s">
        <v>40</v>
      </c>
      <c r="E892" s="11">
        <v>73</v>
      </c>
      <c r="F892" s="11">
        <f t="shared" si="27"/>
        <v>73</v>
      </c>
      <c r="G892" s="11" t="s">
        <v>24</v>
      </c>
      <c r="H892" s="11" t="s">
        <v>61</v>
      </c>
      <c r="I892" s="11" t="s">
        <v>62</v>
      </c>
      <c r="J892" s="11">
        <v>3.4</v>
      </c>
      <c r="K892" s="11">
        <v>8</v>
      </c>
      <c r="L892" s="11" t="s">
        <v>1270</v>
      </c>
      <c r="M892" s="11">
        <f t="shared" si="26"/>
        <v>248.2</v>
      </c>
      <c r="N892" s="11">
        <f>IF(Table1[[#This Row],[Transaction Type]]="Sale",ABS(E892)*K892,0)</f>
        <v>0</v>
      </c>
      <c r="O892" s="29">
        <f>IF(Table1[[#This Row],[Transaction Type]]="Purchase",E892*J892,0)</f>
        <v>248.2</v>
      </c>
    </row>
    <row r="893" spans="1:15" x14ac:dyDescent="0.35">
      <c r="A893" s="27" t="s">
        <v>1271</v>
      </c>
      <c r="B893" s="12">
        <v>45924</v>
      </c>
      <c r="C893" s="11" t="s">
        <v>98</v>
      </c>
      <c r="D893" s="11" t="s">
        <v>13</v>
      </c>
      <c r="E893" s="11">
        <v>-15</v>
      </c>
      <c r="F893" s="11">
        <f t="shared" si="27"/>
        <v>-15</v>
      </c>
      <c r="G893" s="11" t="s">
        <v>19</v>
      </c>
      <c r="H893" s="11" t="s">
        <v>30</v>
      </c>
      <c r="I893" s="11" t="s">
        <v>16</v>
      </c>
      <c r="J893" s="11">
        <v>16</v>
      </c>
      <c r="K893" s="11">
        <v>29</v>
      </c>
      <c r="L893" s="11"/>
      <c r="M893" s="11">
        <f t="shared" si="26"/>
        <v>240</v>
      </c>
      <c r="N893" s="11">
        <f>IF(Table1[[#This Row],[Transaction Type]]="Sale",ABS(E893)*K893,0)</f>
        <v>435</v>
      </c>
      <c r="O893" s="29">
        <f>IF(Table1[[#This Row],[Transaction Type]]="Purchase",E893*J893,0)</f>
        <v>0</v>
      </c>
    </row>
    <row r="894" spans="1:15" x14ac:dyDescent="0.35">
      <c r="A894" s="27" t="s">
        <v>1272</v>
      </c>
      <c r="B894" s="12">
        <v>45924</v>
      </c>
      <c r="C894" s="11" t="s">
        <v>29</v>
      </c>
      <c r="D894" s="11" t="s">
        <v>13</v>
      </c>
      <c r="E894" s="11">
        <v>-11</v>
      </c>
      <c r="F894" s="11">
        <f t="shared" si="27"/>
        <v>-11</v>
      </c>
      <c r="G894" s="11" t="s">
        <v>24</v>
      </c>
      <c r="H894" s="11" t="s">
        <v>30</v>
      </c>
      <c r="I894" s="11" t="s">
        <v>16</v>
      </c>
      <c r="J894" s="11">
        <v>8.8000000000000007</v>
      </c>
      <c r="K894" s="11">
        <v>17</v>
      </c>
      <c r="L894" s="11"/>
      <c r="M894" s="11">
        <f t="shared" si="26"/>
        <v>96.800000000000011</v>
      </c>
      <c r="N894" s="11">
        <f>IF(Table1[[#This Row],[Transaction Type]]="Sale",ABS(E894)*K894,0)</f>
        <v>187</v>
      </c>
      <c r="O894" s="29">
        <f>IF(Table1[[#This Row],[Transaction Type]]="Purchase",E894*J894,0)</f>
        <v>0</v>
      </c>
    </row>
    <row r="895" spans="1:15" x14ac:dyDescent="0.35">
      <c r="A895" s="27" t="s">
        <v>1273</v>
      </c>
      <c r="B895" s="12">
        <v>45925</v>
      </c>
      <c r="C895" s="11" t="s">
        <v>136</v>
      </c>
      <c r="D895" s="11" t="s">
        <v>13</v>
      </c>
      <c r="E895" s="11">
        <v>-5</v>
      </c>
      <c r="F895" s="11">
        <f t="shared" si="27"/>
        <v>-5</v>
      </c>
      <c r="G895" s="11" t="s">
        <v>24</v>
      </c>
      <c r="H895" s="11" t="s">
        <v>33</v>
      </c>
      <c r="I895" s="11" t="s">
        <v>34</v>
      </c>
      <c r="J895" s="11">
        <v>34</v>
      </c>
      <c r="K895" s="11">
        <v>55</v>
      </c>
      <c r="L895" s="11"/>
      <c r="M895" s="11">
        <f t="shared" si="26"/>
        <v>170</v>
      </c>
      <c r="N895" s="11">
        <f>IF(Table1[[#This Row],[Transaction Type]]="Sale",ABS(E895)*K895,0)</f>
        <v>275</v>
      </c>
      <c r="O895" s="29">
        <f>IF(Table1[[#This Row],[Transaction Type]]="Purchase",E895*J895,0)</f>
        <v>0</v>
      </c>
    </row>
    <row r="896" spans="1:15" x14ac:dyDescent="0.35">
      <c r="A896" s="27" t="s">
        <v>1274</v>
      </c>
      <c r="B896" s="12">
        <v>45925</v>
      </c>
      <c r="C896" s="11" t="s">
        <v>81</v>
      </c>
      <c r="D896" s="11" t="s">
        <v>66</v>
      </c>
      <c r="E896" s="11">
        <v>1</v>
      </c>
      <c r="F896" s="11">
        <f t="shared" si="27"/>
        <v>1</v>
      </c>
      <c r="G896" s="11" t="s">
        <v>14</v>
      </c>
      <c r="H896" s="11" t="s">
        <v>30</v>
      </c>
      <c r="I896" s="11" t="s">
        <v>16</v>
      </c>
      <c r="J896" s="11">
        <v>8</v>
      </c>
      <c r="K896" s="11">
        <v>15</v>
      </c>
      <c r="L896" s="11"/>
      <c r="M896" s="11">
        <f t="shared" si="26"/>
        <v>8</v>
      </c>
      <c r="N896" s="11">
        <f>IF(Table1[[#This Row],[Transaction Type]]="Sale",ABS(E896)*K896,0)</f>
        <v>0</v>
      </c>
      <c r="O896" s="29">
        <f>IF(Table1[[#This Row],[Transaction Type]]="Purchase",E896*J896,0)</f>
        <v>0</v>
      </c>
    </row>
    <row r="897" spans="1:15" x14ac:dyDescent="0.35">
      <c r="A897" s="27" t="s">
        <v>1275</v>
      </c>
      <c r="B897" s="12">
        <v>45926</v>
      </c>
      <c r="C897" s="11" t="s">
        <v>29</v>
      </c>
      <c r="D897" s="11" t="s">
        <v>13</v>
      </c>
      <c r="E897" s="11">
        <v>-2</v>
      </c>
      <c r="F897" s="11">
        <f t="shared" si="27"/>
        <v>-2</v>
      </c>
      <c r="G897" s="11" t="s">
        <v>14</v>
      </c>
      <c r="H897" s="11" t="s">
        <v>30</v>
      </c>
      <c r="I897" s="11" t="s">
        <v>16</v>
      </c>
      <c r="J897" s="11">
        <v>8.8000000000000007</v>
      </c>
      <c r="K897" s="11">
        <v>17</v>
      </c>
      <c r="L897" s="11"/>
      <c r="M897" s="11">
        <f t="shared" si="26"/>
        <v>17.600000000000001</v>
      </c>
      <c r="N897" s="11">
        <f>IF(Table1[[#This Row],[Transaction Type]]="Sale",ABS(E897)*K897,0)</f>
        <v>34</v>
      </c>
      <c r="O897" s="29">
        <f>IF(Table1[[#This Row],[Transaction Type]]="Purchase",E897*J897,0)</f>
        <v>0</v>
      </c>
    </row>
    <row r="898" spans="1:15" x14ac:dyDescent="0.35">
      <c r="A898" s="27" t="s">
        <v>1276</v>
      </c>
      <c r="B898" s="12">
        <v>45926</v>
      </c>
      <c r="C898" s="11" t="s">
        <v>170</v>
      </c>
      <c r="D898" s="11" t="s">
        <v>40</v>
      </c>
      <c r="E898" s="11">
        <v>104</v>
      </c>
      <c r="F898" s="11">
        <f t="shared" si="27"/>
        <v>104</v>
      </c>
      <c r="G898" s="11" t="s">
        <v>14</v>
      </c>
      <c r="H898" s="11" t="s">
        <v>171</v>
      </c>
      <c r="I898" s="11" t="s">
        <v>34</v>
      </c>
      <c r="J898" s="11">
        <v>25</v>
      </c>
      <c r="K898" s="11">
        <v>45</v>
      </c>
      <c r="L898" s="11" t="s">
        <v>1277</v>
      </c>
      <c r="M898" s="11">
        <f t="shared" ref="M898:M961" si="28">ABS(E898)*J898</f>
        <v>2600</v>
      </c>
      <c r="N898" s="11">
        <f>IF(Table1[[#This Row],[Transaction Type]]="Sale",ABS(E898)*K898,0)</f>
        <v>0</v>
      </c>
      <c r="O898" s="29">
        <f>IF(Table1[[#This Row],[Transaction Type]]="Purchase",E898*J898,0)</f>
        <v>2600</v>
      </c>
    </row>
    <row r="899" spans="1:15" x14ac:dyDescent="0.35">
      <c r="A899" s="27" t="s">
        <v>1278</v>
      </c>
      <c r="B899" s="12">
        <v>45927</v>
      </c>
      <c r="C899" s="11" t="s">
        <v>36</v>
      </c>
      <c r="D899" s="11" t="s">
        <v>13</v>
      </c>
      <c r="E899" s="11">
        <v>-8</v>
      </c>
      <c r="F899" s="11">
        <f t="shared" ref="F899:F962" si="29">E899</f>
        <v>-8</v>
      </c>
      <c r="G899" s="11" t="s">
        <v>19</v>
      </c>
      <c r="H899" s="11" t="s">
        <v>37</v>
      </c>
      <c r="I899" s="11" t="s">
        <v>16</v>
      </c>
      <c r="J899" s="11">
        <v>7.2</v>
      </c>
      <c r="K899" s="11">
        <v>12.5</v>
      </c>
      <c r="L899" s="11"/>
      <c r="M899" s="11">
        <f t="shared" si="28"/>
        <v>57.6</v>
      </c>
      <c r="N899" s="11">
        <f>IF(Table1[[#This Row],[Transaction Type]]="Sale",ABS(E899)*K899,0)</f>
        <v>100</v>
      </c>
      <c r="O899" s="29">
        <f>IF(Table1[[#This Row],[Transaction Type]]="Purchase",E899*J899,0)</f>
        <v>0</v>
      </c>
    </row>
    <row r="900" spans="1:15" x14ac:dyDescent="0.35">
      <c r="A900" s="27" t="s">
        <v>1279</v>
      </c>
      <c r="B900" s="12">
        <v>45927</v>
      </c>
      <c r="C900" s="11" t="s">
        <v>350</v>
      </c>
      <c r="D900" s="11" t="s">
        <v>40</v>
      </c>
      <c r="E900" s="11">
        <v>23</v>
      </c>
      <c r="F900" s="11">
        <f t="shared" si="29"/>
        <v>23</v>
      </c>
      <c r="G900" s="11" t="s">
        <v>14</v>
      </c>
      <c r="H900" s="11" t="s">
        <v>74</v>
      </c>
      <c r="I900" s="11" t="s">
        <v>75</v>
      </c>
      <c r="J900" s="11">
        <v>145</v>
      </c>
      <c r="K900" s="11">
        <v>210</v>
      </c>
      <c r="L900" s="11" t="s">
        <v>1280</v>
      </c>
      <c r="M900" s="11">
        <f t="shared" si="28"/>
        <v>3335</v>
      </c>
      <c r="N900" s="11">
        <f>IF(Table1[[#This Row],[Transaction Type]]="Sale",ABS(E900)*K900,0)</f>
        <v>0</v>
      </c>
      <c r="O900" s="29">
        <f>IF(Table1[[#This Row],[Transaction Type]]="Purchase",E900*J900,0)</f>
        <v>3335</v>
      </c>
    </row>
    <row r="901" spans="1:15" x14ac:dyDescent="0.35">
      <c r="A901" s="27" t="s">
        <v>1281</v>
      </c>
      <c r="B901" s="12">
        <v>45927</v>
      </c>
      <c r="C901" s="11" t="s">
        <v>60</v>
      </c>
      <c r="D901" s="11" t="s">
        <v>13</v>
      </c>
      <c r="E901" s="11">
        <v>-3</v>
      </c>
      <c r="F901" s="11">
        <f t="shared" si="29"/>
        <v>-3</v>
      </c>
      <c r="G901" s="11" t="s">
        <v>24</v>
      </c>
      <c r="H901" s="11" t="s">
        <v>61</v>
      </c>
      <c r="I901" s="11" t="s">
        <v>62</v>
      </c>
      <c r="J901" s="11">
        <v>3.4</v>
      </c>
      <c r="K901" s="11">
        <v>8</v>
      </c>
      <c r="L901" s="11"/>
      <c r="M901" s="11">
        <f t="shared" si="28"/>
        <v>10.199999999999999</v>
      </c>
      <c r="N901" s="11">
        <f>IF(Table1[[#This Row],[Transaction Type]]="Sale",ABS(E901)*K901,0)</f>
        <v>24</v>
      </c>
      <c r="O901" s="29">
        <f>IF(Table1[[#This Row],[Transaction Type]]="Purchase",E901*J901,0)</f>
        <v>0</v>
      </c>
    </row>
    <row r="902" spans="1:15" x14ac:dyDescent="0.35">
      <c r="A902" s="27" t="s">
        <v>1282</v>
      </c>
      <c r="B902" s="12">
        <v>45927</v>
      </c>
      <c r="C902" s="11" t="s">
        <v>55</v>
      </c>
      <c r="D902" s="11" t="s">
        <v>13</v>
      </c>
      <c r="E902" s="11">
        <v>-15</v>
      </c>
      <c r="F902" s="11">
        <f t="shared" si="29"/>
        <v>-15</v>
      </c>
      <c r="G902" s="11" t="s">
        <v>24</v>
      </c>
      <c r="H902" s="11" t="s">
        <v>56</v>
      </c>
      <c r="I902" s="11" t="s">
        <v>16</v>
      </c>
      <c r="J902" s="11">
        <v>4.2</v>
      </c>
      <c r="K902" s="11">
        <v>10</v>
      </c>
      <c r="L902" s="11"/>
      <c r="M902" s="11">
        <f t="shared" si="28"/>
        <v>63</v>
      </c>
      <c r="N902" s="11">
        <f>IF(Table1[[#This Row],[Transaction Type]]="Sale",ABS(E902)*K902,0)</f>
        <v>150</v>
      </c>
      <c r="O902" s="29">
        <f>IF(Table1[[#This Row],[Transaction Type]]="Purchase",E902*J902,0)</f>
        <v>0</v>
      </c>
    </row>
    <row r="903" spans="1:15" x14ac:dyDescent="0.35">
      <c r="A903" s="27" t="s">
        <v>1283</v>
      </c>
      <c r="B903" s="12">
        <v>45928</v>
      </c>
      <c r="C903" s="11" t="s">
        <v>136</v>
      </c>
      <c r="D903" s="11" t="s">
        <v>13</v>
      </c>
      <c r="E903" s="11">
        <v>-12</v>
      </c>
      <c r="F903" s="11">
        <f t="shared" si="29"/>
        <v>-12</v>
      </c>
      <c r="G903" s="11" t="s">
        <v>24</v>
      </c>
      <c r="H903" s="11" t="s">
        <v>33</v>
      </c>
      <c r="I903" s="11" t="s">
        <v>34</v>
      </c>
      <c r="J903" s="11">
        <v>34</v>
      </c>
      <c r="K903" s="11">
        <v>55</v>
      </c>
      <c r="L903" s="11"/>
      <c r="M903" s="11">
        <f t="shared" si="28"/>
        <v>408</v>
      </c>
      <c r="N903" s="11">
        <f>IF(Table1[[#This Row],[Transaction Type]]="Sale",ABS(E903)*K903,0)</f>
        <v>660</v>
      </c>
      <c r="O903" s="29">
        <f>IF(Table1[[#This Row],[Transaction Type]]="Purchase",E903*J903,0)</f>
        <v>0</v>
      </c>
    </row>
    <row r="904" spans="1:15" x14ac:dyDescent="0.35">
      <c r="A904" s="27" t="s">
        <v>1284</v>
      </c>
      <c r="B904" s="12">
        <v>45928</v>
      </c>
      <c r="C904" s="11" t="s">
        <v>55</v>
      </c>
      <c r="D904" s="11" t="s">
        <v>13</v>
      </c>
      <c r="E904" s="11">
        <v>-4</v>
      </c>
      <c r="F904" s="11">
        <f t="shared" si="29"/>
        <v>-4</v>
      </c>
      <c r="G904" s="11" t="s">
        <v>14</v>
      </c>
      <c r="H904" s="11" t="s">
        <v>56</v>
      </c>
      <c r="I904" s="11" t="s">
        <v>16</v>
      </c>
      <c r="J904" s="11">
        <v>4.2</v>
      </c>
      <c r="K904" s="11">
        <v>10</v>
      </c>
      <c r="L904" s="11"/>
      <c r="M904" s="11">
        <f t="shared" si="28"/>
        <v>16.8</v>
      </c>
      <c r="N904" s="11">
        <f>IF(Table1[[#This Row],[Transaction Type]]="Sale",ABS(E904)*K904,0)</f>
        <v>40</v>
      </c>
      <c r="O904" s="29">
        <f>IF(Table1[[#This Row],[Transaction Type]]="Purchase",E904*J904,0)</f>
        <v>0</v>
      </c>
    </row>
    <row r="905" spans="1:15" x14ac:dyDescent="0.35">
      <c r="A905" s="27" t="s">
        <v>1285</v>
      </c>
      <c r="B905" s="12">
        <v>45928</v>
      </c>
      <c r="C905" s="11" t="s">
        <v>350</v>
      </c>
      <c r="D905" s="11" t="s">
        <v>40</v>
      </c>
      <c r="E905" s="11">
        <v>39</v>
      </c>
      <c r="F905" s="11">
        <f t="shared" si="29"/>
        <v>39</v>
      </c>
      <c r="G905" s="11" t="s">
        <v>14</v>
      </c>
      <c r="H905" s="11" t="s">
        <v>74</v>
      </c>
      <c r="I905" s="11" t="s">
        <v>75</v>
      </c>
      <c r="J905" s="11">
        <v>145</v>
      </c>
      <c r="K905" s="11">
        <v>210</v>
      </c>
      <c r="L905" s="11" t="s">
        <v>1286</v>
      </c>
      <c r="M905" s="11">
        <f t="shared" si="28"/>
        <v>5655</v>
      </c>
      <c r="N905" s="11">
        <f>IF(Table1[[#This Row],[Transaction Type]]="Sale",ABS(E905)*K905,0)</f>
        <v>0</v>
      </c>
      <c r="O905" s="29">
        <f>IF(Table1[[#This Row],[Transaction Type]]="Purchase",E905*J905,0)</f>
        <v>5655</v>
      </c>
    </row>
    <row r="906" spans="1:15" x14ac:dyDescent="0.35">
      <c r="A906" s="27" t="s">
        <v>1287</v>
      </c>
      <c r="B906" s="12">
        <v>45928</v>
      </c>
      <c r="C906" s="11" t="s">
        <v>98</v>
      </c>
      <c r="D906" s="11" t="s">
        <v>13</v>
      </c>
      <c r="E906" s="11">
        <v>-2</v>
      </c>
      <c r="F906" s="11">
        <f t="shared" si="29"/>
        <v>-2</v>
      </c>
      <c r="G906" s="11" t="s">
        <v>14</v>
      </c>
      <c r="H906" s="11" t="s">
        <v>30</v>
      </c>
      <c r="I906" s="11" t="s">
        <v>16</v>
      </c>
      <c r="J906" s="11">
        <v>16</v>
      </c>
      <c r="K906" s="11">
        <v>29</v>
      </c>
      <c r="L906" s="11"/>
      <c r="M906" s="11">
        <f t="shared" si="28"/>
        <v>32</v>
      </c>
      <c r="N906" s="11">
        <f>IF(Table1[[#This Row],[Transaction Type]]="Sale",ABS(E906)*K906,0)</f>
        <v>58</v>
      </c>
      <c r="O906" s="29">
        <f>IF(Table1[[#This Row],[Transaction Type]]="Purchase",E906*J906,0)</f>
        <v>0</v>
      </c>
    </row>
    <row r="907" spans="1:15" x14ac:dyDescent="0.35">
      <c r="A907" s="27" t="s">
        <v>1288</v>
      </c>
      <c r="B907" s="12">
        <v>45928</v>
      </c>
      <c r="C907" s="11" t="s">
        <v>55</v>
      </c>
      <c r="D907" s="11" t="s">
        <v>13</v>
      </c>
      <c r="E907" s="11">
        <v>-9</v>
      </c>
      <c r="F907" s="11">
        <f t="shared" si="29"/>
        <v>-9</v>
      </c>
      <c r="G907" s="11" t="s">
        <v>19</v>
      </c>
      <c r="H907" s="11" t="s">
        <v>56</v>
      </c>
      <c r="I907" s="11" t="s">
        <v>16</v>
      </c>
      <c r="J907" s="11">
        <v>4.2</v>
      </c>
      <c r="K907" s="11">
        <v>10</v>
      </c>
      <c r="L907" s="11"/>
      <c r="M907" s="11">
        <f t="shared" si="28"/>
        <v>37.800000000000004</v>
      </c>
      <c r="N907" s="11">
        <f>IF(Table1[[#This Row],[Transaction Type]]="Sale",ABS(E907)*K907,0)</f>
        <v>90</v>
      </c>
      <c r="O907" s="29">
        <f>IF(Table1[[#This Row],[Transaction Type]]="Purchase",E907*J907,0)</f>
        <v>0</v>
      </c>
    </row>
    <row r="908" spans="1:15" x14ac:dyDescent="0.35">
      <c r="A908" s="27" t="s">
        <v>1289</v>
      </c>
      <c r="B908" s="12">
        <v>45928</v>
      </c>
      <c r="C908" s="11" t="s">
        <v>32</v>
      </c>
      <c r="D908" s="11" t="s">
        <v>13</v>
      </c>
      <c r="E908" s="11">
        <v>-10</v>
      </c>
      <c r="F908" s="11">
        <f t="shared" si="29"/>
        <v>-10</v>
      </c>
      <c r="G908" s="11" t="s">
        <v>24</v>
      </c>
      <c r="H908" s="11" t="s">
        <v>33</v>
      </c>
      <c r="I908" s="11" t="s">
        <v>34</v>
      </c>
      <c r="J908" s="11">
        <v>20</v>
      </c>
      <c r="K908" s="11">
        <v>35</v>
      </c>
      <c r="L908" s="11"/>
      <c r="M908" s="11">
        <f t="shared" si="28"/>
        <v>200</v>
      </c>
      <c r="N908" s="11">
        <f>IF(Table1[[#This Row],[Transaction Type]]="Sale",ABS(E908)*K908,0)</f>
        <v>350</v>
      </c>
      <c r="O908" s="29">
        <f>IF(Table1[[#This Row],[Transaction Type]]="Purchase",E908*J908,0)</f>
        <v>0</v>
      </c>
    </row>
    <row r="909" spans="1:15" x14ac:dyDescent="0.35">
      <c r="A909" s="27" t="s">
        <v>1290</v>
      </c>
      <c r="B909" s="12">
        <v>45928</v>
      </c>
      <c r="C909" s="11" t="s">
        <v>55</v>
      </c>
      <c r="D909" s="11" t="s">
        <v>40</v>
      </c>
      <c r="E909" s="11">
        <v>94</v>
      </c>
      <c r="F909" s="11">
        <f t="shared" si="29"/>
        <v>94</v>
      </c>
      <c r="G909" s="11" t="s">
        <v>19</v>
      </c>
      <c r="H909" s="11" t="s">
        <v>56</v>
      </c>
      <c r="I909" s="11" t="s">
        <v>16</v>
      </c>
      <c r="J909" s="11">
        <v>4.2</v>
      </c>
      <c r="K909" s="11">
        <v>10</v>
      </c>
      <c r="L909" s="11" t="s">
        <v>1291</v>
      </c>
      <c r="M909" s="11">
        <f t="shared" si="28"/>
        <v>394.8</v>
      </c>
      <c r="N909" s="11">
        <f>IF(Table1[[#This Row],[Transaction Type]]="Sale",ABS(E909)*K909,0)</f>
        <v>0</v>
      </c>
      <c r="O909" s="29">
        <f>IF(Table1[[#This Row],[Transaction Type]]="Purchase",E909*J909,0)</f>
        <v>394.8</v>
      </c>
    </row>
    <row r="910" spans="1:15" x14ac:dyDescent="0.35">
      <c r="A910" s="27" t="s">
        <v>1292</v>
      </c>
      <c r="B910" s="12">
        <v>45929</v>
      </c>
      <c r="C910" s="11" t="s">
        <v>98</v>
      </c>
      <c r="D910" s="11" t="s">
        <v>13</v>
      </c>
      <c r="E910" s="11">
        <v>-11</v>
      </c>
      <c r="F910" s="11">
        <f t="shared" si="29"/>
        <v>-11</v>
      </c>
      <c r="G910" s="11" t="s">
        <v>24</v>
      </c>
      <c r="H910" s="11" t="s">
        <v>30</v>
      </c>
      <c r="I910" s="11" t="s">
        <v>16</v>
      </c>
      <c r="J910" s="11">
        <v>16</v>
      </c>
      <c r="K910" s="11">
        <v>29</v>
      </c>
      <c r="L910" s="11"/>
      <c r="M910" s="11">
        <f t="shared" si="28"/>
        <v>176</v>
      </c>
      <c r="N910" s="11">
        <f>IF(Table1[[#This Row],[Transaction Type]]="Sale",ABS(E910)*K910,0)</f>
        <v>319</v>
      </c>
      <c r="O910" s="29">
        <f>IF(Table1[[#This Row],[Transaction Type]]="Purchase",E910*J910,0)</f>
        <v>0</v>
      </c>
    </row>
    <row r="911" spans="1:15" x14ac:dyDescent="0.35">
      <c r="A911" s="27" t="s">
        <v>1293</v>
      </c>
      <c r="B911" s="12">
        <v>45930</v>
      </c>
      <c r="C911" s="11" t="s">
        <v>170</v>
      </c>
      <c r="D911" s="11" t="s">
        <v>66</v>
      </c>
      <c r="E911" s="11">
        <v>4</v>
      </c>
      <c r="F911" s="11">
        <f t="shared" si="29"/>
        <v>4</v>
      </c>
      <c r="G911" s="11" t="s">
        <v>19</v>
      </c>
      <c r="H911" s="11" t="s">
        <v>171</v>
      </c>
      <c r="I911" s="11" t="s">
        <v>34</v>
      </c>
      <c r="J911" s="11">
        <v>25</v>
      </c>
      <c r="K911" s="11">
        <v>45</v>
      </c>
      <c r="L911" s="11"/>
      <c r="M911" s="11">
        <f t="shared" si="28"/>
        <v>100</v>
      </c>
      <c r="N911" s="11">
        <f>IF(Table1[[#This Row],[Transaction Type]]="Sale",ABS(E911)*K911,0)</f>
        <v>0</v>
      </c>
      <c r="O911" s="29">
        <f>IF(Table1[[#This Row],[Transaction Type]]="Purchase",E911*J911,0)</f>
        <v>0</v>
      </c>
    </row>
    <row r="912" spans="1:15" x14ac:dyDescent="0.35">
      <c r="A912" s="27" t="s">
        <v>1294</v>
      </c>
      <c r="B912" s="12">
        <v>45930</v>
      </c>
      <c r="C912" s="11" t="s">
        <v>48</v>
      </c>
      <c r="D912" s="11" t="s">
        <v>40</v>
      </c>
      <c r="E912" s="11">
        <v>87</v>
      </c>
      <c r="F912" s="11">
        <f t="shared" si="29"/>
        <v>87</v>
      </c>
      <c r="G912" s="11" t="s">
        <v>14</v>
      </c>
      <c r="H912" s="11" t="s">
        <v>49</v>
      </c>
      <c r="I912" s="11" t="s">
        <v>21</v>
      </c>
      <c r="J912" s="11">
        <v>8.5</v>
      </c>
      <c r="K912" s="11">
        <v>18</v>
      </c>
      <c r="L912" s="11" t="s">
        <v>1295</v>
      </c>
      <c r="M912" s="11">
        <f t="shared" si="28"/>
        <v>739.5</v>
      </c>
      <c r="N912" s="11">
        <f>IF(Table1[[#This Row],[Transaction Type]]="Sale",ABS(E912)*K912,0)</f>
        <v>0</v>
      </c>
      <c r="O912" s="29">
        <f>IF(Table1[[#This Row],[Transaction Type]]="Purchase",E912*J912,0)</f>
        <v>739.5</v>
      </c>
    </row>
    <row r="913" spans="1:15" x14ac:dyDescent="0.35">
      <c r="A913" s="27" t="s">
        <v>1296</v>
      </c>
      <c r="B913" s="12">
        <v>45930</v>
      </c>
      <c r="C913" s="11" t="s">
        <v>60</v>
      </c>
      <c r="D913" s="11" t="s">
        <v>40</v>
      </c>
      <c r="E913" s="11">
        <v>112</v>
      </c>
      <c r="F913" s="11">
        <f t="shared" si="29"/>
        <v>112</v>
      </c>
      <c r="G913" s="11" t="s">
        <v>14</v>
      </c>
      <c r="H913" s="11" t="s">
        <v>61</v>
      </c>
      <c r="I913" s="11" t="s">
        <v>62</v>
      </c>
      <c r="J913" s="11">
        <v>3.4</v>
      </c>
      <c r="K913" s="11">
        <v>8</v>
      </c>
      <c r="L913" s="11" t="s">
        <v>1297</v>
      </c>
      <c r="M913" s="11">
        <f t="shared" si="28"/>
        <v>380.8</v>
      </c>
      <c r="N913" s="11">
        <f>IF(Table1[[#This Row],[Transaction Type]]="Sale",ABS(E913)*K913,0)</f>
        <v>0</v>
      </c>
      <c r="O913" s="29">
        <f>IF(Table1[[#This Row],[Transaction Type]]="Purchase",E913*J913,0)</f>
        <v>380.8</v>
      </c>
    </row>
    <row r="914" spans="1:15" x14ac:dyDescent="0.35">
      <c r="A914" s="27" t="s">
        <v>1298</v>
      </c>
      <c r="B914" s="12">
        <v>45930</v>
      </c>
      <c r="C914" s="11" t="s">
        <v>170</v>
      </c>
      <c r="D914" s="11" t="s">
        <v>40</v>
      </c>
      <c r="E914" s="11">
        <v>67</v>
      </c>
      <c r="F914" s="11">
        <f t="shared" si="29"/>
        <v>67</v>
      </c>
      <c r="G914" s="11" t="s">
        <v>14</v>
      </c>
      <c r="H914" s="11" t="s">
        <v>171</v>
      </c>
      <c r="I914" s="11" t="s">
        <v>34</v>
      </c>
      <c r="J914" s="11">
        <v>25</v>
      </c>
      <c r="K914" s="11">
        <v>45</v>
      </c>
      <c r="L914" s="11" t="s">
        <v>1299</v>
      </c>
      <c r="M914" s="11">
        <f t="shared" si="28"/>
        <v>1675</v>
      </c>
      <c r="N914" s="11">
        <f>IF(Table1[[#This Row],[Transaction Type]]="Sale",ABS(E914)*K914,0)</f>
        <v>0</v>
      </c>
      <c r="O914" s="29">
        <f>IF(Table1[[#This Row],[Transaction Type]]="Purchase",E914*J914,0)</f>
        <v>1675</v>
      </c>
    </row>
    <row r="915" spans="1:15" x14ac:dyDescent="0.35">
      <c r="A915" s="27" t="s">
        <v>1300</v>
      </c>
      <c r="B915" s="12">
        <v>45930</v>
      </c>
      <c r="C915" s="11" t="s">
        <v>98</v>
      </c>
      <c r="D915" s="11" t="s">
        <v>13</v>
      </c>
      <c r="E915" s="11">
        <v>-8</v>
      </c>
      <c r="F915" s="11">
        <f t="shared" si="29"/>
        <v>-8</v>
      </c>
      <c r="G915" s="11" t="s">
        <v>24</v>
      </c>
      <c r="H915" s="11" t="s">
        <v>30</v>
      </c>
      <c r="I915" s="11" t="s">
        <v>16</v>
      </c>
      <c r="J915" s="11">
        <v>16</v>
      </c>
      <c r="K915" s="11">
        <v>29</v>
      </c>
      <c r="L915" s="11"/>
      <c r="M915" s="11">
        <f t="shared" si="28"/>
        <v>128</v>
      </c>
      <c r="N915" s="11">
        <f>IF(Table1[[#This Row],[Transaction Type]]="Sale",ABS(E915)*K915,0)</f>
        <v>232</v>
      </c>
      <c r="O915" s="29">
        <f>IF(Table1[[#This Row],[Transaction Type]]="Purchase",E915*J915,0)</f>
        <v>0</v>
      </c>
    </row>
    <row r="916" spans="1:15" x14ac:dyDescent="0.35">
      <c r="A916" s="27" t="s">
        <v>1301</v>
      </c>
      <c r="B916" s="12">
        <v>45930</v>
      </c>
      <c r="C916" s="11" t="s">
        <v>141</v>
      </c>
      <c r="D916" s="11" t="s">
        <v>13</v>
      </c>
      <c r="E916" s="11">
        <v>-13</v>
      </c>
      <c r="F916" s="11">
        <f t="shared" si="29"/>
        <v>-13</v>
      </c>
      <c r="G916" s="11" t="s">
        <v>14</v>
      </c>
      <c r="H916" s="11" t="s">
        <v>25</v>
      </c>
      <c r="I916" s="11" t="s">
        <v>26</v>
      </c>
      <c r="J916" s="11">
        <v>4</v>
      </c>
      <c r="K916" s="11">
        <v>9</v>
      </c>
      <c r="L916" s="11"/>
      <c r="M916" s="11">
        <f t="shared" si="28"/>
        <v>52</v>
      </c>
      <c r="N916" s="11">
        <f>IF(Table1[[#This Row],[Transaction Type]]="Sale",ABS(E916)*K916,0)</f>
        <v>117</v>
      </c>
      <c r="O916" s="29">
        <f>IF(Table1[[#This Row],[Transaction Type]]="Purchase",E916*J916,0)</f>
        <v>0</v>
      </c>
    </row>
    <row r="917" spans="1:15" x14ac:dyDescent="0.35">
      <c r="A917" s="27" t="s">
        <v>1302</v>
      </c>
      <c r="B917" s="12">
        <v>45931</v>
      </c>
      <c r="C917" s="11" t="s">
        <v>23</v>
      </c>
      <c r="D917" s="11" t="s">
        <v>13</v>
      </c>
      <c r="E917" s="11">
        <v>-13</v>
      </c>
      <c r="F917" s="11">
        <f t="shared" si="29"/>
        <v>-13</v>
      </c>
      <c r="G917" s="11" t="s">
        <v>19</v>
      </c>
      <c r="H917" s="11" t="s">
        <v>25</v>
      </c>
      <c r="I917" s="11" t="s">
        <v>26</v>
      </c>
      <c r="J917" s="11">
        <v>3</v>
      </c>
      <c r="K917" s="11">
        <v>7</v>
      </c>
      <c r="L917" s="11"/>
      <c r="M917" s="11">
        <f t="shared" si="28"/>
        <v>39</v>
      </c>
      <c r="N917" s="11">
        <f>IF(Table1[[#This Row],[Transaction Type]]="Sale",ABS(E917)*K917,0)</f>
        <v>91</v>
      </c>
      <c r="O917" s="29">
        <f>IF(Table1[[#This Row],[Transaction Type]]="Purchase",E917*J917,0)</f>
        <v>0</v>
      </c>
    </row>
    <row r="918" spans="1:15" x14ac:dyDescent="0.35">
      <c r="A918" s="27" t="s">
        <v>1303</v>
      </c>
      <c r="B918" s="12">
        <v>45931</v>
      </c>
      <c r="C918" s="11" t="s">
        <v>73</v>
      </c>
      <c r="D918" s="11" t="s">
        <v>13</v>
      </c>
      <c r="E918" s="11">
        <v>-1</v>
      </c>
      <c r="F918" s="11">
        <f t="shared" si="29"/>
        <v>-1</v>
      </c>
      <c r="G918" s="11" t="s">
        <v>14</v>
      </c>
      <c r="H918" s="11" t="s">
        <v>74</v>
      </c>
      <c r="I918" s="11" t="s">
        <v>75</v>
      </c>
      <c r="J918" s="11">
        <v>30</v>
      </c>
      <c r="K918" s="11">
        <v>48</v>
      </c>
      <c r="L918" s="11"/>
      <c r="M918" s="11">
        <f t="shared" si="28"/>
        <v>30</v>
      </c>
      <c r="N918" s="11">
        <f>IF(Table1[[#This Row],[Transaction Type]]="Sale",ABS(E918)*K918,0)</f>
        <v>48</v>
      </c>
      <c r="O918" s="29">
        <f>IF(Table1[[#This Row],[Transaction Type]]="Purchase",E918*J918,0)</f>
        <v>0</v>
      </c>
    </row>
    <row r="919" spans="1:15" x14ac:dyDescent="0.35">
      <c r="A919" s="27" t="s">
        <v>1304</v>
      </c>
      <c r="B919" s="12">
        <v>45931</v>
      </c>
      <c r="C919" s="11" t="s">
        <v>227</v>
      </c>
      <c r="D919" s="11" t="s">
        <v>66</v>
      </c>
      <c r="E919" s="11">
        <v>1</v>
      </c>
      <c r="F919" s="11">
        <f t="shared" si="29"/>
        <v>1</v>
      </c>
      <c r="G919" s="11" t="s">
        <v>14</v>
      </c>
      <c r="H919" s="11" t="s">
        <v>228</v>
      </c>
      <c r="I919" s="11" t="s">
        <v>16</v>
      </c>
      <c r="J919" s="11">
        <v>78</v>
      </c>
      <c r="K919" s="11">
        <v>125</v>
      </c>
      <c r="L919" s="11"/>
      <c r="M919" s="11">
        <f t="shared" si="28"/>
        <v>78</v>
      </c>
      <c r="N919" s="11">
        <f>IF(Table1[[#This Row],[Transaction Type]]="Sale",ABS(E919)*K919,0)</f>
        <v>0</v>
      </c>
      <c r="O919" s="29">
        <f>IF(Table1[[#This Row],[Transaction Type]]="Purchase",E919*J919,0)</f>
        <v>0</v>
      </c>
    </row>
    <row r="920" spans="1:15" x14ac:dyDescent="0.35">
      <c r="A920" s="27" t="s">
        <v>1305</v>
      </c>
      <c r="B920" s="12">
        <v>45932</v>
      </c>
      <c r="C920" s="11" t="s">
        <v>141</v>
      </c>
      <c r="D920" s="11" t="s">
        <v>13</v>
      </c>
      <c r="E920" s="11">
        <v>-9</v>
      </c>
      <c r="F920" s="11">
        <f t="shared" si="29"/>
        <v>-9</v>
      </c>
      <c r="G920" s="11" t="s">
        <v>24</v>
      </c>
      <c r="H920" s="11" t="s">
        <v>25</v>
      </c>
      <c r="I920" s="11" t="s">
        <v>26</v>
      </c>
      <c r="J920" s="11">
        <v>4</v>
      </c>
      <c r="K920" s="11">
        <v>9</v>
      </c>
      <c r="L920" s="11"/>
      <c r="M920" s="11">
        <f t="shared" si="28"/>
        <v>36</v>
      </c>
      <c r="N920" s="11">
        <f>IF(Table1[[#This Row],[Transaction Type]]="Sale",ABS(E920)*K920,0)</f>
        <v>81</v>
      </c>
      <c r="O920" s="29">
        <f>IF(Table1[[#This Row],[Transaction Type]]="Purchase",E920*J920,0)</f>
        <v>0</v>
      </c>
    </row>
    <row r="921" spans="1:15" x14ac:dyDescent="0.35">
      <c r="A921" s="27" t="s">
        <v>1306</v>
      </c>
      <c r="B921" s="12">
        <v>45932</v>
      </c>
      <c r="C921" s="11" t="s">
        <v>98</v>
      </c>
      <c r="D921" s="11" t="s">
        <v>40</v>
      </c>
      <c r="E921" s="11">
        <v>114</v>
      </c>
      <c r="F921" s="11">
        <f t="shared" si="29"/>
        <v>114</v>
      </c>
      <c r="G921" s="11" t="s">
        <v>14</v>
      </c>
      <c r="H921" s="11" t="s">
        <v>30</v>
      </c>
      <c r="I921" s="11" t="s">
        <v>16</v>
      </c>
      <c r="J921" s="11">
        <v>16</v>
      </c>
      <c r="K921" s="11">
        <v>29</v>
      </c>
      <c r="L921" s="11" t="s">
        <v>1307</v>
      </c>
      <c r="M921" s="11">
        <f t="shared" si="28"/>
        <v>1824</v>
      </c>
      <c r="N921" s="11">
        <f>IF(Table1[[#This Row],[Transaction Type]]="Sale",ABS(E921)*K921,0)</f>
        <v>0</v>
      </c>
      <c r="O921" s="29">
        <f>IF(Table1[[#This Row],[Transaction Type]]="Purchase",E921*J921,0)</f>
        <v>1824</v>
      </c>
    </row>
    <row r="922" spans="1:15" x14ac:dyDescent="0.35">
      <c r="A922" s="27" t="s">
        <v>1308</v>
      </c>
      <c r="B922" s="12">
        <v>45932</v>
      </c>
      <c r="C922" s="11" t="s">
        <v>194</v>
      </c>
      <c r="D922" s="11" t="s">
        <v>13</v>
      </c>
      <c r="E922" s="11">
        <v>-5</v>
      </c>
      <c r="F922" s="11">
        <f t="shared" si="29"/>
        <v>-5</v>
      </c>
      <c r="G922" s="11" t="s">
        <v>19</v>
      </c>
      <c r="H922" s="11" t="s">
        <v>195</v>
      </c>
      <c r="I922" s="11" t="s">
        <v>21</v>
      </c>
      <c r="J922" s="11">
        <v>220</v>
      </c>
      <c r="K922" s="11">
        <v>320</v>
      </c>
      <c r="L922" s="11"/>
      <c r="M922" s="11">
        <f t="shared" si="28"/>
        <v>1100</v>
      </c>
      <c r="N922" s="11">
        <f>IF(Table1[[#This Row],[Transaction Type]]="Sale",ABS(E922)*K922,0)</f>
        <v>1600</v>
      </c>
      <c r="O922" s="29">
        <f>IF(Table1[[#This Row],[Transaction Type]]="Purchase",E922*J922,0)</f>
        <v>0</v>
      </c>
    </row>
    <row r="923" spans="1:15" x14ac:dyDescent="0.35">
      <c r="A923" s="27" t="s">
        <v>1309</v>
      </c>
      <c r="B923" s="12">
        <v>45933</v>
      </c>
      <c r="C923" s="11" t="s">
        <v>65</v>
      </c>
      <c r="D923" s="11" t="s">
        <v>13</v>
      </c>
      <c r="E923" s="11">
        <v>-3</v>
      </c>
      <c r="F923" s="11">
        <f t="shared" si="29"/>
        <v>-3</v>
      </c>
      <c r="G923" s="11" t="s">
        <v>19</v>
      </c>
      <c r="H923" s="11" t="s">
        <v>67</v>
      </c>
      <c r="I923" s="11" t="s">
        <v>21</v>
      </c>
      <c r="J923" s="11">
        <v>11</v>
      </c>
      <c r="K923" s="11">
        <v>22</v>
      </c>
      <c r="L923" s="11"/>
      <c r="M923" s="11">
        <f t="shared" si="28"/>
        <v>33</v>
      </c>
      <c r="N923" s="11">
        <f>IF(Table1[[#This Row],[Transaction Type]]="Sale",ABS(E923)*K923,0)</f>
        <v>66</v>
      </c>
      <c r="O923" s="29">
        <f>IF(Table1[[#This Row],[Transaction Type]]="Purchase",E923*J923,0)</f>
        <v>0</v>
      </c>
    </row>
    <row r="924" spans="1:15" x14ac:dyDescent="0.35">
      <c r="A924" s="27" t="s">
        <v>1310</v>
      </c>
      <c r="B924" s="12">
        <v>45933</v>
      </c>
      <c r="C924" s="11" t="s">
        <v>12</v>
      </c>
      <c r="D924" s="11" t="s">
        <v>13</v>
      </c>
      <c r="E924" s="11">
        <v>-15</v>
      </c>
      <c r="F924" s="11">
        <f t="shared" si="29"/>
        <v>-15</v>
      </c>
      <c r="G924" s="11" t="s">
        <v>14</v>
      </c>
      <c r="H924" s="11" t="s">
        <v>15</v>
      </c>
      <c r="I924" s="11" t="s">
        <v>16</v>
      </c>
      <c r="J924" s="11">
        <v>13.5</v>
      </c>
      <c r="K924" s="11">
        <v>24</v>
      </c>
      <c r="L924" s="11"/>
      <c r="M924" s="11">
        <f t="shared" si="28"/>
        <v>202.5</v>
      </c>
      <c r="N924" s="11">
        <f>IF(Table1[[#This Row],[Transaction Type]]="Sale",ABS(E924)*K924,0)</f>
        <v>360</v>
      </c>
      <c r="O924" s="29">
        <f>IF(Table1[[#This Row],[Transaction Type]]="Purchase",E924*J924,0)</f>
        <v>0</v>
      </c>
    </row>
    <row r="925" spans="1:15" x14ac:dyDescent="0.35">
      <c r="A925" s="27" t="s">
        <v>1311</v>
      </c>
      <c r="B925" s="12">
        <v>45933</v>
      </c>
      <c r="C925" s="11" t="s">
        <v>94</v>
      </c>
      <c r="D925" s="11" t="s">
        <v>40</v>
      </c>
      <c r="E925" s="11">
        <v>52</v>
      </c>
      <c r="F925" s="11">
        <f t="shared" si="29"/>
        <v>52</v>
      </c>
      <c r="G925" s="11" t="s">
        <v>24</v>
      </c>
      <c r="H925" s="11" t="s">
        <v>95</v>
      </c>
      <c r="I925" s="11" t="s">
        <v>16</v>
      </c>
      <c r="J925" s="11">
        <v>18.5</v>
      </c>
      <c r="K925" s="11">
        <v>31</v>
      </c>
      <c r="L925" s="11" t="s">
        <v>1312</v>
      </c>
      <c r="M925" s="11">
        <f t="shared" si="28"/>
        <v>962</v>
      </c>
      <c r="N925" s="11">
        <f>IF(Table1[[#This Row],[Transaction Type]]="Sale",ABS(E925)*K925,0)</f>
        <v>0</v>
      </c>
      <c r="O925" s="29">
        <f>IF(Table1[[#This Row],[Transaction Type]]="Purchase",E925*J925,0)</f>
        <v>962</v>
      </c>
    </row>
    <row r="926" spans="1:15" x14ac:dyDescent="0.35">
      <c r="A926" s="27" t="s">
        <v>1313</v>
      </c>
      <c r="B926" s="12">
        <v>45933</v>
      </c>
      <c r="C926" s="11" t="s">
        <v>43</v>
      </c>
      <c r="D926" s="11" t="s">
        <v>13</v>
      </c>
      <c r="E926" s="11">
        <v>-13</v>
      </c>
      <c r="F926" s="11">
        <f t="shared" si="29"/>
        <v>-13</v>
      </c>
      <c r="G926" s="11" t="s">
        <v>24</v>
      </c>
      <c r="H926" s="11" t="s">
        <v>44</v>
      </c>
      <c r="I926" s="11" t="s">
        <v>45</v>
      </c>
      <c r="J926" s="11">
        <v>5.2</v>
      </c>
      <c r="K926" s="11">
        <v>11</v>
      </c>
      <c r="L926" s="11"/>
      <c r="M926" s="11">
        <f t="shared" si="28"/>
        <v>67.600000000000009</v>
      </c>
      <c r="N926" s="11">
        <f>IF(Table1[[#This Row],[Transaction Type]]="Sale",ABS(E926)*K926,0)</f>
        <v>143</v>
      </c>
      <c r="O926" s="29">
        <f>IF(Table1[[#This Row],[Transaction Type]]="Purchase",E926*J926,0)</f>
        <v>0</v>
      </c>
    </row>
    <row r="927" spans="1:15" x14ac:dyDescent="0.35">
      <c r="A927" s="27" t="s">
        <v>1314</v>
      </c>
      <c r="B927" s="12">
        <v>45933</v>
      </c>
      <c r="C927" s="11" t="s">
        <v>87</v>
      </c>
      <c r="D927" s="11" t="s">
        <v>58</v>
      </c>
      <c r="E927" s="11">
        <v>-9</v>
      </c>
      <c r="F927" s="11">
        <f t="shared" si="29"/>
        <v>-9</v>
      </c>
      <c r="G927" s="11" t="s">
        <v>24</v>
      </c>
      <c r="H927" s="11" t="s">
        <v>88</v>
      </c>
      <c r="I927" s="11" t="s">
        <v>16</v>
      </c>
      <c r="J927" s="11">
        <v>6</v>
      </c>
      <c r="K927" s="11">
        <v>14</v>
      </c>
      <c r="L927" s="11"/>
      <c r="M927" s="11">
        <f t="shared" si="28"/>
        <v>54</v>
      </c>
      <c r="N927" s="11">
        <f>IF(Table1[[#This Row],[Transaction Type]]="Sale",ABS(E927)*K927,0)</f>
        <v>0</v>
      </c>
      <c r="O927" s="29">
        <f>IF(Table1[[#This Row],[Transaction Type]]="Purchase",E927*J927,0)</f>
        <v>0</v>
      </c>
    </row>
    <row r="928" spans="1:15" x14ac:dyDescent="0.35">
      <c r="A928" s="27" t="s">
        <v>1315</v>
      </c>
      <c r="B928" s="12">
        <v>45934</v>
      </c>
      <c r="C928" s="11" t="s">
        <v>43</v>
      </c>
      <c r="D928" s="11" t="s">
        <v>40</v>
      </c>
      <c r="E928" s="11">
        <v>57</v>
      </c>
      <c r="F928" s="11">
        <f t="shared" si="29"/>
        <v>57</v>
      </c>
      <c r="G928" s="11" t="s">
        <v>14</v>
      </c>
      <c r="H928" s="11" t="s">
        <v>44</v>
      </c>
      <c r="I928" s="11" t="s">
        <v>45</v>
      </c>
      <c r="J928" s="11">
        <v>5.2</v>
      </c>
      <c r="K928" s="11">
        <v>11</v>
      </c>
      <c r="L928" s="11" t="s">
        <v>1316</v>
      </c>
      <c r="M928" s="11">
        <f t="shared" si="28"/>
        <v>296.40000000000003</v>
      </c>
      <c r="N928" s="11">
        <f>IF(Table1[[#This Row],[Transaction Type]]="Sale",ABS(E928)*K928,0)</f>
        <v>0</v>
      </c>
      <c r="O928" s="29">
        <f>IF(Table1[[#This Row],[Transaction Type]]="Purchase",E928*J928,0)</f>
        <v>296.40000000000003</v>
      </c>
    </row>
    <row r="929" spans="1:15" x14ac:dyDescent="0.35">
      <c r="A929" s="27" t="s">
        <v>1317</v>
      </c>
      <c r="B929" s="12">
        <v>45934</v>
      </c>
      <c r="C929" s="11" t="s">
        <v>60</v>
      </c>
      <c r="D929" s="11" t="s">
        <v>40</v>
      </c>
      <c r="E929" s="11">
        <v>90</v>
      </c>
      <c r="F929" s="11">
        <f t="shared" si="29"/>
        <v>90</v>
      </c>
      <c r="G929" s="11" t="s">
        <v>14</v>
      </c>
      <c r="H929" s="11" t="s">
        <v>61</v>
      </c>
      <c r="I929" s="11" t="s">
        <v>62</v>
      </c>
      <c r="J929" s="11">
        <v>3.4</v>
      </c>
      <c r="K929" s="11">
        <v>8</v>
      </c>
      <c r="L929" s="11" t="s">
        <v>1318</v>
      </c>
      <c r="M929" s="11">
        <f t="shared" si="28"/>
        <v>306</v>
      </c>
      <c r="N929" s="11">
        <f>IF(Table1[[#This Row],[Transaction Type]]="Sale",ABS(E929)*K929,0)</f>
        <v>0</v>
      </c>
      <c r="O929" s="29">
        <f>IF(Table1[[#This Row],[Transaction Type]]="Purchase",E929*J929,0)</f>
        <v>306</v>
      </c>
    </row>
    <row r="930" spans="1:15" x14ac:dyDescent="0.35">
      <c r="A930" s="27" t="s">
        <v>1319</v>
      </c>
      <c r="B930" s="12">
        <v>45935</v>
      </c>
      <c r="C930" s="11" t="s">
        <v>194</v>
      </c>
      <c r="D930" s="11" t="s">
        <v>58</v>
      </c>
      <c r="E930" s="11">
        <v>-7</v>
      </c>
      <c r="F930" s="11">
        <f t="shared" si="29"/>
        <v>-7</v>
      </c>
      <c r="G930" s="11" t="s">
        <v>24</v>
      </c>
      <c r="H930" s="11" t="s">
        <v>195</v>
      </c>
      <c r="I930" s="11" t="s">
        <v>21</v>
      </c>
      <c r="J930" s="11">
        <v>220</v>
      </c>
      <c r="K930" s="11">
        <v>320</v>
      </c>
      <c r="L930" s="11"/>
      <c r="M930" s="11">
        <f t="shared" si="28"/>
        <v>1540</v>
      </c>
      <c r="N930" s="11">
        <f>IF(Table1[[#This Row],[Transaction Type]]="Sale",ABS(E930)*K930,0)</f>
        <v>0</v>
      </c>
      <c r="O930" s="29">
        <f>IF(Table1[[#This Row],[Transaction Type]]="Purchase",E930*J930,0)</f>
        <v>0</v>
      </c>
    </row>
    <row r="931" spans="1:15" x14ac:dyDescent="0.35">
      <c r="A931" s="27" t="s">
        <v>1320</v>
      </c>
      <c r="B931" s="12">
        <v>45935</v>
      </c>
      <c r="C931" s="11" t="s">
        <v>32</v>
      </c>
      <c r="D931" s="11" t="s">
        <v>40</v>
      </c>
      <c r="E931" s="11">
        <v>78</v>
      </c>
      <c r="F931" s="11">
        <f t="shared" si="29"/>
        <v>78</v>
      </c>
      <c r="G931" s="11" t="s">
        <v>14</v>
      </c>
      <c r="H931" s="11" t="s">
        <v>33</v>
      </c>
      <c r="I931" s="11" t="s">
        <v>34</v>
      </c>
      <c r="J931" s="11">
        <v>20</v>
      </c>
      <c r="K931" s="11">
        <v>35</v>
      </c>
      <c r="L931" s="11" t="s">
        <v>1321</v>
      </c>
      <c r="M931" s="11">
        <f t="shared" si="28"/>
        <v>1560</v>
      </c>
      <c r="N931" s="11">
        <f>IF(Table1[[#This Row],[Transaction Type]]="Sale",ABS(E931)*K931,0)</f>
        <v>0</v>
      </c>
      <c r="O931" s="29">
        <f>IF(Table1[[#This Row],[Transaction Type]]="Purchase",E931*J931,0)</f>
        <v>1560</v>
      </c>
    </row>
    <row r="932" spans="1:15" x14ac:dyDescent="0.35">
      <c r="A932" s="27" t="s">
        <v>1322</v>
      </c>
      <c r="B932" s="12">
        <v>45935</v>
      </c>
      <c r="C932" s="11" t="s">
        <v>141</v>
      </c>
      <c r="D932" s="11" t="s">
        <v>13</v>
      </c>
      <c r="E932" s="11">
        <v>-13</v>
      </c>
      <c r="F932" s="11">
        <f t="shared" si="29"/>
        <v>-13</v>
      </c>
      <c r="G932" s="11" t="s">
        <v>14</v>
      </c>
      <c r="H932" s="11" t="s">
        <v>25</v>
      </c>
      <c r="I932" s="11" t="s">
        <v>26</v>
      </c>
      <c r="J932" s="11">
        <v>4</v>
      </c>
      <c r="K932" s="11">
        <v>9</v>
      </c>
      <c r="L932" s="11"/>
      <c r="M932" s="11">
        <f t="shared" si="28"/>
        <v>52</v>
      </c>
      <c r="N932" s="11">
        <f>IF(Table1[[#This Row],[Transaction Type]]="Sale",ABS(E932)*K932,0)</f>
        <v>117</v>
      </c>
      <c r="O932" s="29">
        <f>IF(Table1[[#This Row],[Transaction Type]]="Purchase",E932*J932,0)</f>
        <v>0</v>
      </c>
    </row>
    <row r="933" spans="1:15" x14ac:dyDescent="0.35">
      <c r="A933" s="27" t="s">
        <v>1323</v>
      </c>
      <c r="B933" s="12">
        <v>45935</v>
      </c>
      <c r="C933" s="11" t="s">
        <v>18</v>
      </c>
      <c r="D933" s="11" t="s">
        <v>13</v>
      </c>
      <c r="E933" s="11">
        <v>-6</v>
      </c>
      <c r="F933" s="11">
        <f t="shared" si="29"/>
        <v>-6</v>
      </c>
      <c r="G933" s="11" t="s">
        <v>19</v>
      </c>
      <c r="H933" s="11" t="s">
        <v>20</v>
      </c>
      <c r="I933" s="11" t="s">
        <v>21</v>
      </c>
      <c r="J933" s="11">
        <v>2.6</v>
      </c>
      <c r="K933" s="11">
        <v>5.5</v>
      </c>
      <c r="L933" s="11"/>
      <c r="M933" s="11">
        <f t="shared" si="28"/>
        <v>15.600000000000001</v>
      </c>
      <c r="N933" s="11">
        <f>IF(Table1[[#This Row],[Transaction Type]]="Sale",ABS(E933)*K933,0)</f>
        <v>33</v>
      </c>
      <c r="O933" s="29">
        <f>IF(Table1[[#This Row],[Transaction Type]]="Purchase",E933*J933,0)</f>
        <v>0</v>
      </c>
    </row>
    <row r="934" spans="1:15" x14ac:dyDescent="0.35">
      <c r="A934" s="27" t="s">
        <v>1324</v>
      </c>
      <c r="B934" s="12">
        <v>45935</v>
      </c>
      <c r="C934" s="11" t="s">
        <v>55</v>
      </c>
      <c r="D934" s="11" t="s">
        <v>13</v>
      </c>
      <c r="E934" s="11">
        <v>-2</v>
      </c>
      <c r="F934" s="11">
        <f t="shared" si="29"/>
        <v>-2</v>
      </c>
      <c r="G934" s="11" t="s">
        <v>14</v>
      </c>
      <c r="H934" s="11" t="s">
        <v>56</v>
      </c>
      <c r="I934" s="11" t="s">
        <v>16</v>
      </c>
      <c r="J934" s="11">
        <v>4.2</v>
      </c>
      <c r="K934" s="11">
        <v>10</v>
      </c>
      <c r="L934" s="11"/>
      <c r="M934" s="11">
        <f t="shared" si="28"/>
        <v>8.4</v>
      </c>
      <c r="N934" s="11">
        <f>IF(Table1[[#This Row],[Transaction Type]]="Sale",ABS(E934)*K934,0)</f>
        <v>20</v>
      </c>
      <c r="O934" s="29">
        <f>IF(Table1[[#This Row],[Transaction Type]]="Purchase",E934*J934,0)</f>
        <v>0</v>
      </c>
    </row>
    <row r="935" spans="1:15" x14ac:dyDescent="0.35">
      <c r="A935" s="27" t="s">
        <v>1325</v>
      </c>
      <c r="B935" s="12">
        <v>45936</v>
      </c>
      <c r="C935" s="11" t="s">
        <v>43</v>
      </c>
      <c r="D935" s="11" t="s">
        <v>13</v>
      </c>
      <c r="E935" s="11">
        <v>-9</v>
      </c>
      <c r="F935" s="11">
        <f t="shared" si="29"/>
        <v>-9</v>
      </c>
      <c r="G935" s="11" t="s">
        <v>14</v>
      </c>
      <c r="H935" s="11" t="s">
        <v>44</v>
      </c>
      <c r="I935" s="11" t="s">
        <v>45</v>
      </c>
      <c r="J935" s="11">
        <v>5.2</v>
      </c>
      <c r="K935" s="11">
        <v>11</v>
      </c>
      <c r="L935" s="11"/>
      <c r="M935" s="11">
        <f t="shared" si="28"/>
        <v>46.800000000000004</v>
      </c>
      <c r="N935" s="11">
        <f>IF(Table1[[#This Row],[Transaction Type]]="Sale",ABS(E935)*K935,0)</f>
        <v>99</v>
      </c>
      <c r="O935" s="29">
        <f>IF(Table1[[#This Row],[Transaction Type]]="Purchase",E935*J935,0)</f>
        <v>0</v>
      </c>
    </row>
    <row r="936" spans="1:15" x14ac:dyDescent="0.35">
      <c r="A936" s="27" t="s">
        <v>1326</v>
      </c>
      <c r="B936" s="12">
        <v>45936</v>
      </c>
      <c r="C936" s="11" t="s">
        <v>77</v>
      </c>
      <c r="D936" s="11" t="s">
        <v>13</v>
      </c>
      <c r="E936" s="11">
        <v>-14</v>
      </c>
      <c r="F936" s="11">
        <f t="shared" si="29"/>
        <v>-14</v>
      </c>
      <c r="G936" s="11" t="s">
        <v>19</v>
      </c>
      <c r="H936" s="11" t="s">
        <v>78</v>
      </c>
      <c r="I936" s="11" t="s">
        <v>16</v>
      </c>
      <c r="J936" s="11">
        <v>25</v>
      </c>
      <c r="K936" s="11">
        <v>42</v>
      </c>
      <c r="L936" s="11"/>
      <c r="M936" s="11">
        <f t="shared" si="28"/>
        <v>350</v>
      </c>
      <c r="N936" s="11">
        <f>IF(Table1[[#This Row],[Transaction Type]]="Sale",ABS(E936)*K936,0)</f>
        <v>588</v>
      </c>
      <c r="O936" s="29">
        <f>IF(Table1[[#This Row],[Transaction Type]]="Purchase",E936*J936,0)</f>
        <v>0</v>
      </c>
    </row>
    <row r="937" spans="1:15" x14ac:dyDescent="0.35">
      <c r="A937" s="27" t="s">
        <v>1327</v>
      </c>
      <c r="B937" s="12">
        <v>45936</v>
      </c>
      <c r="C937" s="11" t="s">
        <v>60</v>
      </c>
      <c r="D937" s="11" t="s">
        <v>13</v>
      </c>
      <c r="E937" s="11">
        <v>-8</v>
      </c>
      <c r="F937" s="11">
        <f t="shared" si="29"/>
        <v>-8</v>
      </c>
      <c r="G937" s="11" t="s">
        <v>19</v>
      </c>
      <c r="H937" s="11" t="s">
        <v>61</v>
      </c>
      <c r="I937" s="11" t="s">
        <v>62</v>
      </c>
      <c r="J937" s="11">
        <v>3.4</v>
      </c>
      <c r="K937" s="11">
        <v>8</v>
      </c>
      <c r="L937" s="11"/>
      <c r="M937" s="11">
        <f t="shared" si="28"/>
        <v>27.2</v>
      </c>
      <c r="N937" s="11">
        <f>IF(Table1[[#This Row],[Transaction Type]]="Sale",ABS(E937)*K937,0)</f>
        <v>64</v>
      </c>
      <c r="O937" s="29">
        <f>IF(Table1[[#This Row],[Transaction Type]]="Purchase",E937*J937,0)</f>
        <v>0</v>
      </c>
    </row>
    <row r="938" spans="1:15" x14ac:dyDescent="0.35">
      <c r="A938" s="27" t="s">
        <v>1328</v>
      </c>
      <c r="B938" s="12">
        <v>45936</v>
      </c>
      <c r="C938" s="11" t="s">
        <v>23</v>
      </c>
      <c r="D938" s="11" t="s">
        <v>13</v>
      </c>
      <c r="E938" s="11">
        <v>-4</v>
      </c>
      <c r="F938" s="11">
        <f t="shared" si="29"/>
        <v>-4</v>
      </c>
      <c r="G938" s="11" t="s">
        <v>24</v>
      </c>
      <c r="H938" s="11" t="s">
        <v>25</v>
      </c>
      <c r="I938" s="11" t="s">
        <v>26</v>
      </c>
      <c r="J938" s="11">
        <v>3</v>
      </c>
      <c r="K938" s="11">
        <v>7</v>
      </c>
      <c r="L938" s="11"/>
      <c r="M938" s="11">
        <f t="shared" si="28"/>
        <v>12</v>
      </c>
      <c r="N938" s="11">
        <f>IF(Table1[[#This Row],[Transaction Type]]="Sale",ABS(E938)*K938,0)</f>
        <v>28</v>
      </c>
      <c r="O938" s="29">
        <f>IF(Table1[[#This Row],[Transaction Type]]="Purchase",E938*J938,0)</f>
        <v>0</v>
      </c>
    </row>
    <row r="939" spans="1:15" x14ac:dyDescent="0.35">
      <c r="A939" s="27" t="s">
        <v>1329</v>
      </c>
      <c r="B939" s="12">
        <v>45936</v>
      </c>
      <c r="C939" s="11" t="s">
        <v>141</v>
      </c>
      <c r="D939" s="11" t="s">
        <v>40</v>
      </c>
      <c r="E939" s="11">
        <v>33</v>
      </c>
      <c r="F939" s="11">
        <f t="shared" si="29"/>
        <v>33</v>
      </c>
      <c r="G939" s="11" t="s">
        <v>14</v>
      </c>
      <c r="H939" s="11" t="s">
        <v>25</v>
      </c>
      <c r="I939" s="11" t="s">
        <v>26</v>
      </c>
      <c r="J939" s="11">
        <v>4</v>
      </c>
      <c r="K939" s="11">
        <v>9</v>
      </c>
      <c r="L939" s="11" t="s">
        <v>1330</v>
      </c>
      <c r="M939" s="11">
        <f t="shared" si="28"/>
        <v>132</v>
      </c>
      <c r="N939" s="11">
        <f>IF(Table1[[#This Row],[Transaction Type]]="Sale",ABS(E939)*K939,0)</f>
        <v>0</v>
      </c>
      <c r="O939" s="29">
        <f>IF(Table1[[#This Row],[Transaction Type]]="Purchase",E939*J939,0)</f>
        <v>132</v>
      </c>
    </row>
    <row r="940" spans="1:15" x14ac:dyDescent="0.35">
      <c r="A940" s="27" t="s">
        <v>1331</v>
      </c>
      <c r="B940" s="12">
        <v>45937</v>
      </c>
      <c r="C940" s="11" t="s">
        <v>794</v>
      </c>
      <c r="D940" s="11" t="s">
        <v>13</v>
      </c>
      <c r="E940" s="11">
        <v>-13</v>
      </c>
      <c r="F940" s="11">
        <f t="shared" si="29"/>
        <v>-13</v>
      </c>
      <c r="G940" s="11" t="s">
        <v>14</v>
      </c>
      <c r="H940" s="11" t="s">
        <v>74</v>
      </c>
      <c r="I940" s="11" t="s">
        <v>75</v>
      </c>
      <c r="J940" s="11">
        <v>82</v>
      </c>
      <c r="K940" s="11">
        <v>135</v>
      </c>
      <c r="L940" s="11"/>
      <c r="M940" s="11">
        <f t="shared" si="28"/>
        <v>1066</v>
      </c>
      <c r="N940" s="11">
        <f>IF(Table1[[#This Row],[Transaction Type]]="Sale",ABS(E940)*K940,0)</f>
        <v>1755</v>
      </c>
      <c r="O940" s="29">
        <f>IF(Table1[[#This Row],[Transaction Type]]="Purchase",E940*J940,0)</f>
        <v>0</v>
      </c>
    </row>
    <row r="941" spans="1:15" x14ac:dyDescent="0.35">
      <c r="A941" s="27" t="s">
        <v>1332</v>
      </c>
      <c r="B941" s="12">
        <v>45937</v>
      </c>
      <c r="C941" s="11" t="s">
        <v>12</v>
      </c>
      <c r="D941" s="11" t="s">
        <v>13</v>
      </c>
      <c r="E941" s="11">
        <v>-3</v>
      </c>
      <c r="F941" s="11">
        <f t="shared" si="29"/>
        <v>-3</v>
      </c>
      <c r="G941" s="11" t="s">
        <v>14</v>
      </c>
      <c r="H941" s="11" t="s">
        <v>15</v>
      </c>
      <c r="I941" s="11" t="s">
        <v>16</v>
      </c>
      <c r="J941" s="11">
        <v>13.5</v>
      </c>
      <c r="K941" s="11">
        <v>24</v>
      </c>
      <c r="L941" s="11"/>
      <c r="M941" s="11">
        <f t="shared" si="28"/>
        <v>40.5</v>
      </c>
      <c r="N941" s="11">
        <f>IF(Table1[[#This Row],[Transaction Type]]="Sale",ABS(E941)*K941,0)</f>
        <v>72</v>
      </c>
      <c r="O941" s="29">
        <f>IF(Table1[[#This Row],[Transaction Type]]="Purchase",E941*J941,0)</f>
        <v>0</v>
      </c>
    </row>
    <row r="942" spans="1:15" x14ac:dyDescent="0.35">
      <c r="A942" s="27" t="s">
        <v>1333</v>
      </c>
      <c r="B942" s="12">
        <v>45937</v>
      </c>
      <c r="C942" s="11" t="s">
        <v>98</v>
      </c>
      <c r="D942" s="11" t="s">
        <v>13</v>
      </c>
      <c r="E942" s="11">
        <v>-4</v>
      </c>
      <c r="F942" s="11">
        <f t="shared" si="29"/>
        <v>-4</v>
      </c>
      <c r="G942" s="11" t="s">
        <v>19</v>
      </c>
      <c r="H942" s="11" t="s">
        <v>30</v>
      </c>
      <c r="I942" s="11" t="s">
        <v>16</v>
      </c>
      <c r="J942" s="11">
        <v>16</v>
      </c>
      <c r="K942" s="11">
        <v>29</v>
      </c>
      <c r="L942" s="11"/>
      <c r="M942" s="11">
        <f t="shared" si="28"/>
        <v>64</v>
      </c>
      <c r="N942" s="11">
        <f>IF(Table1[[#This Row],[Transaction Type]]="Sale",ABS(E942)*K942,0)</f>
        <v>116</v>
      </c>
      <c r="O942" s="29">
        <f>IF(Table1[[#This Row],[Transaction Type]]="Purchase",E942*J942,0)</f>
        <v>0</v>
      </c>
    </row>
    <row r="943" spans="1:15" x14ac:dyDescent="0.35">
      <c r="A943" s="27" t="s">
        <v>1334</v>
      </c>
      <c r="B943" s="12">
        <v>45938</v>
      </c>
      <c r="C943" s="11" t="s">
        <v>48</v>
      </c>
      <c r="D943" s="11" t="s">
        <v>13</v>
      </c>
      <c r="E943" s="11">
        <v>-11</v>
      </c>
      <c r="F943" s="11">
        <f t="shared" si="29"/>
        <v>-11</v>
      </c>
      <c r="G943" s="11" t="s">
        <v>14</v>
      </c>
      <c r="H943" s="11" t="s">
        <v>49</v>
      </c>
      <c r="I943" s="11" t="s">
        <v>21</v>
      </c>
      <c r="J943" s="11">
        <v>8.5</v>
      </c>
      <c r="K943" s="11">
        <v>18</v>
      </c>
      <c r="L943" s="11"/>
      <c r="M943" s="11">
        <f t="shared" si="28"/>
        <v>93.5</v>
      </c>
      <c r="N943" s="11">
        <f>IF(Table1[[#This Row],[Transaction Type]]="Sale",ABS(E943)*K943,0)</f>
        <v>198</v>
      </c>
      <c r="O943" s="29">
        <f>IF(Table1[[#This Row],[Transaction Type]]="Purchase",E943*J943,0)</f>
        <v>0</v>
      </c>
    </row>
    <row r="944" spans="1:15" x14ac:dyDescent="0.35">
      <c r="A944" s="27" t="s">
        <v>1335</v>
      </c>
      <c r="B944" s="12">
        <v>45938</v>
      </c>
      <c r="C944" s="11" t="s">
        <v>52</v>
      </c>
      <c r="D944" s="11" t="s">
        <v>40</v>
      </c>
      <c r="E944" s="11">
        <v>34</v>
      </c>
      <c r="F944" s="11">
        <f t="shared" si="29"/>
        <v>34</v>
      </c>
      <c r="G944" s="11" t="s">
        <v>24</v>
      </c>
      <c r="H944" s="11" t="s">
        <v>20</v>
      </c>
      <c r="I944" s="11" t="s">
        <v>21</v>
      </c>
      <c r="J944" s="11">
        <v>5.5</v>
      </c>
      <c r="K944" s="11">
        <v>12</v>
      </c>
      <c r="L944" s="11" t="s">
        <v>1336</v>
      </c>
      <c r="M944" s="11">
        <f t="shared" si="28"/>
        <v>187</v>
      </c>
      <c r="N944" s="11">
        <f>IF(Table1[[#This Row],[Transaction Type]]="Sale",ABS(E944)*K944,0)</f>
        <v>0</v>
      </c>
      <c r="O944" s="29">
        <f>IF(Table1[[#This Row],[Transaction Type]]="Purchase",E944*J944,0)</f>
        <v>187</v>
      </c>
    </row>
    <row r="945" spans="1:15" x14ac:dyDescent="0.35">
      <c r="A945" s="27" t="s">
        <v>1337</v>
      </c>
      <c r="B945" s="12">
        <v>45938</v>
      </c>
      <c r="C945" s="11" t="s">
        <v>23</v>
      </c>
      <c r="D945" s="11" t="s">
        <v>13</v>
      </c>
      <c r="E945" s="11">
        <v>-3</v>
      </c>
      <c r="F945" s="11">
        <f t="shared" si="29"/>
        <v>-3</v>
      </c>
      <c r="G945" s="11" t="s">
        <v>19</v>
      </c>
      <c r="H945" s="11" t="s">
        <v>25</v>
      </c>
      <c r="I945" s="11" t="s">
        <v>26</v>
      </c>
      <c r="J945" s="11">
        <v>3</v>
      </c>
      <c r="K945" s="11">
        <v>7</v>
      </c>
      <c r="L945" s="11"/>
      <c r="M945" s="11">
        <f t="shared" si="28"/>
        <v>9</v>
      </c>
      <c r="N945" s="11">
        <f>IF(Table1[[#This Row],[Transaction Type]]="Sale",ABS(E945)*K945,0)</f>
        <v>21</v>
      </c>
      <c r="O945" s="29">
        <f>IF(Table1[[#This Row],[Transaction Type]]="Purchase",E945*J945,0)</f>
        <v>0</v>
      </c>
    </row>
    <row r="946" spans="1:15" x14ac:dyDescent="0.35">
      <c r="A946" s="27" t="s">
        <v>1338</v>
      </c>
      <c r="B946" s="12">
        <v>45938</v>
      </c>
      <c r="C946" s="11" t="s">
        <v>141</v>
      </c>
      <c r="D946" s="11" t="s">
        <v>58</v>
      </c>
      <c r="E946" s="11">
        <v>-13</v>
      </c>
      <c r="F946" s="11">
        <f t="shared" si="29"/>
        <v>-13</v>
      </c>
      <c r="G946" s="11" t="s">
        <v>24</v>
      </c>
      <c r="H946" s="11" t="s">
        <v>25</v>
      </c>
      <c r="I946" s="11" t="s">
        <v>26</v>
      </c>
      <c r="J946" s="11">
        <v>4</v>
      </c>
      <c r="K946" s="11">
        <v>9</v>
      </c>
      <c r="L946" s="11"/>
      <c r="M946" s="11">
        <f t="shared" si="28"/>
        <v>52</v>
      </c>
      <c r="N946" s="11">
        <f>IF(Table1[[#This Row],[Transaction Type]]="Sale",ABS(E946)*K946,0)</f>
        <v>0</v>
      </c>
      <c r="O946" s="29">
        <f>IF(Table1[[#This Row],[Transaction Type]]="Purchase",E946*J946,0)</f>
        <v>0</v>
      </c>
    </row>
    <row r="947" spans="1:15" x14ac:dyDescent="0.35">
      <c r="A947" s="27" t="s">
        <v>1339</v>
      </c>
      <c r="B947" s="12">
        <v>45939</v>
      </c>
      <c r="C947" s="11" t="s">
        <v>81</v>
      </c>
      <c r="D947" s="11" t="s">
        <v>13</v>
      </c>
      <c r="E947" s="11">
        <v>-12</v>
      </c>
      <c r="F947" s="11">
        <f t="shared" si="29"/>
        <v>-12</v>
      </c>
      <c r="G947" s="11" t="s">
        <v>24</v>
      </c>
      <c r="H947" s="11" t="s">
        <v>30</v>
      </c>
      <c r="I947" s="11" t="s">
        <v>16</v>
      </c>
      <c r="J947" s="11">
        <v>8</v>
      </c>
      <c r="K947" s="11">
        <v>15</v>
      </c>
      <c r="L947" s="11"/>
      <c r="M947" s="11">
        <f t="shared" si="28"/>
        <v>96</v>
      </c>
      <c r="N947" s="11">
        <f>IF(Table1[[#This Row],[Transaction Type]]="Sale",ABS(E947)*K947,0)</f>
        <v>180</v>
      </c>
      <c r="O947" s="29">
        <f>IF(Table1[[#This Row],[Transaction Type]]="Purchase",E947*J947,0)</f>
        <v>0</v>
      </c>
    </row>
    <row r="948" spans="1:15" x14ac:dyDescent="0.35">
      <c r="A948" s="27" t="s">
        <v>1340</v>
      </c>
      <c r="B948" s="12">
        <v>45939</v>
      </c>
      <c r="C948" s="11" t="s">
        <v>185</v>
      </c>
      <c r="D948" s="11" t="s">
        <v>40</v>
      </c>
      <c r="E948" s="11">
        <v>93</v>
      </c>
      <c r="F948" s="11">
        <f t="shared" si="29"/>
        <v>93</v>
      </c>
      <c r="G948" s="11" t="s">
        <v>14</v>
      </c>
      <c r="H948" s="11" t="s">
        <v>44</v>
      </c>
      <c r="I948" s="11" t="s">
        <v>45</v>
      </c>
      <c r="J948" s="11">
        <v>63</v>
      </c>
      <c r="K948" s="11">
        <v>95</v>
      </c>
      <c r="L948" s="11" t="s">
        <v>1341</v>
      </c>
      <c r="M948" s="11">
        <f t="shared" si="28"/>
        <v>5859</v>
      </c>
      <c r="N948" s="11">
        <f>IF(Table1[[#This Row],[Transaction Type]]="Sale",ABS(E948)*K948,0)</f>
        <v>0</v>
      </c>
      <c r="O948" s="29">
        <f>IF(Table1[[#This Row],[Transaction Type]]="Purchase",E948*J948,0)</f>
        <v>5859</v>
      </c>
    </row>
    <row r="949" spans="1:15" x14ac:dyDescent="0.35">
      <c r="A949" s="27" t="s">
        <v>1342</v>
      </c>
      <c r="B949" s="12">
        <v>45939</v>
      </c>
      <c r="C949" s="11" t="s">
        <v>139</v>
      </c>
      <c r="D949" s="11" t="s">
        <v>13</v>
      </c>
      <c r="E949" s="11">
        <v>-8</v>
      </c>
      <c r="F949" s="11">
        <f t="shared" si="29"/>
        <v>-8</v>
      </c>
      <c r="G949" s="11" t="s">
        <v>19</v>
      </c>
      <c r="H949" s="11" t="s">
        <v>56</v>
      </c>
      <c r="I949" s="11" t="s">
        <v>16</v>
      </c>
      <c r="J949" s="11">
        <v>16.5</v>
      </c>
      <c r="K949" s="11">
        <v>28</v>
      </c>
      <c r="L949" s="11"/>
      <c r="M949" s="11">
        <f t="shared" si="28"/>
        <v>132</v>
      </c>
      <c r="N949" s="11">
        <f>IF(Table1[[#This Row],[Transaction Type]]="Sale",ABS(E949)*K949,0)</f>
        <v>224</v>
      </c>
      <c r="O949" s="29">
        <f>IF(Table1[[#This Row],[Transaction Type]]="Purchase",E949*J949,0)</f>
        <v>0</v>
      </c>
    </row>
    <row r="950" spans="1:15" x14ac:dyDescent="0.35">
      <c r="A950" s="27" t="s">
        <v>1343</v>
      </c>
      <c r="B950" s="12">
        <v>45939</v>
      </c>
      <c r="C950" s="11" t="s">
        <v>12</v>
      </c>
      <c r="D950" s="11" t="s">
        <v>13</v>
      </c>
      <c r="E950" s="11">
        <v>-9</v>
      </c>
      <c r="F950" s="11">
        <f t="shared" si="29"/>
        <v>-9</v>
      </c>
      <c r="G950" s="11" t="s">
        <v>14</v>
      </c>
      <c r="H950" s="11" t="s">
        <v>15</v>
      </c>
      <c r="I950" s="11" t="s">
        <v>16</v>
      </c>
      <c r="J950" s="11">
        <v>13.5</v>
      </c>
      <c r="K950" s="11">
        <v>24</v>
      </c>
      <c r="L950" s="11"/>
      <c r="M950" s="11">
        <f t="shared" si="28"/>
        <v>121.5</v>
      </c>
      <c r="N950" s="11">
        <f>IF(Table1[[#This Row],[Transaction Type]]="Sale",ABS(E950)*K950,0)</f>
        <v>216</v>
      </c>
      <c r="O950" s="29">
        <f>IF(Table1[[#This Row],[Transaction Type]]="Purchase",E950*J950,0)</f>
        <v>0</v>
      </c>
    </row>
    <row r="951" spans="1:15" x14ac:dyDescent="0.35">
      <c r="A951" s="27" t="s">
        <v>1344</v>
      </c>
      <c r="B951" s="12">
        <v>45940</v>
      </c>
      <c r="C951" s="11" t="s">
        <v>794</v>
      </c>
      <c r="D951" s="11" t="s">
        <v>40</v>
      </c>
      <c r="E951" s="11">
        <v>25</v>
      </c>
      <c r="F951" s="11">
        <f t="shared" si="29"/>
        <v>25</v>
      </c>
      <c r="G951" s="11" t="s">
        <v>24</v>
      </c>
      <c r="H951" s="11" t="s">
        <v>74</v>
      </c>
      <c r="I951" s="11" t="s">
        <v>75</v>
      </c>
      <c r="J951" s="11">
        <v>82</v>
      </c>
      <c r="K951" s="11">
        <v>135</v>
      </c>
      <c r="L951" s="11" t="s">
        <v>1345</v>
      </c>
      <c r="M951" s="11">
        <f t="shared" si="28"/>
        <v>2050</v>
      </c>
      <c r="N951" s="11">
        <f>IF(Table1[[#This Row],[Transaction Type]]="Sale",ABS(E951)*K951,0)</f>
        <v>0</v>
      </c>
      <c r="O951" s="29">
        <f>IF(Table1[[#This Row],[Transaction Type]]="Purchase",E951*J951,0)</f>
        <v>2050</v>
      </c>
    </row>
    <row r="952" spans="1:15" x14ac:dyDescent="0.35">
      <c r="A952" s="27" t="s">
        <v>1346</v>
      </c>
      <c r="B952" s="12">
        <v>45940</v>
      </c>
      <c r="C952" s="11" t="s">
        <v>29</v>
      </c>
      <c r="D952" s="11" t="s">
        <v>40</v>
      </c>
      <c r="E952" s="11">
        <v>45</v>
      </c>
      <c r="F952" s="11">
        <f t="shared" si="29"/>
        <v>45</v>
      </c>
      <c r="G952" s="11" t="s">
        <v>19</v>
      </c>
      <c r="H952" s="11" t="s">
        <v>30</v>
      </c>
      <c r="I952" s="11" t="s">
        <v>16</v>
      </c>
      <c r="J952" s="11">
        <v>8.8000000000000007</v>
      </c>
      <c r="K952" s="11">
        <v>17</v>
      </c>
      <c r="L952" s="11" t="s">
        <v>1347</v>
      </c>
      <c r="M952" s="11">
        <f t="shared" si="28"/>
        <v>396.00000000000006</v>
      </c>
      <c r="N952" s="11">
        <f>IF(Table1[[#This Row],[Transaction Type]]="Sale",ABS(E952)*K952,0)</f>
        <v>0</v>
      </c>
      <c r="O952" s="29">
        <f>IF(Table1[[#This Row],[Transaction Type]]="Purchase",E952*J952,0)</f>
        <v>396.00000000000006</v>
      </c>
    </row>
    <row r="953" spans="1:15" x14ac:dyDescent="0.35">
      <c r="A953" s="27" t="s">
        <v>1348</v>
      </c>
      <c r="B953" s="12">
        <v>45940</v>
      </c>
      <c r="C953" s="11" t="s">
        <v>48</v>
      </c>
      <c r="D953" s="11" t="s">
        <v>13</v>
      </c>
      <c r="E953" s="11">
        <v>-1</v>
      </c>
      <c r="F953" s="11">
        <f t="shared" si="29"/>
        <v>-1</v>
      </c>
      <c r="G953" s="11" t="s">
        <v>19</v>
      </c>
      <c r="H953" s="11" t="s">
        <v>49</v>
      </c>
      <c r="I953" s="11" t="s">
        <v>21</v>
      </c>
      <c r="J953" s="11">
        <v>8.5</v>
      </c>
      <c r="K953" s="11">
        <v>18</v>
      </c>
      <c r="L953" s="11"/>
      <c r="M953" s="11">
        <f t="shared" si="28"/>
        <v>8.5</v>
      </c>
      <c r="N953" s="11">
        <f>IF(Table1[[#This Row],[Transaction Type]]="Sale",ABS(E953)*K953,0)</f>
        <v>18</v>
      </c>
      <c r="O953" s="29">
        <f>IF(Table1[[#This Row],[Transaction Type]]="Purchase",E953*J953,0)</f>
        <v>0</v>
      </c>
    </row>
    <row r="954" spans="1:15" x14ac:dyDescent="0.35">
      <c r="A954" s="27" t="s">
        <v>1349</v>
      </c>
      <c r="B954" s="12">
        <v>45940</v>
      </c>
      <c r="C954" s="11" t="s">
        <v>136</v>
      </c>
      <c r="D954" s="11" t="s">
        <v>66</v>
      </c>
      <c r="E954" s="11">
        <v>1</v>
      </c>
      <c r="F954" s="11">
        <f t="shared" si="29"/>
        <v>1</v>
      </c>
      <c r="G954" s="11" t="s">
        <v>14</v>
      </c>
      <c r="H954" s="11" t="s">
        <v>33</v>
      </c>
      <c r="I954" s="11" t="s">
        <v>34</v>
      </c>
      <c r="J954" s="11">
        <v>34</v>
      </c>
      <c r="K954" s="11">
        <v>55</v>
      </c>
      <c r="L954" s="11"/>
      <c r="M954" s="11">
        <f t="shared" si="28"/>
        <v>34</v>
      </c>
      <c r="N954" s="11">
        <f>IF(Table1[[#This Row],[Transaction Type]]="Sale",ABS(E954)*K954,0)</f>
        <v>0</v>
      </c>
      <c r="O954" s="29">
        <f>IF(Table1[[#This Row],[Transaction Type]]="Purchase",E954*J954,0)</f>
        <v>0</v>
      </c>
    </row>
    <row r="955" spans="1:15" x14ac:dyDescent="0.35">
      <c r="A955" s="27" t="s">
        <v>1350</v>
      </c>
      <c r="B955" s="12">
        <v>45940</v>
      </c>
      <c r="C955" s="11" t="s">
        <v>73</v>
      </c>
      <c r="D955" s="11" t="s">
        <v>13</v>
      </c>
      <c r="E955" s="11">
        <v>-8</v>
      </c>
      <c r="F955" s="11">
        <f t="shared" si="29"/>
        <v>-8</v>
      </c>
      <c r="G955" s="11" t="s">
        <v>19</v>
      </c>
      <c r="H955" s="11" t="s">
        <v>74</v>
      </c>
      <c r="I955" s="11" t="s">
        <v>75</v>
      </c>
      <c r="J955" s="11">
        <v>30</v>
      </c>
      <c r="K955" s="11">
        <v>48</v>
      </c>
      <c r="L955" s="11"/>
      <c r="M955" s="11">
        <f t="shared" si="28"/>
        <v>240</v>
      </c>
      <c r="N955" s="11">
        <f>IF(Table1[[#This Row],[Transaction Type]]="Sale",ABS(E955)*K955,0)</f>
        <v>384</v>
      </c>
      <c r="O955" s="29">
        <f>IF(Table1[[#This Row],[Transaction Type]]="Purchase",E955*J955,0)</f>
        <v>0</v>
      </c>
    </row>
    <row r="956" spans="1:15" x14ac:dyDescent="0.35">
      <c r="A956" s="27" t="s">
        <v>1351</v>
      </c>
      <c r="B956" s="12">
        <v>45940</v>
      </c>
      <c r="C956" s="11" t="s">
        <v>139</v>
      </c>
      <c r="D956" s="11" t="s">
        <v>13</v>
      </c>
      <c r="E956" s="11">
        <v>-4</v>
      </c>
      <c r="F956" s="11">
        <f t="shared" si="29"/>
        <v>-4</v>
      </c>
      <c r="G956" s="11" t="s">
        <v>19</v>
      </c>
      <c r="H956" s="11" t="s">
        <v>56</v>
      </c>
      <c r="I956" s="11" t="s">
        <v>16</v>
      </c>
      <c r="J956" s="11">
        <v>16.5</v>
      </c>
      <c r="K956" s="11">
        <v>28</v>
      </c>
      <c r="L956" s="11"/>
      <c r="M956" s="11">
        <f t="shared" si="28"/>
        <v>66</v>
      </c>
      <c r="N956" s="11">
        <f>IF(Table1[[#This Row],[Transaction Type]]="Sale",ABS(E956)*K956,0)</f>
        <v>112</v>
      </c>
      <c r="O956" s="29">
        <f>IF(Table1[[#This Row],[Transaction Type]]="Purchase",E956*J956,0)</f>
        <v>0</v>
      </c>
    </row>
    <row r="957" spans="1:15" x14ac:dyDescent="0.35">
      <c r="A957" s="27" t="s">
        <v>1352</v>
      </c>
      <c r="B957" s="12">
        <v>45941</v>
      </c>
      <c r="C957" s="11" t="s">
        <v>32</v>
      </c>
      <c r="D957" s="11" t="s">
        <v>13</v>
      </c>
      <c r="E957" s="11">
        <v>-10</v>
      </c>
      <c r="F957" s="11">
        <f t="shared" si="29"/>
        <v>-10</v>
      </c>
      <c r="G957" s="11" t="s">
        <v>14</v>
      </c>
      <c r="H957" s="11" t="s">
        <v>33</v>
      </c>
      <c r="I957" s="11" t="s">
        <v>34</v>
      </c>
      <c r="J957" s="11">
        <v>20</v>
      </c>
      <c r="K957" s="11">
        <v>35</v>
      </c>
      <c r="L957" s="11"/>
      <c r="M957" s="11">
        <f t="shared" si="28"/>
        <v>200</v>
      </c>
      <c r="N957" s="11">
        <f>IF(Table1[[#This Row],[Transaction Type]]="Sale",ABS(E957)*K957,0)</f>
        <v>350</v>
      </c>
      <c r="O957" s="29">
        <f>IF(Table1[[#This Row],[Transaction Type]]="Purchase",E957*J957,0)</f>
        <v>0</v>
      </c>
    </row>
    <row r="958" spans="1:15" x14ac:dyDescent="0.35">
      <c r="A958" s="27" t="s">
        <v>1353</v>
      </c>
      <c r="B958" s="12">
        <v>45941</v>
      </c>
      <c r="C958" s="11" t="s">
        <v>18</v>
      </c>
      <c r="D958" s="11" t="s">
        <v>13</v>
      </c>
      <c r="E958" s="11">
        <v>-7</v>
      </c>
      <c r="F958" s="11">
        <f t="shared" si="29"/>
        <v>-7</v>
      </c>
      <c r="G958" s="11" t="s">
        <v>14</v>
      </c>
      <c r="H958" s="11" t="s">
        <v>20</v>
      </c>
      <c r="I958" s="11" t="s">
        <v>21</v>
      </c>
      <c r="J958" s="11">
        <v>2.6</v>
      </c>
      <c r="K958" s="11">
        <v>5.5</v>
      </c>
      <c r="L958" s="11"/>
      <c r="M958" s="11">
        <f t="shared" si="28"/>
        <v>18.2</v>
      </c>
      <c r="N958" s="11">
        <f>IF(Table1[[#This Row],[Transaction Type]]="Sale",ABS(E958)*K958,0)</f>
        <v>38.5</v>
      </c>
      <c r="O958" s="29">
        <f>IF(Table1[[#This Row],[Transaction Type]]="Purchase",E958*J958,0)</f>
        <v>0</v>
      </c>
    </row>
    <row r="959" spans="1:15" x14ac:dyDescent="0.35">
      <c r="A959" s="27" t="s">
        <v>1354</v>
      </c>
      <c r="B959" s="12">
        <v>45941</v>
      </c>
      <c r="C959" s="11" t="s">
        <v>48</v>
      </c>
      <c r="D959" s="11" t="s">
        <v>13</v>
      </c>
      <c r="E959" s="11">
        <v>-7</v>
      </c>
      <c r="F959" s="11">
        <f t="shared" si="29"/>
        <v>-7</v>
      </c>
      <c r="G959" s="11" t="s">
        <v>24</v>
      </c>
      <c r="H959" s="11" t="s">
        <v>1355</v>
      </c>
      <c r="I959" s="11" t="s">
        <v>21</v>
      </c>
      <c r="J959" s="11">
        <v>8.5</v>
      </c>
      <c r="K959" s="11">
        <v>18</v>
      </c>
      <c r="L959" s="11"/>
      <c r="M959" s="11">
        <f t="shared" si="28"/>
        <v>59.5</v>
      </c>
      <c r="N959" s="11">
        <f>IF(Table1[[#This Row],[Transaction Type]]="Sale",ABS(E959)*K959,0)</f>
        <v>126</v>
      </c>
      <c r="O959" s="29">
        <f>IF(Table1[[#This Row],[Transaction Type]]="Purchase",E959*J959,0)</f>
        <v>0</v>
      </c>
    </row>
    <row r="960" spans="1:15" x14ac:dyDescent="0.35">
      <c r="A960" s="27" t="s">
        <v>1356</v>
      </c>
      <c r="B960" s="12">
        <v>45941</v>
      </c>
      <c r="C960" s="11" t="s">
        <v>43</v>
      </c>
      <c r="D960" s="11" t="s">
        <v>13</v>
      </c>
      <c r="E960" s="11">
        <v>-10</v>
      </c>
      <c r="F960" s="11">
        <f t="shared" si="29"/>
        <v>-10</v>
      </c>
      <c r="G960" s="11" t="s">
        <v>24</v>
      </c>
      <c r="H960" s="11" t="s">
        <v>44</v>
      </c>
      <c r="I960" s="11" t="s">
        <v>45</v>
      </c>
      <c r="J960" s="11">
        <v>5.2</v>
      </c>
      <c r="K960" s="11">
        <v>11</v>
      </c>
      <c r="L960" s="11"/>
      <c r="M960" s="11">
        <f t="shared" si="28"/>
        <v>52</v>
      </c>
      <c r="N960" s="11">
        <f>IF(Table1[[#This Row],[Transaction Type]]="Sale",ABS(E960)*K960,0)</f>
        <v>110</v>
      </c>
      <c r="O960" s="29">
        <f>IF(Table1[[#This Row],[Transaction Type]]="Purchase",E960*J960,0)</f>
        <v>0</v>
      </c>
    </row>
    <row r="961" spans="1:15" x14ac:dyDescent="0.35">
      <c r="A961" s="27" t="s">
        <v>1357</v>
      </c>
      <c r="B961" s="12">
        <v>45942</v>
      </c>
      <c r="C961" s="11" t="s">
        <v>73</v>
      </c>
      <c r="D961" s="11" t="s">
        <v>13</v>
      </c>
      <c r="E961" s="11">
        <v>-6</v>
      </c>
      <c r="F961" s="11">
        <f t="shared" si="29"/>
        <v>-6</v>
      </c>
      <c r="G961" s="11" t="s">
        <v>14</v>
      </c>
      <c r="H961" s="11" t="s">
        <v>74</v>
      </c>
      <c r="I961" s="11" t="s">
        <v>75</v>
      </c>
      <c r="J961" s="11">
        <v>30</v>
      </c>
      <c r="K961" s="11">
        <v>48</v>
      </c>
      <c r="L961" s="11"/>
      <c r="M961" s="11">
        <f t="shared" si="28"/>
        <v>180</v>
      </c>
      <c r="N961" s="11">
        <f>IF(Table1[[#This Row],[Transaction Type]]="Sale",ABS(E961)*K961,0)</f>
        <v>288</v>
      </c>
      <c r="O961" s="29">
        <f>IF(Table1[[#This Row],[Transaction Type]]="Purchase",E961*J961,0)</f>
        <v>0</v>
      </c>
    </row>
    <row r="962" spans="1:15" x14ac:dyDescent="0.35">
      <c r="A962" s="27" t="s">
        <v>1358</v>
      </c>
      <c r="B962" s="12">
        <v>45942</v>
      </c>
      <c r="C962" s="11" t="s">
        <v>81</v>
      </c>
      <c r="D962" s="11" t="s">
        <v>13</v>
      </c>
      <c r="E962" s="11">
        <v>-11</v>
      </c>
      <c r="F962" s="11">
        <f t="shared" si="29"/>
        <v>-11</v>
      </c>
      <c r="G962" s="11" t="s">
        <v>19</v>
      </c>
      <c r="H962" s="11" t="s">
        <v>30</v>
      </c>
      <c r="I962" s="11" t="s">
        <v>16</v>
      </c>
      <c r="J962" s="11">
        <v>8</v>
      </c>
      <c r="K962" s="11">
        <v>15</v>
      </c>
      <c r="L962" s="11"/>
      <c r="M962" s="11">
        <f t="shared" ref="M962:M1025" si="30">ABS(E962)*J962</f>
        <v>88</v>
      </c>
      <c r="N962" s="11">
        <f>IF(Table1[[#This Row],[Transaction Type]]="Sale",ABS(E962)*K962,0)</f>
        <v>165</v>
      </c>
      <c r="O962" s="29">
        <f>IF(Table1[[#This Row],[Transaction Type]]="Purchase",E962*J962,0)</f>
        <v>0</v>
      </c>
    </row>
    <row r="963" spans="1:15" x14ac:dyDescent="0.35">
      <c r="A963" s="27" t="s">
        <v>1359</v>
      </c>
      <c r="B963" s="12">
        <v>45943</v>
      </c>
      <c r="C963" s="11" t="s">
        <v>18</v>
      </c>
      <c r="D963" s="11" t="s">
        <v>13</v>
      </c>
      <c r="E963" s="11">
        <v>-7</v>
      </c>
      <c r="F963" s="11">
        <f t="shared" ref="F963:F1026" si="31">E963</f>
        <v>-7</v>
      </c>
      <c r="G963" s="11" t="s">
        <v>14</v>
      </c>
      <c r="H963" s="11" t="s">
        <v>20</v>
      </c>
      <c r="I963" s="11" t="s">
        <v>21</v>
      </c>
      <c r="J963" s="11">
        <v>2.6</v>
      </c>
      <c r="K963" s="11">
        <v>5.5</v>
      </c>
      <c r="L963" s="11"/>
      <c r="M963" s="11">
        <f t="shared" si="30"/>
        <v>18.2</v>
      </c>
      <c r="N963" s="11">
        <f>IF(Table1[[#This Row],[Transaction Type]]="Sale",ABS(E963)*K963,0)</f>
        <v>38.5</v>
      </c>
      <c r="O963" s="29">
        <f>IF(Table1[[#This Row],[Transaction Type]]="Purchase",E963*J963,0)</f>
        <v>0</v>
      </c>
    </row>
    <row r="964" spans="1:15" x14ac:dyDescent="0.35">
      <c r="A964" s="27" t="s">
        <v>1360</v>
      </c>
      <c r="B964" s="12">
        <v>45943</v>
      </c>
      <c r="C964" s="11" t="s">
        <v>65</v>
      </c>
      <c r="D964" s="11" t="s">
        <v>40</v>
      </c>
      <c r="E964" s="11">
        <v>32</v>
      </c>
      <c r="F964" s="11">
        <f t="shared" si="31"/>
        <v>32</v>
      </c>
      <c r="G964" s="11" t="s">
        <v>14</v>
      </c>
      <c r="H964" s="11" t="s">
        <v>67</v>
      </c>
      <c r="I964" s="11" t="s">
        <v>21</v>
      </c>
      <c r="J964" s="11">
        <v>11</v>
      </c>
      <c r="K964" s="11">
        <v>22</v>
      </c>
      <c r="L964" s="11" t="s">
        <v>1361</v>
      </c>
      <c r="M964" s="11">
        <f t="shared" si="30"/>
        <v>352</v>
      </c>
      <c r="N964" s="11">
        <f>IF(Table1[[#This Row],[Transaction Type]]="Sale",ABS(E964)*K964,0)</f>
        <v>0</v>
      </c>
      <c r="O964" s="29">
        <f>IF(Table1[[#This Row],[Transaction Type]]="Purchase",E964*J964,0)</f>
        <v>352</v>
      </c>
    </row>
    <row r="965" spans="1:15" x14ac:dyDescent="0.35">
      <c r="A965" s="27" t="s">
        <v>1362</v>
      </c>
      <c r="B965" s="12">
        <v>45943</v>
      </c>
      <c r="C965" s="11" t="s">
        <v>23</v>
      </c>
      <c r="D965" s="11" t="s">
        <v>40</v>
      </c>
      <c r="E965" s="11">
        <v>69</v>
      </c>
      <c r="F965" s="11">
        <f t="shared" si="31"/>
        <v>69</v>
      </c>
      <c r="G965" s="11" t="s">
        <v>19</v>
      </c>
      <c r="H965" s="11" t="s">
        <v>25</v>
      </c>
      <c r="I965" s="11" t="s">
        <v>26</v>
      </c>
      <c r="J965" s="11">
        <v>3</v>
      </c>
      <c r="K965" s="11">
        <v>7</v>
      </c>
      <c r="L965" s="11" t="s">
        <v>1363</v>
      </c>
      <c r="M965" s="11">
        <f t="shared" si="30"/>
        <v>207</v>
      </c>
      <c r="N965" s="11">
        <f>IF(Table1[[#This Row],[Transaction Type]]="Sale",ABS(E965)*K965,0)</f>
        <v>0</v>
      </c>
      <c r="O965" s="29">
        <f>IF(Table1[[#This Row],[Transaction Type]]="Purchase",E965*J965,0)</f>
        <v>207</v>
      </c>
    </row>
    <row r="966" spans="1:15" x14ac:dyDescent="0.35">
      <c r="A966" s="27" t="s">
        <v>1364</v>
      </c>
      <c r="B966" s="12">
        <v>45943</v>
      </c>
      <c r="C966" s="11" t="s">
        <v>12</v>
      </c>
      <c r="D966" s="11" t="s">
        <v>58</v>
      </c>
      <c r="E966" s="11">
        <v>-4</v>
      </c>
      <c r="F966" s="11">
        <f t="shared" si="31"/>
        <v>-4</v>
      </c>
      <c r="G966" s="11" t="s">
        <v>24</v>
      </c>
      <c r="H966" s="11" t="s">
        <v>15</v>
      </c>
      <c r="I966" s="11" t="s">
        <v>16</v>
      </c>
      <c r="J966" s="11">
        <v>13.5</v>
      </c>
      <c r="K966" s="11">
        <v>24</v>
      </c>
      <c r="L966" s="11"/>
      <c r="M966" s="11">
        <f t="shared" si="30"/>
        <v>54</v>
      </c>
      <c r="N966" s="11">
        <f>IF(Table1[[#This Row],[Transaction Type]]="Sale",ABS(E966)*K966,0)</f>
        <v>0</v>
      </c>
      <c r="O966" s="29">
        <f>IF(Table1[[#This Row],[Transaction Type]]="Purchase",E966*J966,0)</f>
        <v>0</v>
      </c>
    </row>
    <row r="967" spans="1:15" x14ac:dyDescent="0.35">
      <c r="A967" s="27" t="s">
        <v>1365</v>
      </c>
      <c r="B967" s="12">
        <v>45944</v>
      </c>
      <c r="C967" s="11" t="s">
        <v>185</v>
      </c>
      <c r="D967" s="11" t="s">
        <v>40</v>
      </c>
      <c r="E967" s="11">
        <v>31</v>
      </c>
      <c r="F967" s="11">
        <f t="shared" si="31"/>
        <v>31</v>
      </c>
      <c r="G967" s="11" t="s">
        <v>14</v>
      </c>
      <c r="H967" s="11" t="s">
        <v>44</v>
      </c>
      <c r="I967" s="11" t="s">
        <v>45</v>
      </c>
      <c r="J967" s="11">
        <v>63</v>
      </c>
      <c r="K967" s="11">
        <v>95</v>
      </c>
      <c r="L967" s="11" t="s">
        <v>1366</v>
      </c>
      <c r="M967" s="11">
        <f t="shared" si="30"/>
        <v>1953</v>
      </c>
      <c r="N967" s="11">
        <f>IF(Table1[[#This Row],[Transaction Type]]="Sale",ABS(E967)*K967,0)</f>
        <v>0</v>
      </c>
      <c r="O967" s="29">
        <f>IF(Table1[[#This Row],[Transaction Type]]="Purchase",E967*J967,0)</f>
        <v>1953</v>
      </c>
    </row>
    <row r="968" spans="1:15" x14ac:dyDescent="0.35">
      <c r="A968" s="27" t="s">
        <v>1367</v>
      </c>
      <c r="B968" s="12">
        <v>45945</v>
      </c>
      <c r="C968" s="11" t="s">
        <v>81</v>
      </c>
      <c r="D968" s="11" t="s">
        <v>13</v>
      </c>
      <c r="E968" s="11">
        <v>-10</v>
      </c>
      <c r="F968" s="11">
        <f t="shared" si="31"/>
        <v>-10</v>
      </c>
      <c r="G968" s="11" t="s">
        <v>24</v>
      </c>
      <c r="H968" s="11" t="s">
        <v>30</v>
      </c>
      <c r="I968" s="11" t="s">
        <v>16</v>
      </c>
      <c r="J968" s="11">
        <v>8</v>
      </c>
      <c r="K968" s="11">
        <v>15</v>
      </c>
      <c r="L968" s="11"/>
      <c r="M968" s="11">
        <f t="shared" si="30"/>
        <v>80</v>
      </c>
      <c r="N968" s="11">
        <f>IF(Table1[[#This Row],[Transaction Type]]="Sale",ABS(E968)*K968,0)</f>
        <v>150</v>
      </c>
      <c r="O968" s="29">
        <f>IF(Table1[[#This Row],[Transaction Type]]="Purchase",E968*J968,0)</f>
        <v>0</v>
      </c>
    </row>
    <row r="969" spans="1:15" x14ac:dyDescent="0.35">
      <c r="A969" s="27" t="s">
        <v>1368</v>
      </c>
      <c r="B969" s="12">
        <v>45945</v>
      </c>
      <c r="C969" s="11" t="s">
        <v>23</v>
      </c>
      <c r="D969" s="11" t="s">
        <v>13</v>
      </c>
      <c r="E969" s="11">
        <v>-7</v>
      </c>
      <c r="F969" s="11">
        <f t="shared" si="31"/>
        <v>-7</v>
      </c>
      <c r="G969" s="11" t="s">
        <v>14</v>
      </c>
      <c r="H969" s="11" t="s">
        <v>25</v>
      </c>
      <c r="I969" s="11" t="s">
        <v>26</v>
      </c>
      <c r="J969" s="11">
        <v>3</v>
      </c>
      <c r="K969" s="11">
        <v>7</v>
      </c>
      <c r="L969" s="11"/>
      <c r="M969" s="11">
        <f t="shared" si="30"/>
        <v>21</v>
      </c>
      <c r="N969" s="11">
        <f>IF(Table1[[#This Row],[Transaction Type]]="Sale",ABS(E969)*K969,0)</f>
        <v>49</v>
      </c>
      <c r="O969" s="29">
        <f>IF(Table1[[#This Row],[Transaction Type]]="Purchase",E969*J969,0)</f>
        <v>0</v>
      </c>
    </row>
    <row r="970" spans="1:15" x14ac:dyDescent="0.35">
      <c r="A970" s="27" t="s">
        <v>1369</v>
      </c>
      <c r="B970" s="12">
        <v>45945</v>
      </c>
      <c r="C970" s="11" t="s">
        <v>83</v>
      </c>
      <c r="D970" s="11" t="s">
        <v>13</v>
      </c>
      <c r="E970" s="11">
        <v>-3</v>
      </c>
      <c r="F970" s="11">
        <f t="shared" si="31"/>
        <v>-3</v>
      </c>
      <c r="G970" s="11" t="s">
        <v>19</v>
      </c>
      <c r="H970" s="11" t="s">
        <v>84</v>
      </c>
      <c r="I970" s="11" t="s">
        <v>45</v>
      </c>
      <c r="J970" s="11">
        <v>130</v>
      </c>
      <c r="K970" s="11">
        <v>185</v>
      </c>
      <c r="L970" s="11"/>
      <c r="M970" s="11">
        <f t="shared" si="30"/>
        <v>390</v>
      </c>
      <c r="N970" s="11">
        <f>IF(Table1[[#This Row],[Transaction Type]]="Sale",ABS(E970)*K970,0)</f>
        <v>555</v>
      </c>
      <c r="O970" s="29">
        <f>IF(Table1[[#This Row],[Transaction Type]]="Purchase",E970*J970,0)</f>
        <v>0</v>
      </c>
    </row>
    <row r="971" spans="1:15" x14ac:dyDescent="0.35">
      <c r="A971" s="27" t="s">
        <v>1370</v>
      </c>
      <c r="B971" s="12">
        <v>45946</v>
      </c>
      <c r="C971" s="11" t="s">
        <v>227</v>
      </c>
      <c r="D971" s="11" t="s">
        <v>40</v>
      </c>
      <c r="E971" s="11">
        <v>37</v>
      </c>
      <c r="F971" s="11">
        <f t="shared" si="31"/>
        <v>37</v>
      </c>
      <c r="G971" s="11" t="s">
        <v>24</v>
      </c>
      <c r="H971" s="11" t="s">
        <v>228</v>
      </c>
      <c r="I971" s="11" t="s">
        <v>16</v>
      </c>
      <c r="J971" s="11">
        <v>78</v>
      </c>
      <c r="K971" s="11">
        <v>125</v>
      </c>
      <c r="L971" s="11" t="s">
        <v>1371</v>
      </c>
      <c r="M971" s="11">
        <f t="shared" si="30"/>
        <v>2886</v>
      </c>
      <c r="N971" s="11">
        <f>IF(Table1[[#This Row],[Transaction Type]]="Sale",ABS(E971)*K971,0)</f>
        <v>0</v>
      </c>
      <c r="O971" s="29">
        <f>IF(Table1[[#This Row],[Transaction Type]]="Purchase",E971*J971,0)</f>
        <v>2886</v>
      </c>
    </row>
    <row r="972" spans="1:15" x14ac:dyDescent="0.35">
      <c r="A972" s="27" t="s">
        <v>1372</v>
      </c>
      <c r="B972" s="12">
        <v>45946</v>
      </c>
      <c r="C972" s="11" t="s">
        <v>87</v>
      </c>
      <c r="D972" s="11" t="s">
        <v>13</v>
      </c>
      <c r="E972" s="11">
        <v>-15</v>
      </c>
      <c r="F972" s="11">
        <f t="shared" si="31"/>
        <v>-15</v>
      </c>
      <c r="G972" s="11" t="s">
        <v>24</v>
      </c>
      <c r="H972" s="11" t="s">
        <v>88</v>
      </c>
      <c r="I972" s="11" t="s">
        <v>16</v>
      </c>
      <c r="J972" s="11">
        <v>6</v>
      </c>
      <c r="K972" s="11">
        <v>14</v>
      </c>
      <c r="L972" s="11"/>
      <c r="M972" s="11">
        <f t="shared" si="30"/>
        <v>90</v>
      </c>
      <c r="N972" s="11">
        <f>IF(Table1[[#This Row],[Transaction Type]]="Sale",ABS(E972)*K972,0)</f>
        <v>210</v>
      </c>
      <c r="O972" s="29">
        <f>IF(Table1[[#This Row],[Transaction Type]]="Purchase",E972*J972,0)</f>
        <v>0</v>
      </c>
    </row>
    <row r="973" spans="1:15" x14ac:dyDescent="0.35">
      <c r="A973" s="27" t="s">
        <v>1373</v>
      </c>
      <c r="B973" s="12">
        <v>45946</v>
      </c>
      <c r="C973" s="11" t="s">
        <v>350</v>
      </c>
      <c r="D973" s="11" t="s">
        <v>40</v>
      </c>
      <c r="E973" s="11">
        <v>108</v>
      </c>
      <c r="F973" s="11">
        <f t="shared" si="31"/>
        <v>108</v>
      </c>
      <c r="G973" s="11" t="s">
        <v>14</v>
      </c>
      <c r="H973" s="11" t="s">
        <v>74</v>
      </c>
      <c r="I973" s="11" t="s">
        <v>75</v>
      </c>
      <c r="J973" s="11">
        <v>145</v>
      </c>
      <c r="K973" s="11">
        <v>210</v>
      </c>
      <c r="L973" s="11" t="s">
        <v>1374</v>
      </c>
      <c r="M973" s="11">
        <f t="shared" si="30"/>
        <v>15660</v>
      </c>
      <c r="N973" s="11">
        <f>IF(Table1[[#This Row],[Transaction Type]]="Sale",ABS(E973)*K973,0)</f>
        <v>0</v>
      </c>
      <c r="O973" s="29">
        <f>IF(Table1[[#This Row],[Transaction Type]]="Purchase",E973*J973,0)</f>
        <v>15660</v>
      </c>
    </row>
    <row r="974" spans="1:15" x14ac:dyDescent="0.35">
      <c r="A974" s="27" t="s">
        <v>1375</v>
      </c>
      <c r="B974" s="12">
        <v>45946</v>
      </c>
      <c r="C974" s="11" t="s">
        <v>48</v>
      </c>
      <c r="D974" s="11" t="s">
        <v>40</v>
      </c>
      <c r="E974" s="11">
        <v>42</v>
      </c>
      <c r="F974" s="11">
        <f t="shared" si="31"/>
        <v>42</v>
      </c>
      <c r="G974" s="11" t="s">
        <v>14</v>
      </c>
      <c r="H974" s="11" t="s">
        <v>49</v>
      </c>
      <c r="I974" s="11" t="s">
        <v>21</v>
      </c>
      <c r="J974" s="11">
        <v>8.5</v>
      </c>
      <c r="K974" s="11">
        <v>18</v>
      </c>
      <c r="L974" s="11" t="s">
        <v>1376</v>
      </c>
      <c r="M974" s="11">
        <f t="shared" si="30"/>
        <v>357</v>
      </c>
      <c r="N974" s="11">
        <f>IF(Table1[[#This Row],[Transaction Type]]="Sale",ABS(E974)*K974,0)</f>
        <v>0</v>
      </c>
      <c r="O974" s="29">
        <f>IF(Table1[[#This Row],[Transaction Type]]="Purchase",E974*J974,0)</f>
        <v>357</v>
      </c>
    </row>
    <row r="975" spans="1:15" x14ac:dyDescent="0.35">
      <c r="A975" s="27" t="s">
        <v>1377</v>
      </c>
      <c r="B975" s="12">
        <v>45946</v>
      </c>
      <c r="C975" s="11" t="s">
        <v>43</v>
      </c>
      <c r="D975" s="11" t="s">
        <v>40</v>
      </c>
      <c r="E975" s="11">
        <v>97</v>
      </c>
      <c r="F975" s="11">
        <f t="shared" si="31"/>
        <v>97</v>
      </c>
      <c r="G975" s="11" t="s">
        <v>14</v>
      </c>
      <c r="H975" s="11" t="s">
        <v>44</v>
      </c>
      <c r="I975" s="11" t="s">
        <v>45</v>
      </c>
      <c r="J975" s="11">
        <v>5.2</v>
      </c>
      <c r="K975" s="11">
        <v>11</v>
      </c>
      <c r="L975" s="11" t="s">
        <v>1378</v>
      </c>
      <c r="M975" s="11">
        <f t="shared" si="30"/>
        <v>504.40000000000003</v>
      </c>
      <c r="N975" s="11">
        <f>IF(Table1[[#This Row],[Transaction Type]]="Sale",ABS(E975)*K975,0)</f>
        <v>0</v>
      </c>
      <c r="O975" s="29">
        <f>IF(Table1[[#This Row],[Transaction Type]]="Purchase",E975*J975,0)</f>
        <v>504.40000000000003</v>
      </c>
    </row>
    <row r="976" spans="1:15" x14ac:dyDescent="0.35">
      <c r="A976" s="27" t="s">
        <v>1379</v>
      </c>
      <c r="B976" s="12">
        <v>45947</v>
      </c>
      <c r="C976" s="11" t="s">
        <v>23</v>
      </c>
      <c r="D976" s="11" t="s">
        <v>13</v>
      </c>
      <c r="E976" s="11">
        <v>-9</v>
      </c>
      <c r="F976" s="11">
        <f t="shared" si="31"/>
        <v>-9</v>
      </c>
      <c r="G976" s="11" t="s">
        <v>14</v>
      </c>
      <c r="H976" s="11" t="s">
        <v>25</v>
      </c>
      <c r="I976" s="11" t="s">
        <v>26</v>
      </c>
      <c r="J976" s="11">
        <v>3</v>
      </c>
      <c r="K976" s="11">
        <v>7</v>
      </c>
      <c r="L976" s="11"/>
      <c r="M976" s="11">
        <f t="shared" si="30"/>
        <v>27</v>
      </c>
      <c r="N976" s="11">
        <f>IF(Table1[[#This Row],[Transaction Type]]="Sale",ABS(E976)*K976,0)</f>
        <v>63</v>
      </c>
      <c r="O976" s="29">
        <f>IF(Table1[[#This Row],[Transaction Type]]="Purchase",E976*J976,0)</f>
        <v>0</v>
      </c>
    </row>
    <row r="977" spans="1:15" x14ac:dyDescent="0.35">
      <c r="A977" s="27" t="s">
        <v>1380</v>
      </c>
      <c r="B977" s="12">
        <v>45947</v>
      </c>
      <c r="C977" s="11" t="s">
        <v>136</v>
      </c>
      <c r="D977" s="11" t="s">
        <v>40</v>
      </c>
      <c r="E977" s="11">
        <v>79</v>
      </c>
      <c r="F977" s="11">
        <f t="shared" si="31"/>
        <v>79</v>
      </c>
      <c r="G977" s="11" t="s">
        <v>24</v>
      </c>
      <c r="H977" s="11" t="s">
        <v>33</v>
      </c>
      <c r="I977" s="11" t="s">
        <v>34</v>
      </c>
      <c r="J977" s="11">
        <v>34</v>
      </c>
      <c r="K977" s="11">
        <v>55</v>
      </c>
      <c r="L977" s="11" t="s">
        <v>1381</v>
      </c>
      <c r="M977" s="11">
        <f t="shared" si="30"/>
        <v>2686</v>
      </c>
      <c r="N977" s="11">
        <f>IF(Table1[[#This Row],[Transaction Type]]="Sale",ABS(E977)*K977,0)</f>
        <v>0</v>
      </c>
      <c r="O977" s="29">
        <f>IF(Table1[[#This Row],[Transaction Type]]="Purchase",E977*J977,0)</f>
        <v>2686</v>
      </c>
    </row>
    <row r="978" spans="1:15" x14ac:dyDescent="0.35">
      <c r="A978" s="27" t="s">
        <v>1382</v>
      </c>
      <c r="B978" s="12">
        <v>45948</v>
      </c>
      <c r="C978" s="11" t="s">
        <v>141</v>
      </c>
      <c r="D978" s="11" t="s">
        <v>40</v>
      </c>
      <c r="E978" s="11">
        <v>66</v>
      </c>
      <c r="F978" s="11">
        <f t="shared" si="31"/>
        <v>66</v>
      </c>
      <c r="G978" s="11" t="s">
        <v>19</v>
      </c>
      <c r="H978" s="11" t="s">
        <v>25</v>
      </c>
      <c r="I978" s="11" t="s">
        <v>26</v>
      </c>
      <c r="J978" s="11">
        <v>4</v>
      </c>
      <c r="K978" s="11">
        <v>9</v>
      </c>
      <c r="L978" s="11" t="s">
        <v>1383</v>
      </c>
      <c r="M978" s="11">
        <f t="shared" si="30"/>
        <v>264</v>
      </c>
      <c r="N978" s="11">
        <f>IF(Table1[[#This Row],[Transaction Type]]="Sale",ABS(E978)*K978,0)</f>
        <v>0</v>
      </c>
      <c r="O978" s="29">
        <f>IF(Table1[[#This Row],[Transaction Type]]="Purchase",E978*J978,0)</f>
        <v>264</v>
      </c>
    </row>
    <row r="979" spans="1:15" x14ac:dyDescent="0.35">
      <c r="A979" s="27" t="s">
        <v>1384</v>
      </c>
      <c r="B979" s="12">
        <v>45948</v>
      </c>
      <c r="C979" s="11" t="s">
        <v>69</v>
      </c>
      <c r="D979" s="11" t="s">
        <v>40</v>
      </c>
      <c r="E979" s="11">
        <v>106</v>
      </c>
      <c r="F979" s="11">
        <f t="shared" si="31"/>
        <v>106</v>
      </c>
      <c r="G979" s="11" t="s">
        <v>14</v>
      </c>
      <c r="H979" s="11" t="s">
        <v>70</v>
      </c>
      <c r="I979" s="11" t="s">
        <v>16</v>
      </c>
      <c r="J979" s="11">
        <v>23</v>
      </c>
      <c r="K979" s="11">
        <v>38</v>
      </c>
      <c r="L979" s="11" t="s">
        <v>1385</v>
      </c>
      <c r="M979" s="11">
        <f t="shared" si="30"/>
        <v>2438</v>
      </c>
      <c r="N979" s="11">
        <f>IF(Table1[[#This Row],[Transaction Type]]="Sale",ABS(E979)*K979,0)</f>
        <v>0</v>
      </c>
      <c r="O979" s="29">
        <f>IF(Table1[[#This Row],[Transaction Type]]="Purchase",E979*J979,0)</f>
        <v>2438</v>
      </c>
    </row>
    <row r="980" spans="1:15" x14ac:dyDescent="0.35">
      <c r="A980" s="27" t="s">
        <v>1386</v>
      </c>
      <c r="B980" s="12">
        <v>45949</v>
      </c>
      <c r="C980" s="11" t="s">
        <v>194</v>
      </c>
      <c r="D980" s="11" t="s">
        <v>13</v>
      </c>
      <c r="E980" s="11">
        <v>-13</v>
      </c>
      <c r="F980" s="11">
        <f t="shared" si="31"/>
        <v>-13</v>
      </c>
      <c r="G980" s="11" t="s">
        <v>24</v>
      </c>
      <c r="H980" s="11" t="s">
        <v>195</v>
      </c>
      <c r="I980" s="11" t="s">
        <v>21</v>
      </c>
      <c r="J980" s="11">
        <v>220</v>
      </c>
      <c r="K980" s="11">
        <v>320</v>
      </c>
      <c r="L980" s="11"/>
      <c r="M980" s="11">
        <f t="shared" si="30"/>
        <v>2860</v>
      </c>
      <c r="N980" s="11">
        <f>IF(Table1[[#This Row],[Transaction Type]]="Sale",ABS(E980)*K980,0)</f>
        <v>4160</v>
      </c>
      <c r="O980" s="29">
        <f>IF(Table1[[#This Row],[Transaction Type]]="Purchase",E980*J980,0)</f>
        <v>0</v>
      </c>
    </row>
    <row r="981" spans="1:15" x14ac:dyDescent="0.35">
      <c r="A981" s="27" t="s">
        <v>1387</v>
      </c>
      <c r="B981" s="12">
        <v>45949</v>
      </c>
      <c r="C981" s="11" t="s">
        <v>87</v>
      </c>
      <c r="D981" s="11" t="s">
        <v>40</v>
      </c>
      <c r="E981" s="11">
        <v>110</v>
      </c>
      <c r="F981" s="11">
        <f t="shared" si="31"/>
        <v>110</v>
      </c>
      <c r="G981" s="11" t="s">
        <v>24</v>
      </c>
      <c r="H981" s="11" t="s">
        <v>88</v>
      </c>
      <c r="I981" s="11" t="s">
        <v>16</v>
      </c>
      <c r="J981" s="11">
        <v>6</v>
      </c>
      <c r="K981" s="11">
        <v>14</v>
      </c>
      <c r="L981" s="11" t="s">
        <v>1388</v>
      </c>
      <c r="M981" s="11">
        <f t="shared" si="30"/>
        <v>660</v>
      </c>
      <c r="N981" s="11">
        <f>IF(Table1[[#This Row],[Transaction Type]]="Sale",ABS(E981)*K981,0)</f>
        <v>0</v>
      </c>
      <c r="O981" s="29">
        <f>IF(Table1[[#This Row],[Transaction Type]]="Purchase",E981*J981,0)</f>
        <v>660</v>
      </c>
    </row>
    <row r="982" spans="1:15" x14ac:dyDescent="0.35">
      <c r="A982" s="27" t="s">
        <v>1389</v>
      </c>
      <c r="B982" s="12">
        <v>45949</v>
      </c>
      <c r="C982" s="11" t="s">
        <v>185</v>
      </c>
      <c r="D982" s="11" t="s">
        <v>40</v>
      </c>
      <c r="E982" s="11">
        <v>49</v>
      </c>
      <c r="F982" s="11">
        <f t="shared" si="31"/>
        <v>49</v>
      </c>
      <c r="G982" s="11" t="s">
        <v>14</v>
      </c>
      <c r="H982" s="11" t="s">
        <v>44</v>
      </c>
      <c r="I982" s="11" t="s">
        <v>45</v>
      </c>
      <c r="J982" s="11">
        <v>63</v>
      </c>
      <c r="K982" s="11">
        <v>95</v>
      </c>
      <c r="L982" s="11" t="s">
        <v>1390</v>
      </c>
      <c r="M982" s="11">
        <f t="shared" si="30"/>
        <v>3087</v>
      </c>
      <c r="N982" s="11">
        <f>IF(Table1[[#This Row],[Transaction Type]]="Sale",ABS(E982)*K982,0)</f>
        <v>0</v>
      </c>
      <c r="O982" s="29">
        <f>IF(Table1[[#This Row],[Transaction Type]]="Purchase",E982*J982,0)</f>
        <v>3087</v>
      </c>
    </row>
    <row r="983" spans="1:15" x14ac:dyDescent="0.35">
      <c r="A983" s="27" t="s">
        <v>1391</v>
      </c>
      <c r="B983" s="12">
        <v>45950</v>
      </c>
      <c r="C983" s="11" t="s">
        <v>136</v>
      </c>
      <c r="D983" s="11" t="s">
        <v>13</v>
      </c>
      <c r="E983" s="11">
        <v>-3</v>
      </c>
      <c r="F983" s="11">
        <f t="shared" si="31"/>
        <v>-3</v>
      </c>
      <c r="G983" s="11" t="s">
        <v>14</v>
      </c>
      <c r="H983" s="11" t="s">
        <v>33</v>
      </c>
      <c r="I983" s="11" t="s">
        <v>34</v>
      </c>
      <c r="J983" s="11">
        <v>34</v>
      </c>
      <c r="K983" s="11">
        <v>55</v>
      </c>
      <c r="L983" s="11"/>
      <c r="M983" s="11">
        <f t="shared" si="30"/>
        <v>102</v>
      </c>
      <c r="N983" s="11">
        <f>IF(Table1[[#This Row],[Transaction Type]]="Sale",ABS(E983)*K983,0)</f>
        <v>165</v>
      </c>
      <c r="O983" s="29">
        <f>IF(Table1[[#This Row],[Transaction Type]]="Purchase",E983*J983,0)</f>
        <v>0</v>
      </c>
    </row>
    <row r="984" spans="1:15" x14ac:dyDescent="0.35">
      <c r="A984" s="27" t="s">
        <v>1392</v>
      </c>
      <c r="B984" s="12">
        <v>45950</v>
      </c>
      <c r="C984" s="11" t="s">
        <v>48</v>
      </c>
      <c r="D984" s="11" t="s">
        <v>40</v>
      </c>
      <c r="E984" s="11">
        <v>114</v>
      </c>
      <c r="F984" s="11">
        <f t="shared" si="31"/>
        <v>114</v>
      </c>
      <c r="G984" s="11" t="s">
        <v>19</v>
      </c>
      <c r="H984" s="11" t="s">
        <v>49</v>
      </c>
      <c r="I984" s="11" t="s">
        <v>21</v>
      </c>
      <c r="J984" s="11">
        <v>8.5</v>
      </c>
      <c r="K984" s="11">
        <v>18</v>
      </c>
      <c r="L984" s="11" t="s">
        <v>1393</v>
      </c>
      <c r="M984" s="11">
        <f t="shared" si="30"/>
        <v>969</v>
      </c>
      <c r="N984" s="11">
        <f>IF(Table1[[#This Row],[Transaction Type]]="Sale",ABS(E984)*K984,0)</f>
        <v>0</v>
      </c>
      <c r="O984" s="29">
        <f>IF(Table1[[#This Row],[Transaction Type]]="Purchase",E984*J984,0)</f>
        <v>969</v>
      </c>
    </row>
    <row r="985" spans="1:15" x14ac:dyDescent="0.35">
      <c r="A985" s="27" t="s">
        <v>1394</v>
      </c>
      <c r="B985" s="12">
        <v>45950</v>
      </c>
      <c r="C985" s="11" t="s">
        <v>60</v>
      </c>
      <c r="D985" s="11" t="s">
        <v>40</v>
      </c>
      <c r="E985" s="11">
        <v>86</v>
      </c>
      <c r="F985" s="11">
        <f t="shared" si="31"/>
        <v>86</v>
      </c>
      <c r="G985" s="11" t="s">
        <v>24</v>
      </c>
      <c r="H985" s="11" t="s">
        <v>61</v>
      </c>
      <c r="I985" s="11" t="s">
        <v>62</v>
      </c>
      <c r="J985" s="11">
        <v>3.4</v>
      </c>
      <c r="K985" s="11">
        <v>8</v>
      </c>
      <c r="L985" s="11" t="s">
        <v>1395</v>
      </c>
      <c r="M985" s="11">
        <f t="shared" si="30"/>
        <v>292.39999999999998</v>
      </c>
      <c r="N985" s="11">
        <f>IF(Table1[[#This Row],[Transaction Type]]="Sale",ABS(E985)*K985,0)</f>
        <v>0</v>
      </c>
      <c r="O985" s="29">
        <f>IF(Table1[[#This Row],[Transaction Type]]="Purchase",E985*J985,0)</f>
        <v>292.39999999999998</v>
      </c>
    </row>
    <row r="986" spans="1:15" x14ac:dyDescent="0.35">
      <c r="A986" s="27" t="s">
        <v>1396</v>
      </c>
      <c r="B986" s="12">
        <v>45951</v>
      </c>
      <c r="C986" s="11" t="s">
        <v>170</v>
      </c>
      <c r="D986" s="11" t="s">
        <v>40</v>
      </c>
      <c r="E986" s="11">
        <v>61</v>
      </c>
      <c r="F986" s="11">
        <f t="shared" si="31"/>
        <v>61</v>
      </c>
      <c r="G986" s="11" t="s">
        <v>24</v>
      </c>
      <c r="H986" s="11" t="s">
        <v>171</v>
      </c>
      <c r="I986" s="11" t="s">
        <v>34</v>
      </c>
      <c r="J986" s="11">
        <v>25</v>
      </c>
      <c r="K986" s="11">
        <v>45</v>
      </c>
      <c r="L986" s="11" t="s">
        <v>1397</v>
      </c>
      <c r="M986" s="11">
        <f t="shared" si="30"/>
        <v>1525</v>
      </c>
      <c r="N986" s="11">
        <f>IF(Table1[[#This Row],[Transaction Type]]="Sale",ABS(E986)*K986,0)</f>
        <v>0</v>
      </c>
      <c r="O986" s="29">
        <f>IF(Table1[[#This Row],[Transaction Type]]="Purchase",E986*J986,0)</f>
        <v>1525</v>
      </c>
    </row>
    <row r="987" spans="1:15" x14ac:dyDescent="0.35">
      <c r="A987" s="27" t="s">
        <v>1398</v>
      </c>
      <c r="B987" s="12">
        <v>45951</v>
      </c>
      <c r="C987" s="11" t="s">
        <v>77</v>
      </c>
      <c r="D987" s="11" t="s">
        <v>13</v>
      </c>
      <c r="E987" s="11">
        <v>-1</v>
      </c>
      <c r="F987" s="11">
        <f t="shared" si="31"/>
        <v>-1</v>
      </c>
      <c r="G987" s="11" t="s">
        <v>24</v>
      </c>
      <c r="H987" s="11" t="s">
        <v>78</v>
      </c>
      <c r="I987" s="11" t="s">
        <v>16</v>
      </c>
      <c r="J987" s="11">
        <v>25</v>
      </c>
      <c r="K987" s="11">
        <v>42</v>
      </c>
      <c r="L987" s="11"/>
      <c r="M987" s="11">
        <f t="shared" si="30"/>
        <v>25</v>
      </c>
      <c r="N987" s="11">
        <f>IF(Table1[[#This Row],[Transaction Type]]="Sale",ABS(E987)*K987,0)</f>
        <v>42</v>
      </c>
      <c r="O987" s="29">
        <f>IF(Table1[[#This Row],[Transaction Type]]="Purchase",E987*J987,0)</f>
        <v>0</v>
      </c>
    </row>
    <row r="988" spans="1:15" x14ac:dyDescent="0.35">
      <c r="A988" s="27" t="s">
        <v>1399</v>
      </c>
      <c r="B988" s="12">
        <v>45951</v>
      </c>
      <c r="C988" s="11" t="s">
        <v>36</v>
      </c>
      <c r="D988" s="11" t="s">
        <v>13</v>
      </c>
      <c r="E988" s="11">
        <v>-8</v>
      </c>
      <c r="F988" s="11">
        <f t="shared" si="31"/>
        <v>-8</v>
      </c>
      <c r="G988" s="11" t="s">
        <v>14</v>
      </c>
      <c r="H988" s="11" t="s">
        <v>37</v>
      </c>
      <c r="I988" s="11" t="s">
        <v>16</v>
      </c>
      <c r="J988" s="11">
        <v>7.2</v>
      </c>
      <c r="K988" s="11">
        <v>12.5</v>
      </c>
      <c r="L988" s="11"/>
      <c r="M988" s="11">
        <f t="shared" si="30"/>
        <v>57.6</v>
      </c>
      <c r="N988" s="11">
        <f>IF(Table1[[#This Row],[Transaction Type]]="Sale",ABS(E988)*K988,0)</f>
        <v>100</v>
      </c>
      <c r="O988" s="29">
        <f>IF(Table1[[#This Row],[Transaction Type]]="Purchase",E988*J988,0)</f>
        <v>0</v>
      </c>
    </row>
    <row r="989" spans="1:15" x14ac:dyDescent="0.35">
      <c r="A989" s="27" t="s">
        <v>1400</v>
      </c>
      <c r="B989" s="12">
        <v>45951</v>
      </c>
      <c r="C989" s="11" t="s">
        <v>141</v>
      </c>
      <c r="D989" s="11" t="s">
        <v>13</v>
      </c>
      <c r="E989" s="11">
        <v>-14</v>
      </c>
      <c r="F989" s="11">
        <f t="shared" si="31"/>
        <v>-14</v>
      </c>
      <c r="G989" s="11" t="s">
        <v>14</v>
      </c>
      <c r="H989" s="11" t="s">
        <v>25</v>
      </c>
      <c r="I989" s="11" t="s">
        <v>26</v>
      </c>
      <c r="J989" s="11">
        <v>4</v>
      </c>
      <c r="K989" s="11">
        <v>9</v>
      </c>
      <c r="L989" s="11"/>
      <c r="M989" s="11">
        <f t="shared" si="30"/>
        <v>56</v>
      </c>
      <c r="N989" s="11">
        <f>IF(Table1[[#This Row],[Transaction Type]]="Sale",ABS(E989)*K989,0)</f>
        <v>126</v>
      </c>
      <c r="O989" s="29">
        <f>IF(Table1[[#This Row],[Transaction Type]]="Purchase",E989*J989,0)</f>
        <v>0</v>
      </c>
    </row>
    <row r="990" spans="1:15" x14ac:dyDescent="0.35">
      <c r="A990" s="27" t="s">
        <v>1401</v>
      </c>
      <c r="B990" s="12">
        <v>45952</v>
      </c>
      <c r="C990" s="11" t="s">
        <v>23</v>
      </c>
      <c r="D990" s="11" t="s">
        <v>40</v>
      </c>
      <c r="E990" s="11">
        <v>44</v>
      </c>
      <c r="F990" s="11">
        <f t="shared" si="31"/>
        <v>44</v>
      </c>
      <c r="G990" s="11" t="s">
        <v>14</v>
      </c>
      <c r="H990" s="11" t="s">
        <v>25</v>
      </c>
      <c r="I990" s="11" t="s">
        <v>26</v>
      </c>
      <c r="J990" s="11">
        <v>3</v>
      </c>
      <c r="K990" s="11">
        <v>7</v>
      </c>
      <c r="L990" s="11" t="s">
        <v>1402</v>
      </c>
      <c r="M990" s="11">
        <f t="shared" si="30"/>
        <v>132</v>
      </c>
      <c r="N990" s="11">
        <f>IF(Table1[[#This Row],[Transaction Type]]="Sale",ABS(E990)*K990,0)</f>
        <v>0</v>
      </c>
      <c r="O990" s="29">
        <f>IF(Table1[[#This Row],[Transaction Type]]="Purchase",E990*J990,0)</f>
        <v>132</v>
      </c>
    </row>
    <row r="991" spans="1:15" x14ac:dyDescent="0.35">
      <c r="A991" s="27" t="s">
        <v>1403</v>
      </c>
      <c r="B991" s="12">
        <v>45952</v>
      </c>
      <c r="C991" s="11" t="s">
        <v>65</v>
      </c>
      <c r="D991" s="11" t="s">
        <v>13</v>
      </c>
      <c r="E991" s="11">
        <v>-13</v>
      </c>
      <c r="F991" s="11">
        <f t="shared" si="31"/>
        <v>-13</v>
      </c>
      <c r="G991" s="11" t="s">
        <v>24</v>
      </c>
      <c r="H991" s="11" t="s">
        <v>67</v>
      </c>
      <c r="I991" s="11" t="s">
        <v>21</v>
      </c>
      <c r="J991" s="11">
        <v>11</v>
      </c>
      <c r="K991" s="11">
        <v>22</v>
      </c>
      <c r="L991" s="11"/>
      <c r="M991" s="11">
        <f t="shared" si="30"/>
        <v>143</v>
      </c>
      <c r="N991" s="11">
        <f>IF(Table1[[#This Row],[Transaction Type]]="Sale",ABS(E991)*K991,0)</f>
        <v>286</v>
      </c>
      <c r="O991" s="29">
        <f>IF(Table1[[#This Row],[Transaction Type]]="Purchase",E991*J991,0)</f>
        <v>0</v>
      </c>
    </row>
    <row r="992" spans="1:15" x14ac:dyDescent="0.35">
      <c r="A992" s="27" t="s">
        <v>1404</v>
      </c>
      <c r="B992" s="12">
        <v>45953</v>
      </c>
      <c r="C992" s="11" t="s">
        <v>73</v>
      </c>
      <c r="D992" s="11" t="s">
        <v>40</v>
      </c>
      <c r="E992" s="11">
        <v>78</v>
      </c>
      <c r="F992" s="11">
        <f t="shared" si="31"/>
        <v>78</v>
      </c>
      <c r="G992" s="11" t="s">
        <v>14</v>
      </c>
      <c r="H992" s="11" t="s">
        <v>74</v>
      </c>
      <c r="I992" s="11" t="s">
        <v>75</v>
      </c>
      <c r="J992" s="11">
        <v>30</v>
      </c>
      <c r="K992" s="11">
        <v>48</v>
      </c>
      <c r="L992" s="11" t="s">
        <v>1405</v>
      </c>
      <c r="M992" s="11">
        <f t="shared" si="30"/>
        <v>2340</v>
      </c>
      <c r="N992" s="11">
        <f>IF(Table1[[#This Row],[Transaction Type]]="Sale",ABS(E992)*K992,0)</f>
        <v>0</v>
      </c>
      <c r="O992" s="29">
        <f>IF(Table1[[#This Row],[Transaction Type]]="Purchase",E992*J992,0)</f>
        <v>2340</v>
      </c>
    </row>
    <row r="993" spans="1:15" x14ac:dyDescent="0.35">
      <c r="A993" s="27" t="s">
        <v>1406</v>
      </c>
      <c r="B993" s="12">
        <v>45953</v>
      </c>
      <c r="C993" s="11" t="s">
        <v>55</v>
      </c>
      <c r="D993" s="11" t="s">
        <v>58</v>
      </c>
      <c r="E993" s="11">
        <v>-15</v>
      </c>
      <c r="F993" s="11">
        <f t="shared" si="31"/>
        <v>-15</v>
      </c>
      <c r="G993" s="11" t="s">
        <v>24</v>
      </c>
      <c r="H993" s="11" t="s">
        <v>56</v>
      </c>
      <c r="I993" s="11" t="s">
        <v>16</v>
      </c>
      <c r="J993" s="11">
        <v>4.2</v>
      </c>
      <c r="K993" s="11">
        <v>10</v>
      </c>
      <c r="L993" s="11"/>
      <c r="M993" s="11">
        <f t="shared" si="30"/>
        <v>63</v>
      </c>
      <c r="N993" s="11">
        <f>IF(Table1[[#This Row],[Transaction Type]]="Sale",ABS(E993)*K993,0)</f>
        <v>0</v>
      </c>
      <c r="O993" s="29">
        <f>IF(Table1[[#This Row],[Transaction Type]]="Purchase",E993*J993,0)</f>
        <v>0</v>
      </c>
    </row>
    <row r="994" spans="1:15" x14ac:dyDescent="0.35">
      <c r="A994" s="27" t="s">
        <v>1407</v>
      </c>
      <c r="B994" s="12">
        <v>45953</v>
      </c>
      <c r="C994" s="11" t="s">
        <v>141</v>
      </c>
      <c r="D994" s="11" t="s">
        <v>40</v>
      </c>
      <c r="E994" s="11">
        <v>99</v>
      </c>
      <c r="F994" s="11">
        <f t="shared" si="31"/>
        <v>99</v>
      </c>
      <c r="G994" s="11" t="s">
        <v>19</v>
      </c>
      <c r="H994" s="11" t="s">
        <v>25</v>
      </c>
      <c r="I994" s="11" t="s">
        <v>26</v>
      </c>
      <c r="J994" s="11">
        <v>4</v>
      </c>
      <c r="K994" s="11">
        <v>9</v>
      </c>
      <c r="L994" s="11" t="s">
        <v>1408</v>
      </c>
      <c r="M994" s="11">
        <f t="shared" si="30"/>
        <v>396</v>
      </c>
      <c r="N994" s="11">
        <f>IF(Table1[[#This Row],[Transaction Type]]="Sale",ABS(E994)*K994,0)</f>
        <v>0</v>
      </c>
      <c r="O994" s="29">
        <f>IF(Table1[[#This Row],[Transaction Type]]="Purchase",E994*J994,0)</f>
        <v>396</v>
      </c>
    </row>
    <row r="995" spans="1:15" x14ac:dyDescent="0.35">
      <c r="A995" s="27" t="s">
        <v>1409</v>
      </c>
      <c r="B995" s="12">
        <v>45954</v>
      </c>
      <c r="C995" s="11" t="s">
        <v>36</v>
      </c>
      <c r="D995" s="11" t="s">
        <v>13</v>
      </c>
      <c r="E995" s="11">
        <v>-13</v>
      </c>
      <c r="F995" s="11">
        <f t="shared" si="31"/>
        <v>-13</v>
      </c>
      <c r="G995" s="11" t="s">
        <v>24</v>
      </c>
      <c r="H995" s="11" t="s">
        <v>37</v>
      </c>
      <c r="I995" s="11" t="s">
        <v>16</v>
      </c>
      <c r="J995" s="11">
        <v>7.2</v>
      </c>
      <c r="K995" s="11">
        <v>12.5</v>
      </c>
      <c r="L995" s="11"/>
      <c r="M995" s="11">
        <f t="shared" si="30"/>
        <v>93.600000000000009</v>
      </c>
      <c r="N995" s="11">
        <f>IF(Table1[[#This Row],[Transaction Type]]="Sale",ABS(E995)*K995,0)</f>
        <v>162.5</v>
      </c>
      <c r="O995" s="29">
        <f>IF(Table1[[#This Row],[Transaction Type]]="Purchase",E995*J995,0)</f>
        <v>0</v>
      </c>
    </row>
    <row r="996" spans="1:15" x14ac:dyDescent="0.35">
      <c r="A996" s="27" t="s">
        <v>1410</v>
      </c>
      <c r="B996" s="12">
        <v>45954</v>
      </c>
      <c r="C996" s="11" t="s">
        <v>32</v>
      </c>
      <c r="D996" s="11" t="s">
        <v>13</v>
      </c>
      <c r="E996" s="11">
        <v>-1</v>
      </c>
      <c r="F996" s="11">
        <f t="shared" si="31"/>
        <v>-1</v>
      </c>
      <c r="G996" s="11" t="s">
        <v>24</v>
      </c>
      <c r="H996" s="11" t="s">
        <v>33</v>
      </c>
      <c r="I996" s="11" t="s">
        <v>34</v>
      </c>
      <c r="J996" s="11">
        <v>20</v>
      </c>
      <c r="K996" s="11">
        <v>35</v>
      </c>
      <c r="L996" s="11"/>
      <c r="M996" s="11">
        <f t="shared" si="30"/>
        <v>20</v>
      </c>
      <c r="N996" s="11">
        <f>IF(Table1[[#This Row],[Transaction Type]]="Sale",ABS(E996)*K996,0)</f>
        <v>35</v>
      </c>
      <c r="O996" s="29">
        <f>IF(Table1[[#This Row],[Transaction Type]]="Purchase",E996*J996,0)</f>
        <v>0</v>
      </c>
    </row>
    <row r="997" spans="1:15" x14ac:dyDescent="0.35">
      <c r="A997" s="27" t="s">
        <v>1411</v>
      </c>
      <c r="B997" s="12">
        <v>45954</v>
      </c>
      <c r="C997" s="11" t="s">
        <v>136</v>
      </c>
      <c r="D997" s="11" t="s">
        <v>13</v>
      </c>
      <c r="E997" s="11">
        <v>-7</v>
      </c>
      <c r="F997" s="11">
        <f t="shared" si="31"/>
        <v>-7</v>
      </c>
      <c r="G997" s="11" t="s">
        <v>19</v>
      </c>
      <c r="H997" s="11" t="s">
        <v>33</v>
      </c>
      <c r="I997" s="11" t="s">
        <v>34</v>
      </c>
      <c r="J997" s="11">
        <v>34</v>
      </c>
      <c r="K997" s="11">
        <v>55</v>
      </c>
      <c r="L997" s="11"/>
      <c r="M997" s="11">
        <f t="shared" si="30"/>
        <v>238</v>
      </c>
      <c r="N997" s="11">
        <f>IF(Table1[[#This Row],[Transaction Type]]="Sale",ABS(E997)*K997,0)</f>
        <v>385</v>
      </c>
      <c r="O997" s="29">
        <f>IF(Table1[[#This Row],[Transaction Type]]="Purchase",E997*J997,0)</f>
        <v>0</v>
      </c>
    </row>
    <row r="998" spans="1:15" x14ac:dyDescent="0.35">
      <c r="A998" s="27" t="s">
        <v>1412</v>
      </c>
      <c r="B998" s="12">
        <v>45954</v>
      </c>
      <c r="C998" s="11" t="s">
        <v>81</v>
      </c>
      <c r="D998" s="11" t="s">
        <v>58</v>
      </c>
      <c r="E998" s="11">
        <v>-7</v>
      </c>
      <c r="F998" s="11">
        <f t="shared" si="31"/>
        <v>-7</v>
      </c>
      <c r="G998" s="11" t="s">
        <v>14</v>
      </c>
      <c r="H998" s="11" t="s">
        <v>30</v>
      </c>
      <c r="I998" s="11" t="s">
        <v>16</v>
      </c>
      <c r="J998" s="11">
        <v>8</v>
      </c>
      <c r="K998" s="11">
        <v>15</v>
      </c>
      <c r="L998" s="11"/>
      <c r="M998" s="11">
        <f t="shared" si="30"/>
        <v>56</v>
      </c>
      <c r="N998" s="11">
        <f>IF(Table1[[#This Row],[Transaction Type]]="Sale",ABS(E998)*K998,0)</f>
        <v>0</v>
      </c>
      <c r="O998" s="29">
        <f>IF(Table1[[#This Row],[Transaction Type]]="Purchase",E998*J998,0)</f>
        <v>0</v>
      </c>
    </row>
    <row r="999" spans="1:15" x14ac:dyDescent="0.35">
      <c r="A999" s="27" t="s">
        <v>1413</v>
      </c>
      <c r="B999" s="12">
        <v>45955</v>
      </c>
      <c r="C999" s="11" t="s">
        <v>141</v>
      </c>
      <c r="D999" s="11" t="s">
        <v>13</v>
      </c>
      <c r="E999" s="11">
        <v>-3</v>
      </c>
      <c r="F999" s="11">
        <f t="shared" si="31"/>
        <v>-3</v>
      </c>
      <c r="G999" s="11" t="s">
        <v>14</v>
      </c>
      <c r="H999" s="11" t="s">
        <v>25</v>
      </c>
      <c r="I999" s="11" t="s">
        <v>26</v>
      </c>
      <c r="J999" s="11">
        <v>4</v>
      </c>
      <c r="K999" s="11">
        <v>9</v>
      </c>
      <c r="L999" s="11"/>
      <c r="M999" s="11">
        <f t="shared" si="30"/>
        <v>12</v>
      </c>
      <c r="N999" s="11">
        <f>IF(Table1[[#This Row],[Transaction Type]]="Sale",ABS(E999)*K999,0)</f>
        <v>27</v>
      </c>
      <c r="O999" s="29">
        <f>IF(Table1[[#This Row],[Transaction Type]]="Purchase",E999*J999,0)</f>
        <v>0</v>
      </c>
    </row>
    <row r="1000" spans="1:15" x14ac:dyDescent="0.35">
      <c r="A1000" s="27" t="s">
        <v>1414</v>
      </c>
      <c r="B1000" s="12">
        <v>45955</v>
      </c>
      <c r="C1000" s="11" t="s">
        <v>18</v>
      </c>
      <c r="D1000" s="11" t="s">
        <v>13</v>
      </c>
      <c r="E1000" s="11">
        <v>-13</v>
      </c>
      <c r="F1000" s="11">
        <f t="shared" si="31"/>
        <v>-13</v>
      </c>
      <c r="G1000" s="11" t="s">
        <v>19</v>
      </c>
      <c r="H1000" s="11" t="s">
        <v>20</v>
      </c>
      <c r="I1000" s="11" t="s">
        <v>21</v>
      </c>
      <c r="J1000" s="11">
        <v>2.6</v>
      </c>
      <c r="K1000" s="11">
        <v>5.5</v>
      </c>
      <c r="L1000" s="11"/>
      <c r="M1000" s="11">
        <f t="shared" si="30"/>
        <v>33.800000000000004</v>
      </c>
      <c r="N1000" s="11">
        <f>IF(Table1[[#This Row],[Transaction Type]]="Sale",ABS(E1000)*K1000,0)</f>
        <v>71.5</v>
      </c>
      <c r="O1000" s="29">
        <f>IF(Table1[[#This Row],[Transaction Type]]="Purchase",E1000*J1000,0)</f>
        <v>0</v>
      </c>
    </row>
    <row r="1001" spans="1:15" x14ac:dyDescent="0.35">
      <c r="A1001" s="27" t="s">
        <v>1415</v>
      </c>
      <c r="B1001" s="12">
        <v>45955</v>
      </c>
      <c r="C1001" s="11" t="s">
        <v>94</v>
      </c>
      <c r="D1001" s="11" t="s">
        <v>13</v>
      </c>
      <c r="E1001" s="11">
        <v>-7</v>
      </c>
      <c r="F1001" s="11">
        <f t="shared" si="31"/>
        <v>-7</v>
      </c>
      <c r="G1001" s="11" t="s">
        <v>14</v>
      </c>
      <c r="H1001" s="11" t="s">
        <v>95</v>
      </c>
      <c r="I1001" s="11" t="s">
        <v>16</v>
      </c>
      <c r="J1001" s="11">
        <v>18.5</v>
      </c>
      <c r="K1001" s="11">
        <v>31</v>
      </c>
      <c r="L1001" s="11"/>
      <c r="M1001" s="11">
        <f t="shared" si="30"/>
        <v>129.5</v>
      </c>
      <c r="N1001" s="11">
        <f>IF(Table1[[#This Row],[Transaction Type]]="Sale",ABS(E1001)*K1001,0)</f>
        <v>217</v>
      </c>
      <c r="O1001" s="29">
        <f>IF(Table1[[#This Row],[Transaction Type]]="Purchase",E1001*J1001,0)</f>
        <v>0</v>
      </c>
    </row>
    <row r="1002" spans="1:15" x14ac:dyDescent="0.35">
      <c r="A1002" s="27" t="s">
        <v>1416</v>
      </c>
      <c r="B1002" s="12">
        <v>45956</v>
      </c>
      <c r="C1002" s="11" t="s">
        <v>18</v>
      </c>
      <c r="D1002" s="11" t="s">
        <v>66</v>
      </c>
      <c r="E1002" s="11">
        <v>3</v>
      </c>
      <c r="F1002" s="11">
        <f t="shared" si="31"/>
        <v>3</v>
      </c>
      <c r="G1002" s="11" t="s">
        <v>14</v>
      </c>
      <c r="H1002" s="11" t="s">
        <v>20</v>
      </c>
      <c r="I1002" s="11" t="s">
        <v>21</v>
      </c>
      <c r="J1002" s="11">
        <v>2.6</v>
      </c>
      <c r="K1002" s="11">
        <v>5.5</v>
      </c>
      <c r="L1002" s="11"/>
      <c r="M1002" s="11">
        <f t="shared" si="30"/>
        <v>7.8000000000000007</v>
      </c>
      <c r="N1002" s="11">
        <f>IF(Table1[[#This Row],[Transaction Type]]="Sale",ABS(E1002)*K1002,0)</f>
        <v>0</v>
      </c>
      <c r="O1002" s="29">
        <f>IF(Table1[[#This Row],[Transaction Type]]="Purchase",E1002*J1002,0)</f>
        <v>0</v>
      </c>
    </row>
    <row r="1003" spans="1:15" x14ac:dyDescent="0.35">
      <c r="A1003" s="27" t="s">
        <v>1417</v>
      </c>
      <c r="B1003" s="12">
        <v>45956</v>
      </c>
      <c r="C1003" s="11" t="s">
        <v>29</v>
      </c>
      <c r="D1003" s="11" t="s">
        <v>13</v>
      </c>
      <c r="E1003" s="11">
        <v>-6</v>
      </c>
      <c r="F1003" s="11">
        <f t="shared" si="31"/>
        <v>-6</v>
      </c>
      <c r="G1003" s="11" t="s">
        <v>14</v>
      </c>
      <c r="H1003" s="11" t="s">
        <v>30</v>
      </c>
      <c r="I1003" s="11" t="s">
        <v>16</v>
      </c>
      <c r="J1003" s="11">
        <v>8.8000000000000007</v>
      </c>
      <c r="K1003" s="11">
        <v>17</v>
      </c>
      <c r="L1003" s="11"/>
      <c r="M1003" s="11">
        <f t="shared" si="30"/>
        <v>52.800000000000004</v>
      </c>
      <c r="N1003" s="11">
        <f>IF(Table1[[#This Row],[Transaction Type]]="Sale",ABS(E1003)*K1003,0)</f>
        <v>102</v>
      </c>
      <c r="O1003" s="29">
        <f>IF(Table1[[#This Row],[Transaction Type]]="Purchase",E1003*J1003,0)</f>
        <v>0</v>
      </c>
    </row>
    <row r="1004" spans="1:15" x14ac:dyDescent="0.35">
      <c r="A1004" s="27" t="s">
        <v>1418</v>
      </c>
      <c r="B1004" s="12">
        <v>45956</v>
      </c>
      <c r="C1004" s="11" t="s">
        <v>94</v>
      </c>
      <c r="D1004" s="11" t="s">
        <v>13</v>
      </c>
      <c r="E1004" s="11">
        <v>-4</v>
      </c>
      <c r="F1004" s="11">
        <f t="shared" si="31"/>
        <v>-4</v>
      </c>
      <c r="G1004" s="11" t="s">
        <v>14</v>
      </c>
      <c r="H1004" s="11" t="s">
        <v>95</v>
      </c>
      <c r="I1004" s="11" t="s">
        <v>16</v>
      </c>
      <c r="J1004" s="11">
        <v>18.5</v>
      </c>
      <c r="K1004" s="11">
        <v>31</v>
      </c>
      <c r="L1004" s="11"/>
      <c r="M1004" s="11">
        <f t="shared" si="30"/>
        <v>74</v>
      </c>
      <c r="N1004" s="11">
        <f>IF(Table1[[#This Row],[Transaction Type]]="Sale",ABS(E1004)*K1004,0)</f>
        <v>124</v>
      </c>
      <c r="O1004" s="29">
        <f>IF(Table1[[#This Row],[Transaction Type]]="Purchase",E1004*J1004,0)</f>
        <v>0</v>
      </c>
    </row>
    <row r="1005" spans="1:15" x14ac:dyDescent="0.35">
      <c r="A1005" s="27" t="s">
        <v>1419</v>
      </c>
      <c r="B1005" s="12">
        <v>45957</v>
      </c>
      <c r="C1005" s="11" t="s">
        <v>94</v>
      </c>
      <c r="D1005" s="11" t="s">
        <v>40</v>
      </c>
      <c r="E1005" s="11">
        <v>55</v>
      </c>
      <c r="F1005" s="11">
        <f t="shared" si="31"/>
        <v>55</v>
      </c>
      <c r="G1005" s="11" t="s">
        <v>19</v>
      </c>
      <c r="H1005" s="11" t="s">
        <v>95</v>
      </c>
      <c r="I1005" s="11" t="s">
        <v>16</v>
      </c>
      <c r="J1005" s="11">
        <v>18.5</v>
      </c>
      <c r="K1005" s="11">
        <v>31</v>
      </c>
      <c r="L1005" s="11" t="s">
        <v>1420</v>
      </c>
      <c r="M1005" s="11">
        <f t="shared" si="30"/>
        <v>1017.5</v>
      </c>
      <c r="N1005" s="11">
        <f>IF(Table1[[#This Row],[Transaction Type]]="Sale",ABS(E1005)*K1005,0)</f>
        <v>0</v>
      </c>
      <c r="O1005" s="29">
        <f>IF(Table1[[#This Row],[Transaction Type]]="Purchase",E1005*J1005,0)</f>
        <v>1017.5</v>
      </c>
    </row>
    <row r="1006" spans="1:15" x14ac:dyDescent="0.35">
      <c r="A1006" s="27" t="s">
        <v>1421</v>
      </c>
      <c r="B1006" s="12">
        <v>45957</v>
      </c>
      <c r="C1006" s="11" t="s">
        <v>109</v>
      </c>
      <c r="D1006" s="11" t="s">
        <v>13</v>
      </c>
      <c r="E1006" s="11">
        <v>-8</v>
      </c>
      <c r="F1006" s="11">
        <f t="shared" si="31"/>
        <v>-8</v>
      </c>
      <c r="G1006" s="11" t="s">
        <v>14</v>
      </c>
      <c r="H1006" s="11" t="s">
        <v>110</v>
      </c>
      <c r="I1006" s="11" t="s">
        <v>26</v>
      </c>
      <c r="J1006" s="11">
        <v>105</v>
      </c>
      <c r="K1006" s="11">
        <v>165</v>
      </c>
      <c r="L1006" s="11"/>
      <c r="M1006" s="11">
        <f t="shared" si="30"/>
        <v>840</v>
      </c>
      <c r="N1006" s="11">
        <f>IF(Table1[[#This Row],[Transaction Type]]="Sale",ABS(E1006)*K1006,0)</f>
        <v>1320</v>
      </c>
      <c r="O1006" s="29">
        <f>IF(Table1[[#This Row],[Transaction Type]]="Purchase",E1006*J1006,0)</f>
        <v>0</v>
      </c>
    </row>
    <row r="1007" spans="1:15" x14ac:dyDescent="0.35">
      <c r="A1007" s="27" t="s">
        <v>1422</v>
      </c>
      <c r="B1007" s="12">
        <v>45957</v>
      </c>
      <c r="C1007" s="11" t="s">
        <v>65</v>
      </c>
      <c r="D1007" s="11" t="s">
        <v>13</v>
      </c>
      <c r="E1007" s="11">
        <v>-2</v>
      </c>
      <c r="F1007" s="11">
        <f t="shared" si="31"/>
        <v>-2</v>
      </c>
      <c r="G1007" s="11" t="s">
        <v>19</v>
      </c>
      <c r="H1007" s="11" t="s">
        <v>67</v>
      </c>
      <c r="I1007" s="11" t="s">
        <v>21</v>
      </c>
      <c r="J1007" s="11">
        <v>11</v>
      </c>
      <c r="K1007" s="11">
        <v>22</v>
      </c>
      <c r="L1007" s="11"/>
      <c r="M1007" s="11">
        <f t="shared" si="30"/>
        <v>22</v>
      </c>
      <c r="N1007" s="11">
        <f>IF(Table1[[#This Row],[Transaction Type]]="Sale",ABS(E1007)*K1007,0)</f>
        <v>44</v>
      </c>
      <c r="O1007" s="29">
        <f>IF(Table1[[#This Row],[Transaction Type]]="Purchase",E1007*J1007,0)</f>
        <v>0</v>
      </c>
    </row>
    <row r="1008" spans="1:15" x14ac:dyDescent="0.35">
      <c r="A1008" s="27" t="s">
        <v>1423</v>
      </c>
      <c r="B1008" s="12">
        <v>45957</v>
      </c>
      <c r="C1008" s="11" t="s">
        <v>12</v>
      </c>
      <c r="D1008" s="11" t="s">
        <v>13</v>
      </c>
      <c r="E1008" s="11">
        <v>-14</v>
      </c>
      <c r="F1008" s="11">
        <f t="shared" si="31"/>
        <v>-14</v>
      </c>
      <c r="G1008" s="11" t="s">
        <v>14</v>
      </c>
      <c r="H1008" s="11" t="s">
        <v>15</v>
      </c>
      <c r="I1008" s="11" t="s">
        <v>16</v>
      </c>
      <c r="J1008" s="11">
        <v>13.5</v>
      </c>
      <c r="K1008" s="11">
        <v>24</v>
      </c>
      <c r="L1008" s="11"/>
      <c r="M1008" s="11">
        <f t="shared" si="30"/>
        <v>189</v>
      </c>
      <c r="N1008" s="11">
        <f>IF(Table1[[#This Row],[Transaction Type]]="Sale",ABS(E1008)*K1008,0)</f>
        <v>336</v>
      </c>
      <c r="O1008" s="29">
        <f>IF(Table1[[#This Row],[Transaction Type]]="Purchase",E1008*J1008,0)</f>
        <v>0</v>
      </c>
    </row>
    <row r="1009" spans="1:15" x14ac:dyDescent="0.35">
      <c r="A1009" s="27" t="s">
        <v>1424</v>
      </c>
      <c r="B1009" s="12">
        <v>45958</v>
      </c>
      <c r="C1009" s="11" t="s">
        <v>60</v>
      </c>
      <c r="D1009" s="11" t="s">
        <v>40</v>
      </c>
      <c r="E1009" s="11">
        <v>63</v>
      </c>
      <c r="F1009" s="11">
        <f t="shared" si="31"/>
        <v>63</v>
      </c>
      <c r="G1009" s="11" t="s">
        <v>24</v>
      </c>
      <c r="H1009" s="11" t="s">
        <v>61</v>
      </c>
      <c r="I1009" s="11" t="s">
        <v>62</v>
      </c>
      <c r="J1009" s="11">
        <v>3.4</v>
      </c>
      <c r="K1009" s="11">
        <v>8</v>
      </c>
      <c r="L1009" s="11" t="s">
        <v>1425</v>
      </c>
      <c r="M1009" s="11">
        <f t="shared" si="30"/>
        <v>214.2</v>
      </c>
      <c r="N1009" s="11">
        <f>IF(Table1[[#This Row],[Transaction Type]]="Sale",ABS(E1009)*K1009,0)</f>
        <v>0</v>
      </c>
      <c r="O1009" s="29">
        <f>IF(Table1[[#This Row],[Transaction Type]]="Purchase",E1009*J1009,0)</f>
        <v>214.2</v>
      </c>
    </row>
    <row r="1010" spans="1:15" x14ac:dyDescent="0.35">
      <c r="A1010" s="27" t="s">
        <v>1426</v>
      </c>
      <c r="B1010" s="12">
        <v>45958</v>
      </c>
      <c r="C1010" s="11" t="s">
        <v>98</v>
      </c>
      <c r="D1010" s="11" t="s">
        <v>13</v>
      </c>
      <c r="E1010" s="11">
        <v>-7</v>
      </c>
      <c r="F1010" s="11">
        <f t="shared" si="31"/>
        <v>-7</v>
      </c>
      <c r="G1010" s="11" t="s">
        <v>24</v>
      </c>
      <c r="H1010" s="11" t="s">
        <v>30</v>
      </c>
      <c r="I1010" s="11" t="s">
        <v>16</v>
      </c>
      <c r="J1010" s="11">
        <v>16</v>
      </c>
      <c r="K1010" s="11">
        <v>29</v>
      </c>
      <c r="L1010" s="11"/>
      <c r="M1010" s="11">
        <f t="shared" si="30"/>
        <v>112</v>
      </c>
      <c r="N1010" s="11">
        <f>IF(Table1[[#This Row],[Transaction Type]]="Sale",ABS(E1010)*K1010,0)</f>
        <v>203</v>
      </c>
      <c r="O1010" s="29">
        <f>IF(Table1[[#This Row],[Transaction Type]]="Purchase",E1010*J1010,0)</f>
        <v>0</v>
      </c>
    </row>
    <row r="1011" spans="1:15" x14ac:dyDescent="0.35">
      <c r="A1011" s="27" t="s">
        <v>1427</v>
      </c>
      <c r="B1011" s="12">
        <v>45959</v>
      </c>
      <c r="C1011" s="11" t="s">
        <v>170</v>
      </c>
      <c r="D1011" s="11" t="s">
        <v>40</v>
      </c>
      <c r="E1011" s="11">
        <v>44</v>
      </c>
      <c r="F1011" s="11">
        <f t="shared" si="31"/>
        <v>44</v>
      </c>
      <c r="G1011" s="11" t="s">
        <v>14</v>
      </c>
      <c r="H1011" s="11" t="s">
        <v>171</v>
      </c>
      <c r="I1011" s="11" t="s">
        <v>34</v>
      </c>
      <c r="J1011" s="11">
        <v>25</v>
      </c>
      <c r="K1011" s="11">
        <v>45</v>
      </c>
      <c r="L1011" s="11" t="s">
        <v>1428</v>
      </c>
      <c r="M1011" s="11">
        <f t="shared" si="30"/>
        <v>1100</v>
      </c>
      <c r="N1011" s="11">
        <f>IF(Table1[[#This Row],[Transaction Type]]="Sale",ABS(E1011)*K1011,0)</f>
        <v>0</v>
      </c>
      <c r="O1011" s="29">
        <f>IF(Table1[[#This Row],[Transaction Type]]="Purchase",E1011*J1011,0)</f>
        <v>1100</v>
      </c>
    </row>
    <row r="1012" spans="1:15" x14ac:dyDescent="0.35">
      <c r="A1012" s="27" t="s">
        <v>1429</v>
      </c>
      <c r="B1012" s="12">
        <v>45959</v>
      </c>
      <c r="C1012" s="11" t="s">
        <v>94</v>
      </c>
      <c r="D1012" s="11" t="s">
        <v>13</v>
      </c>
      <c r="E1012" s="11">
        <v>-8</v>
      </c>
      <c r="F1012" s="11">
        <f t="shared" si="31"/>
        <v>-8</v>
      </c>
      <c r="G1012" s="11" t="s">
        <v>14</v>
      </c>
      <c r="H1012" s="11" t="s">
        <v>95</v>
      </c>
      <c r="I1012" s="11" t="s">
        <v>16</v>
      </c>
      <c r="J1012" s="11">
        <v>18.5</v>
      </c>
      <c r="K1012" s="11">
        <v>31</v>
      </c>
      <c r="L1012" s="11"/>
      <c r="M1012" s="11">
        <f t="shared" si="30"/>
        <v>148</v>
      </c>
      <c r="N1012" s="11">
        <f>IF(Table1[[#This Row],[Transaction Type]]="Sale",ABS(E1012)*K1012,0)</f>
        <v>248</v>
      </c>
      <c r="O1012" s="29">
        <f>IF(Table1[[#This Row],[Transaction Type]]="Purchase",E1012*J1012,0)</f>
        <v>0</v>
      </c>
    </row>
    <row r="1013" spans="1:15" x14ac:dyDescent="0.35">
      <c r="A1013" s="27" t="s">
        <v>1430</v>
      </c>
      <c r="B1013" s="12">
        <v>45959</v>
      </c>
      <c r="C1013" s="11" t="s">
        <v>87</v>
      </c>
      <c r="D1013" s="11" t="s">
        <v>13</v>
      </c>
      <c r="E1013" s="11">
        <v>-11</v>
      </c>
      <c r="F1013" s="11">
        <f t="shared" si="31"/>
        <v>-11</v>
      </c>
      <c r="G1013" s="11" t="s">
        <v>24</v>
      </c>
      <c r="H1013" s="11" t="s">
        <v>88</v>
      </c>
      <c r="I1013" s="11" t="s">
        <v>16</v>
      </c>
      <c r="J1013" s="11">
        <v>6</v>
      </c>
      <c r="K1013" s="11">
        <v>14</v>
      </c>
      <c r="L1013" s="11"/>
      <c r="M1013" s="11">
        <f t="shared" si="30"/>
        <v>66</v>
      </c>
      <c r="N1013" s="11">
        <f>IF(Table1[[#This Row],[Transaction Type]]="Sale",ABS(E1013)*K1013,0)</f>
        <v>154</v>
      </c>
      <c r="O1013" s="29">
        <f>IF(Table1[[#This Row],[Transaction Type]]="Purchase",E1013*J1013,0)</f>
        <v>0</v>
      </c>
    </row>
    <row r="1014" spans="1:15" x14ac:dyDescent="0.35">
      <c r="A1014" s="27" t="s">
        <v>1431</v>
      </c>
      <c r="B1014" s="12">
        <v>45959</v>
      </c>
      <c r="C1014" s="11" t="s">
        <v>52</v>
      </c>
      <c r="D1014" s="11" t="s">
        <v>13</v>
      </c>
      <c r="E1014" s="11">
        <v>-15</v>
      </c>
      <c r="F1014" s="11">
        <f t="shared" si="31"/>
        <v>-15</v>
      </c>
      <c r="G1014" s="11" t="s">
        <v>14</v>
      </c>
      <c r="H1014" s="11" t="s">
        <v>20</v>
      </c>
      <c r="I1014" s="11" t="s">
        <v>21</v>
      </c>
      <c r="J1014" s="11">
        <v>5.5</v>
      </c>
      <c r="K1014" s="11">
        <v>12</v>
      </c>
      <c r="L1014" s="11"/>
      <c r="M1014" s="11">
        <f t="shared" si="30"/>
        <v>82.5</v>
      </c>
      <c r="N1014" s="11">
        <f>IF(Table1[[#This Row],[Transaction Type]]="Sale",ABS(E1014)*K1014,0)</f>
        <v>180</v>
      </c>
      <c r="O1014" s="29">
        <f>IF(Table1[[#This Row],[Transaction Type]]="Purchase",E1014*J1014,0)</f>
        <v>0</v>
      </c>
    </row>
    <row r="1015" spans="1:15" x14ac:dyDescent="0.35">
      <c r="A1015" s="27" t="s">
        <v>1432</v>
      </c>
      <c r="B1015" s="12">
        <v>45959</v>
      </c>
      <c r="C1015" s="11" t="s">
        <v>185</v>
      </c>
      <c r="D1015" s="11" t="s">
        <v>13</v>
      </c>
      <c r="E1015" s="11">
        <v>-7</v>
      </c>
      <c r="F1015" s="11">
        <f t="shared" si="31"/>
        <v>-7</v>
      </c>
      <c r="G1015" s="11" t="s">
        <v>14</v>
      </c>
      <c r="H1015" s="11" t="s">
        <v>44</v>
      </c>
      <c r="I1015" s="11" t="s">
        <v>45</v>
      </c>
      <c r="J1015" s="11">
        <v>63</v>
      </c>
      <c r="K1015" s="11">
        <v>95</v>
      </c>
      <c r="L1015" s="11"/>
      <c r="M1015" s="11">
        <f t="shared" si="30"/>
        <v>441</v>
      </c>
      <c r="N1015" s="11">
        <f>IF(Table1[[#This Row],[Transaction Type]]="Sale",ABS(E1015)*K1015,0)</f>
        <v>665</v>
      </c>
      <c r="O1015" s="29">
        <f>IF(Table1[[#This Row],[Transaction Type]]="Purchase",E1015*J1015,0)</f>
        <v>0</v>
      </c>
    </row>
    <row r="1016" spans="1:15" x14ac:dyDescent="0.35">
      <c r="A1016" s="27" t="s">
        <v>1433</v>
      </c>
      <c r="B1016" s="12">
        <v>45959</v>
      </c>
      <c r="C1016" s="11" t="s">
        <v>43</v>
      </c>
      <c r="D1016" s="11" t="s">
        <v>13</v>
      </c>
      <c r="E1016" s="11">
        <v>-13</v>
      </c>
      <c r="F1016" s="11">
        <f t="shared" si="31"/>
        <v>-13</v>
      </c>
      <c r="G1016" s="11" t="s">
        <v>19</v>
      </c>
      <c r="H1016" s="11" t="s">
        <v>1434</v>
      </c>
      <c r="I1016" s="11" t="s">
        <v>45</v>
      </c>
      <c r="J1016" s="11">
        <v>5.2</v>
      </c>
      <c r="K1016" s="11">
        <v>11</v>
      </c>
      <c r="L1016" s="11"/>
      <c r="M1016" s="11">
        <f t="shared" si="30"/>
        <v>67.600000000000009</v>
      </c>
      <c r="N1016" s="11">
        <f>IF(Table1[[#This Row],[Transaction Type]]="Sale",ABS(E1016)*K1016,0)</f>
        <v>143</v>
      </c>
      <c r="O1016" s="29">
        <f>IF(Table1[[#This Row],[Transaction Type]]="Purchase",E1016*J1016,0)</f>
        <v>0</v>
      </c>
    </row>
    <row r="1017" spans="1:15" x14ac:dyDescent="0.35">
      <c r="A1017" s="27" t="s">
        <v>1435</v>
      </c>
      <c r="B1017" s="12">
        <v>45961</v>
      </c>
      <c r="C1017" s="11" t="s">
        <v>43</v>
      </c>
      <c r="D1017" s="11" t="s">
        <v>13</v>
      </c>
      <c r="E1017" s="11">
        <v>-9</v>
      </c>
      <c r="F1017" s="11">
        <f t="shared" si="31"/>
        <v>-9</v>
      </c>
      <c r="G1017" s="11" t="s">
        <v>24</v>
      </c>
      <c r="H1017" s="11" t="s">
        <v>44</v>
      </c>
      <c r="I1017" s="11" t="s">
        <v>45</v>
      </c>
      <c r="J1017" s="11">
        <v>5.2</v>
      </c>
      <c r="K1017" s="11">
        <v>11</v>
      </c>
      <c r="L1017" s="11"/>
      <c r="M1017" s="11">
        <f t="shared" si="30"/>
        <v>46.800000000000004</v>
      </c>
      <c r="N1017" s="11">
        <f>IF(Table1[[#This Row],[Transaction Type]]="Sale",ABS(E1017)*K1017,0)</f>
        <v>99</v>
      </c>
      <c r="O1017" s="29">
        <f>IF(Table1[[#This Row],[Transaction Type]]="Purchase",E1017*J1017,0)</f>
        <v>0</v>
      </c>
    </row>
    <row r="1018" spans="1:15" x14ac:dyDescent="0.35">
      <c r="A1018" s="27" t="s">
        <v>1436</v>
      </c>
      <c r="B1018" s="12">
        <v>45961</v>
      </c>
      <c r="C1018" s="11" t="s">
        <v>77</v>
      </c>
      <c r="D1018" s="11" t="s">
        <v>13</v>
      </c>
      <c r="E1018" s="11">
        <v>-8</v>
      </c>
      <c r="F1018" s="11">
        <f t="shared" si="31"/>
        <v>-8</v>
      </c>
      <c r="G1018" s="11" t="s">
        <v>14</v>
      </c>
      <c r="H1018" s="11" t="s">
        <v>78</v>
      </c>
      <c r="I1018" s="11" t="s">
        <v>16</v>
      </c>
      <c r="J1018" s="11">
        <v>25</v>
      </c>
      <c r="K1018" s="11">
        <v>42</v>
      </c>
      <c r="L1018" s="11"/>
      <c r="M1018" s="11">
        <f t="shared" si="30"/>
        <v>200</v>
      </c>
      <c r="N1018" s="11">
        <f>IF(Table1[[#This Row],[Transaction Type]]="Sale",ABS(E1018)*K1018,0)</f>
        <v>336</v>
      </c>
      <c r="O1018" s="29">
        <f>IF(Table1[[#This Row],[Transaction Type]]="Purchase",E1018*J1018,0)</f>
        <v>0</v>
      </c>
    </row>
    <row r="1019" spans="1:15" x14ac:dyDescent="0.35">
      <c r="A1019" s="27" t="s">
        <v>1437</v>
      </c>
      <c r="B1019" s="12">
        <v>45961</v>
      </c>
      <c r="C1019" s="11" t="s">
        <v>65</v>
      </c>
      <c r="D1019" s="11" t="s">
        <v>40</v>
      </c>
      <c r="E1019" s="11">
        <v>83</v>
      </c>
      <c r="F1019" s="11">
        <f t="shared" si="31"/>
        <v>83</v>
      </c>
      <c r="G1019" s="11" t="s">
        <v>19</v>
      </c>
      <c r="H1019" s="11" t="s">
        <v>67</v>
      </c>
      <c r="I1019" s="11" t="s">
        <v>21</v>
      </c>
      <c r="J1019" s="11">
        <v>11</v>
      </c>
      <c r="K1019" s="11">
        <v>22</v>
      </c>
      <c r="L1019" s="11" t="s">
        <v>1438</v>
      </c>
      <c r="M1019" s="11">
        <f t="shared" si="30"/>
        <v>913</v>
      </c>
      <c r="N1019" s="11">
        <f>IF(Table1[[#This Row],[Transaction Type]]="Sale",ABS(E1019)*K1019,0)</f>
        <v>0</v>
      </c>
      <c r="O1019" s="29">
        <f>IF(Table1[[#This Row],[Transaction Type]]="Purchase",E1019*J1019,0)</f>
        <v>913</v>
      </c>
    </row>
    <row r="1020" spans="1:15" x14ac:dyDescent="0.35">
      <c r="A1020" s="27" t="s">
        <v>1439</v>
      </c>
      <c r="B1020" s="12">
        <v>45962</v>
      </c>
      <c r="C1020" s="11" t="s">
        <v>73</v>
      </c>
      <c r="D1020" s="11" t="s">
        <v>40</v>
      </c>
      <c r="E1020" s="11">
        <v>47</v>
      </c>
      <c r="F1020" s="11">
        <f t="shared" si="31"/>
        <v>47</v>
      </c>
      <c r="G1020" s="11" t="s">
        <v>14</v>
      </c>
      <c r="H1020" s="11" t="s">
        <v>74</v>
      </c>
      <c r="I1020" s="11" t="s">
        <v>75</v>
      </c>
      <c r="J1020" s="11">
        <v>30</v>
      </c>
      <c r="K1020" s="11">
        <v>48</v>
      </c>
      <c r="L1020" s="11" t="s">
        <v>1440</v>
      </c>
      <c r="M1020" s="11">
        <f t="shared" si="30"/>
        <v>1410</v>
      </c>
      <c r="N1020" s="11">
        <f>IF(Table1[[#This Row],[Transaction Type]]="Sale",ABS(E1020)*K1020,0)</f>
        <v>0</v>
      </c>
      <c r="O1020" s="29">
        <f>IF(Table1[[#This Row],[Transaction Type]]="Purchase",E1020*J1020,0)</f>
        <v>1410</v>
      </c>
    </row>
    <row r="1021" spans="1:15" x14ac:dyDescent="0.35">
      <c r="A1021" s="27" t="s">
        <v>1441</v>
      </c>
      <c r="B1021" s="12">
        <v>45962</v>
      </c>
      <c r="C1021" s="11" t="s">
        <v>350</v>
      </c>
      <c r="D1021" s="11" t="s">
        <v>40</v>
      </c>
      <c r="E1021" s="11">
        <v>21</v>
      </c>
      <c r="F1021" s="11">
        <f t="shared" si="31"/>
        <v>21</v>
      </c>
      <c r="G1021" s="11" t="s">
        <v>19</v>
      </c>
      <c r="H1021" s="11" t="s">
        <v>74</v>
      </c>
      <c r="I1021" s="11" t="s">
        <v>75</v>
      </c>
      <c r="J1021" s="11">
        <v>145</v>
      </c>
      <c r="K1021" s="11">
        <v>210</v>
      </c>
      <c r="L1021" s="11" t="s">
        <v>1442</v>
      </c>
      <c r="M1021" s="11">
        <f t="shared" si="30"/>
        <v>3045</v>
      </c>
      <c r="N1021" s="11">
        <f>IF(Table1[[#This Row],[Transaction Type]]="Sale",ABS(E1021)*K1021,0)</f>
        <v>0</v>
      </c>
      <c r="O1021" s="29">
        <f>IF(Table1[[#This Row],[Transaction Type]]="Purchase",E1021*J1021,0)</f>
        <v>3045</v>
      </c>
    </row>
    <row r="1022" spans="1:15" x14ac:dyDescent="0.35">
      <c r="A1022" s="27" t="s">
        <v>1443</v>
      </c>
      <c r="B1022" s="12">
        <v>45963</v>
      </c>
      <c r="C1022" s="11" t="s">
        <v>73</v>
      </c>
      <c r="D1022" s="11" t="s">
        <v>13</v>
      </c>
      <c r="E1022" s="11">
        <v>-15</v>
      </c>
      <c r="F1022" s="11">
        <f t="shared" si="31"/>
        <v>-15</v>
      </c>
      <c r="G1022" s="11" t="s">
        <v>14</v>
      </c>
      <c r="H1022" s="11" t="s">
        <v>74</v>
      </c>
      <c r="I1022" s="11" t="s">
        <v>75</v>
      </c>
      <c r="J1022" s="11">
        <v>30</v>
      </c>
      <c r="K1022" s="11">
        <v>48</v>
      </c>
      <c r="L1022" s="11"/>
      <c r="M1022" s="11">
        <f t="shared" si="30"/>
        <v>450</v>
      </c>
      <c r="N1022" s="11">
        <f>IF(Table1[[#This Row],[Transaction Type]]="Sale",ABS(E1022)*K1022,0)</f>
        <v>720</v>
      </c>
      <c r="O1022" s="29">
        <f>IF(Table1[[#This Row],[Transaction Type]]="Purchase",E1022*J1022,0)</f>
        <v>0</v>
      </c>
    </row>
    <row r="1023" spans="1:15" x14ac:dyDescent="0.35">
      <c r="A1023" s="27" t="s">
        <v>1444</v>
      </c>
      <c r="B1023" s="12">
        <v>45963</v>
      </c>
      <c r="C1023" s="11" t="s">
        <v>36</v>
      </c>
      <c r="D1023" s="11" t="s">
        <v>13</v>
      </c>
      <c r="E1023" s="11">
        <v>-8</v>
      </c>
      <c r="F1023" s="11">
        <f t="shared" si="31"/>
        <v>-8</v>
      </c>
      <c r="G1023" s="11" t="s">
        <v>14</v>
      </c>
      <c r="H1023" s="11" t="s">
        <v>37</v>
      </c>
      <c r="I1023" s="11" t="s">
        <v>16</v>
      </c>
      <c r="J1023" s="11">
        <v>7.2</v>
      </c>
      <c r="K1023" s="11">
        <v>12.5</v>
      </c>
      <c r="L1023" s="11"/>
      <c r="M1023" s="11">
        <f t="shared" si="30"/>
        <v>57.6</v>
      </c>
      <c r="N1023" s="11">
        <f>IF(Table1[[#This Row],[Transaction Type]]="Sale",ABS(E1023)*K1023,0)</f>
        <v>100</v>
      </c>
      <c r="O1023" s="29">
        <f>IF(Table1[[#This Row],[Transaction Type]]="Purchase",E1023*J1023,0)</f>
        <v>0</v>
      </c>
    </row>
    <row r="1024" spans="1:15" x14ac:dyDescent="0.35">
      <c r="A1024" s="27" t="s">
        <v>1445</v>
      </c>
      <c r="B1024" s="12">
        <v>45964</v>
      </c>
      <c r="C1024" s="11" t="s">
        <v>23</v>
      </c>
      <c r="D1024" s="11" t="s">
        <v>13</v>
      </c>
      <c r="E1024" s="11">
        <v>-6</v>
      </c>
      <c r="F1024" s="11">
        <f t="shared" si="31"/>
        <v>-6</v>
      </c>
      <c r="G1024" s="11" t="s">
        <v>24</v>
      </c>
      <c r="H1024" s="11" t="s">
        <v>25</v>
      </c>
      <c r="I1024" s="11" t="s">
        <v>26</v>
      </c>
      <c r="J1024" s="11">
        <v>3</v>
      </c>
      <c r="K1024" s="11">
        <v>7</v>
      </c>
      <c r="L1024" s="11"/>
      <c r="M1024" s="11">
        <f t="shared" si="30"/>
        <v>18</v>
      </c>
      <c r="N1024" s="11">
        <f>IF(Table1[[#This Row],[Transaction Type]]="Sale",ABS(E1024)*K1024,0)</f>
        <v>42</v>
      </c>
      <c r="O1024" s="29">
        <f>IF(Table1[[#This Row],[Transaction Type]]="Purchase",E1024*J1024,0)</f>
        <v>0</v>
      </c>
    </row>
    <row r="1025" spans="1:15" x14ac:dyDescent="0.35">
      <c r="A1025" s="27" t="s">
        <v>1446</v>
      </c>
      <c r="B1025" s="12">
        <v>45964</v>
      </c>
      <c r="C1025" s="11" t="s">
        <v>65</v>
      </c>
      <c r="D1025" s="11" t="s">
        <v>40</v>
      </c>
      <c r="E1025" s="11">
        <v>42</v>
      </c>
      <c r="F1025" s="11">
        <f t="shared" si="31"/>
        <v>42</v>
      </c>
      <c r="G1025" s="11" t="s">
        <v>14</v>
      </c>
      <c r="H1025" s="11" t="s">
        <v>67</v>
      </c>
      <c r="I1025" s="11" t="s">
        <v>21</v>
      </c>
      <c r="J1025" s="11">
        <v>11</v>
      </c>
      <c r="K1025" s="11">
        <v>22</v>
      </c>
      <c r="L1025" s="11" t="s">
        <v>1447</v>
      </c>
      <c r="M1025" s="11">
        <f t="shared" si="30"/>
        <v>462</v>
      </c>
      <c r="N1025" s="11">
        <f>IF(Table1[[#This Row],[Transaction Type]]="Sale",ABS(E1025)*K1025,0)</f>
        <v>0</v>
      </c>
      <c r="O1025" s="29">
        <f>IF(Table1[[#This Row],[Transaction Type]]="Purchase",E1025*J1025,0)</f>
        <v>462</v>
      </c>
    </row>
    <row r="1026" spans="1:15" x14ac:dyDescent="0.35">
      <c r="A1026" s="27" t="s">
        <v>1448</v>
      </c>
      <c r="B1026" s="12">
        <v>45964</v>
      </c>
      <c r="C1026" s="11" t="s">
        <v>65</v>
      </c>
      <c r="D1026" s="11" t="s">
        <v>13</v>
      </c>
      <c r="E1026" s="11">
        <v>-14</v>
      </c>
      <c r="F1026" s="11">
        <f t="shared" si="31"/>
        <v>-14</v>
      </c>
      <c r="G1026" s="11" t="s">
        <v>19</v>
      </c>
      <c r="H1026" s="11" t="s">
        <v>67</v>
      </c>
      <c r="I1026" s="11" t="s">
        <v>21</v>
      </c>
      <c r="J1026" s="11">
        <v>11</v>
      </c>
      <c r="K1026" s="11">
        <v>22</v>
      </c>
      <c r="L1026" s="11"/>
      <c r="M1026" s="11">
        <f t="shared" ref="M1026:M1089" si="32">ABS(E1026)*J1026</f>
        <v>154</v>
      </c>
      <c r="N1026" s="11">
        <f>IF(Table1[[#This Row],[Transaction Type]]="Sale",ABS(E1026)*K1026,0)</f>
        <v>308</v>
      </c>
      <c r="O1026" s="29">
        <f>IF(Table1[[#This Row],[Transaction Type]]="Purchase",E1026*J1026,0)</f>
        <v>0</v>
      </c>
    </row>
    <row r="1027" spans="1:15" x14ac:dyDescent="0.35">
      <c r="A1027" s="27" t="s">
        <v>1449</v>
      </c>
      <c r="B1027" s="12">
        <v>45964</v>
      </c>
      <c r="C1027" s="11" t="s">
        <v>12</v>
      </c>
      <c r="D1027" s="11" t="s">
        <v>13</v>
      </c>
      <c r="E1027" s="11">
        <v>-13</v>
      </c>
      <c r="F1027" s="11">
        <f t="shared" ref="F1027:F1090" si="33">E1027</f>
        <v>-13</v>
      </c>
      <c r="G1027" s="11" t="s">
        <v>14</v>
      </c>
      <c r="H1027" s="11" t="s">
        <v>15</v>
      </c>
      <c r="I1027" s="11" t="s">
        <v>16</v>
      </c>
      <c r="J1027" s="11">
        <v>13.5</v>
      </c>
      <c r="K1027" s="11">
        <v>24</v>
      </c>
      <c r="L1027" s="11"/>
      <c r="M1027" s="11">
        <f t="shared" si="32"/>
        <v>175.5</v>
      </c>
      <c r="N1027" s="11">
        <f>IF(Table1[[#This Row],[Transaction Type]]="Sale",ABS(E1027)*K1027,0)</f>
        <v>312</v>
      </c>
      <c r="O1027" s="29">
        <f>IF(Table1[[#This Row],[Transaction Type]]="Purchase",E1027*J1027,0)</f>
        <v>0</v>
      </c>
    </row>
    <row r="1028" spans="1:15" x14ac:dyDescent="0.35">
      <c r="A1028" s="27" t="s">
        <v>1450</v>
      </c>
      <c r="B1028" s="12">
        <v>45964</v>
      </c>
      <c r="C1028" s="11" t="s">
        <v>55</v>
      </c>
      <c r="D1028" s="11" t="s">
        <v>40</v>
      </c>
      <c r="E1028" s="11">
        <v>113</v>
      </c>
      <c r="F1028" s="11">
        <f t="shared" si="33"/>
        <v>113</v>
      </c>
      <c r="G1028" s="11" t="s">
        <v>14</v>
      </c>
      <c r="H1028" s="11" t="s">
        <v>56</v>
      </c>
      <c r="I1028" s="11" t="s">
        <v>16</v>
      </c>
      <c r="J1028" s="11">
        <v>4.2</v>
      </c>
      <c r="K1028" s="11">
        <v>10</v>
      </c>
      <c r="L1028" s="11" t="s">
        <v>1451</v>
      </c>
      <c r="M1028" s="11">
        <f t="shared" si="32"/>
        <v>474.6</v>
      </c>
      <c r="N1028" s="11">
        <f>IF(Table1[[#This Row],[Transaction Type]]="Sale",ABS(E1028)*K1028,0)</f>
        <v>0</v>
      </c>
      <c r="O1028" s="29">
        <f>IF(Table1[[#This Row],[Transaction Type]]="Purchase",E1028*J1028,0)</f>
        <v>474.6</v>
      </c>
    </row>
    <row r="1029" spans="1:15" x14ac:dyDescent="0.35">
      <c r="A1029" s="27" t="s">
        <v>1452</v>
      </c>
      <c r="B1029" s="12">
        <v>45965</v>
      </c>
      <c r="C1029" s="11" t="s">
        <v>73</v>
      </c>
      <c r="D1029" s="11" t="s">
        <v>40</v>
      </c>
      <c r="E1029" s="11">
        <v>26</v>
      </c>
      <c r="F1029" s="11">
        <f t="shared" si="33"/>
        <v>26</v>
      </c>
      <c r="G1029" s="11" t="s">
        <v>19</v>
      </c>
      <c r="H1029" s="11" t="s">
        <v>74</v>
      </c>
      <c r="I1029" s="11" t="s">
        <v>75</v>
      </c>
      <c r="J1029" s="11">
        <v>30</v>
      </c>
      <c r="K1029" s="11">
        <v>48</v>
      </c>
      <c r="L1029" s="11" t="s">
        <v>1453</v>
      </c>
      <c r="M1029" s="11">
        <f t="shared" si="32"/>
        <v>780</v>
      </c>
      <c r="N1029" s="11">
        <f>IF(Table1[[#This Row],[Transaction Type]]="Sale",ABS(E1029)*K1029,0)</f>
        <v>0</v>
      </c>
      <c r="O1029" s="29">
        <f>IF(Table1[[#This Row],[Transaction Type]]="Purchase",E1029*J1029,0)</f>
        <v>780</v>
      </c>
    </row>
    <row r="1030" spans="1:15" x14ac:dyDescent="0.35">
      <c r="A1030" s="27" t="s">
        <v>1454</v>
      </c>
      <c r="B1030" s="12">
        <v>45965</v>
      </c>
      <c r="C1030" s="11" t="s">
        <v>18</v>
      </c>
      <c r="D1030" s="11" t="s">
        <v>13</v>
      </c>
      <c r="E1030" s="11">
        <v>-14</v>
      </c>
      <c r="F1030" s="11">
        <f t="shared" si="33"/>
        <v>-14</v>
      </c>
      <c r="G1030" s="11" t="s">
        <v>24</v>
      </c>
      <c r="H1030" s="11" t="s">
        <v>20</v>
      </c>
      <c r="I1030" s="11" t="s">
        <v>21</v>
      </c>
      <c r="J1030" s="11">
        <v>2.6</v>
      </c>
      <c r="K1030" s="11">
        <v>5.5</v>
      </c>
      <c r="L1030" s="11"/>
      <c r="M1030" s="11">
        <f t="shared" si="32"/>
        <v>36.4</v>
      </c>
      <c r="N1030" s="11">
        <f>IF(Table1[[#This Row],[Transaction Type]]="Sale",ABS(E1030)*K1030,0)</f>
        <v>77</v>
      </c>
      <c r="O1030" s="29">
        <f>IF(Table1[[#This Row],[Transaction Type]]="Purchase",E1030*J1030,0)</f>
        <v>0</v>
      </c>
    </row>
    <row r="1031" spans="1:15" x14ac:dyDescent="0.35">
      <c r="A1031" s="27" t="s">
        <v>1455</v>
      </c>
      <c r="B1031" s="12">
        <v>45966</v>
      </c>
      <c r="C1031" s="11" t="s">
        <v>170</v>
      </c>
      <c r="D1031" s="11" t="s">
        <v>40</v>
      </c>
      <c r="E1031" s="11">
        <v>24</v>
      </c>
      <c r="F1031" s="11">
        <f t="shared" si="33"/>
        <v>24</v>
      </c>
      <c r="G1031" s="11" t="s">
        <v>14</v>
      </c>
      <c r="H1031" s="11" t="s">
        <v>171</v>
      </c>
      <c r="I1031" s="11" t="s">
        <v>34</v>
      </c>
      <c r="J1031" s="11">
        <v>25</v>
      </c>
      <c r="K1031" s="11">
        <v>45</v>
      </c>
      <c r="L1031" s="11" t="s">
        <v>1456</v>
      </c>
      <c r="M1031" s="11">
        <f t="shared" si="32"/>
        <v>600</v>
      </c>
      <c r="N1031" s="11">
        <f>IF(Table1[[#This Row],[Transaction Type]]="Sale",ABS(E1031)*K1031,0)</f>
        <v>0</v>
      </c>
      <c r="O1031" s="29">
        <f>IF(Table1[[#This Row],[Transaction Type]]="Purchase",E1031*J1031,0)</f>
        <v>600</v>
      </c>
    </row>
    <row r="1032" spans="1:15" x14ac:dyDescent="0.35">
      <c r="A1032" s="27" t="s">
        <v>1457</v>
      </c>
      <c r="B1032" s="12">
        <v>45966</v>
      </c>
      <c r="C1032" s="11" t="s">
        <v>141</v>
      </c>
      <c r="D1032" s="11" t="s">
        <v>40</v>
      </c>
      <c r="E1032" s="11">
        <v>103</v>
      </c>
      <c r="F1032" s="11">
        <f t="shared" si="33"/>
        <v>103</v>
      </c>
      <c r="G1032" s="11" t="s">
        <v>19</v>
      </c>
      <c r="H1032" s="11" t="s">
        <v>25</v>
      </c>
      <c r="I1032" s="11" t="s">
        <v>26</v>
      </c>
      <c r="J1032" s="11">
        <v>4</v>
      </c>
      <c r="K1032" s="11">
        <v>9</v>
      </c>
      <c r="L1032" s="11" t="s">
        <v>1458</v>
      </c>
      <c r="M1032" s="11">
        <f t="shared" si="32"/>
        <v>412</v>
      </c>
      <c r="N1032" s="11">
        <f>IF(Table1[[#This Row],[Transaction Type]]="Sale",ABS(E1032)*K1032,0)</f>
        <v>0</v>
      </c>
      <c r="O1032" s="29">
        <f>IF(Table1[[#This Row],[Transaction Type]]="Purchase",E1032*J1032,0)</f>
        <v>412</v>
      </c>
    </row>
    <row r="1033" spans="1:15" x14ac:dyDescent="0.35">
      <c r="A1033" s="27" t="s">
        <v>1459</v>
      </c>
      <c r="B1033" s="12">
        <v>45966</v>
      </c>
      <c r="C1033" s="11" t="s">
        <v>87</v>
      </c>
      <c r="D1033" s="11" t="s">
        <v>13</v>
      </c>
      <c r="E1033" s="11">
        <v>-9</v>
      </c>
      <c r="F1033" s="11">
        <f t="shared" si="33"/>
        <v>-9</v>
      </c>
      <c r="G1033" s="11" t="s">
        <v>14</v>
      </c>
      <c r="H1033" s="11" t="s">
        <v>88</v>
      </c>
      <c r="I1033" s="11" t="s">
        <v>16</v>
      </c>
      <c r="J1033" s="11">
        <v>6</v>
      </c>
      <c r="K1033" s="11">
        <v>14</v>
      </c>
      <c r="L1033" s="11"/>
      <c r="M1033" s="11">
        <f t="shared" si="32"/>
        <v>54</v>
      </c>
      <c r="N1033" s="11">
        <f>IF(Table1[[#This Row],[Transaction Type]]="Sale",ABS(E1033)*K1033,0)</f>
        <v>126</v>
      </c>
      <c r="O1033" s="29">
        <f>IF(Table1[[#This Row],[Transaction Type]]="Purchase",E1033*J1033,0)</f>
        <v>0</v>
      </c>
    </row>
    <row r="1034" spans="1:15" x14ac:dyDescent="0.35">
      <c r="A1034" s="27" t="s">
        <v>1460</v>
      </c>
      <c r="B1034" s="12">
        <v>45966</v>
      </c>
      <c r="C1034" s="11" t="s">
        <v>36</v>
      </c>
      <c r="D1034" s="11" t="s">
        <v>66</v>
      </c>
      <c r="E1034" s="11">
        <v>2</v>
      </c>
      <c r="F1034" s="11">
        <f t="shared" si="33"/>
        <v>2</v>
      </c>
      <c r="G1034" s="11" t="s">
        <v>24</v>
      </c>
      <c r="H1034" s="11" t="s">
        <v>37</v>
      </c>
      <c r="I1034" s="11" t="s">
        <v>16</v>
      </c>
      <c r="J1034" s="11">
        <v>7.2</v>
      </c>
      <c r="K1034" s="11">
        <v>12.5</v>
      </c>
      <c r="L1034" s="11"/>
      <c r="M1034" s="11">
        <f t="shared" si="32"/>
        <v>14.4</v>
      </c>
      <c r="N1034" s="11">
        <f>IF(Table1[[#This Row],[Transaction Type]]="Sale",ABS(E1034)*K1034,0)</f>
        <v>0</v>
      </c>
      <c r="O1034" s="29">
        <f>IF(Table1[[#This Row],[Transaction Type]]="Purchase",E1034*J1034,0)</f>
        <v>0</v>
      </c>
    </row>
    <row r="1035" spans="1:15" x14ac:dyDescent="0.35">
      <c r="A1035" s="27" t="s">
        <v>1461</v>
      </c>
      <c r="B1035" s="12">
        <v>45967</v>
      </c>
      <c r="C1035" s="11" t="s">
        <v>60</v>
      </c>
      <c r="D1035" s="11" t="s">
        <v>40</v>
      </c>
      <c r="E1035" s="11">
        <v>49</v>
      </c>
      <c r="F1035" s="11">
        <f t="shared" si="33"/>
        <v>49</v>
      </c>
      <c r="G1035" s="11" t="s">
        <v>24</v>
      </c>
      <c r="H1035" s="11" t="s">
        <v>61</v>
      </c>
      <c r="I1035" s="11" t="s">
        <v>62</v>
      </c>
      <c r="J1035" s="11">
        <v>3.4</v>
      </c>
      <c r="K1035" s="11">
        <v>8</v>
      </c>
      <c r="L1035" s="11" t="s">
        <v>1462</v>
      </c>
      <c r="M1035" s="11">
        <f t="shared" si="32"/>
        <v>166.6</v>
      </c>
      <c r="N1035" s="11">
        <f>IF(Table1[[#This Row],[Transaction Type]]="Sale",ABS(E1035)*K1035,0)</f>
        <v>0</v>
      </c>
      <c r="O1035" s="29">
        <f>IF(Table1[[#This Row],[Transaction Type]]="Purchase",E1035*J1035,0)</f>
        <v>166.6</v>
      </c>
    </row>
    <row r="1036" spans="1:15" x14ac:dyDescent="0.35">
      <c r="A1036" s="27" t="s">
        <v>1463</v>
      </c>
      <c r="B1036" s="12">
        <v>45967</v>
      </c>
      <c r="C1036" s="11" t="s">
        <v>170</v>
      </c>
      <c r="D1036" s="11" t="s">
        <v>13</v>
      </c>
      <c r="E1036" s="11">
        <v>-13</v>
      </c>
      <c r="F1036" s="11">
        <f t="shared" si="33"/>
        <v>-13</v>
      </c>
      <c r="G1036" s="11" t="s">
        <v>24</v>
      </c>
      <c r="H1036" s="11" t="s">
        <v>171</v>
      </c>
      <c r="I1036" s="11" t="s">
        <v>34</v>
      </c>
      <c r="J1036" s="11">
        <v>25</v>
      </c>
      <c r="K1036" s="11">
        <v>45</v>
      </c>
      <c r="L1036" s="11"/>
      <c r="M1036" s="11">
        <f t="shared" si="32"/>
        <v>325</v>
      </c>
      <c r="N1036" s="11">
        <f>IF(Table1[[#This Row],[Transaction Type]]="Sale",ABS(E1036)*K1036,0)</f>
        <v>585</v>
      </c>
      <c r="O1036" s="29">
        <f>IF(Table1[[#This Row],[Transaction Type]]="Purchase",E1036*J1036,0)</f>
        <v>0</v>
      </c>
    </row>
    <row r="1037" spans="1:15" x14ac:dyDescent="0.35">
      <c r="A1037" s="27" t="s">
        <v>1464</v>
      </c>
      <c r="B1037" s="12">
        <v>45967</v>
      </c>
      <c r="C1037" s="11" t="s">
        <v>23</v>
      </c>
      <c r="D1037" s="11" t="s">
        <v>13</v>
      </c>
      <c r="E1037" s="11">
        <v>-13</v>
      </c>
      <c r="F1037" s="11">
        <f t="shared" si="33"/>
        <v>-13</v>
      </c>
      <c r="G1037" s="11" t="s">
        <v>24</v>
      </c>
      <c r="H1037" s="11" t="s">
        <v>25</v>
      </c>
      <c r="I1037" s="11" t="s">
        <v>26</v>
      </c>
      <c r="J1037" s="11">
        <v>3</v>
      </c>
      <c r="K1037" s="11">
        <v>7</v>
      </c>
      <c r="L1037" s="11"/>
      <c r="M1037" s="11">
        <f t="shared" si="32"/>
        <v>39</v>
      </c>
      <c r="N1037" s="11">
        <f>IF(Table1[[#This Row],[Transaction Type]]="Sale",ABS(E1037)*K1037,0)</f>
        <v>91</v>
      </c>
      <c r="O1037" s="29">
        <f>IF(Table1[[#This Row],[Transaction Type]]="Purchase",E1037*J1037,0)</f>
        <v>0</v>
      </c>
    </row>
    <row r="1038" spans="1:15" x14ac:dyDescent="0.35">
      <c r="A1038" s="27" t="s">
        <v>1465</v>
      </c>
      <c r="B1038" s="12">
        <v>45967</v>
      </c>
      <c r="C1038" s="11" t="s">
        <v>18</v>
      </c>
      <c r="D1038" s="11" t="s">
        <v>66</v>
      </c>
      <c r="E1038" s="11">
        <v>1</v>
      </c>
      <c r="F1038" s="11">
        <f t="shared" si="33"/>
        <v>1</v>
      </c>
      <c r="G1038" s="11" t="s">
        <v>14</v>
      </c>
      <c r="H1038" s="11" t="s">
        <v>20</v>
      </c>
      <c r="I1038" s="11" t="s">
        <v>21</v>
      </c>
      <c r="J1038" s="11">
        <v>2.6</v>
      </c>
      <c r="K1038" s="11">
        <v>5.5</v>
      </c>
      <c r="L1038" s="11"/>
      <c r="M1038" s="11">
        <f t="shared" si="32"/>
        <v>2.6</v>
      </c>
      <c r="N1038" s="11">
        <f>IF(Table1[[#This Row],[Transaction Type]]="Sale",ABS(E1038)*K1038,0)</f>
        <v>0</v>
      </c>
      <c r="O1038" s="29">
        <f>IF(Table1[[#This Row],[Transaction Type]]="Purchase",E1038*J1038,0)</f>
        <v>0</v>
      </c>
    </row>
    <row r="1039" spans="1:15" x14ac:dyDescent="0.35">
      <c r="A1039" s="27" t="s">
        <v>1466</v>
      </c>
      <c r="B1039" s="12">
        <v>45968</v>
      </c>
      <c r="C1039" s="11" t="s">
        <v>32</v>
      </c>
      <c r="D1039" s="11" t="s">
        <v>66</v>
      </c>
      <c r="E1039" s="11">
        <v>2</v>
      </c>
      <c r="F1039" s="11">
        <f t="shared" si="33"/>
        <v>2</v>
      </c>
      <c r="G1039" s="11" t="s">
        <v>14</v>
      </c>
      <c r="H1039" s="11" t="s">
        <v>33</v>
      </c>
      <c r="I1039" s="11" t="s">
        <v>34</v>
      </c>
      <c r="J1039" s="11">
        <v>20</v>
      </c>
      <c r="K1039" s="11">
        <v>35</v>
      </c>
      <c r="L1039" s="11"/>
      <c r="M1039" s="11">
        <f t="shared" si="32"/>
        <v>40</v>
      </c>
      <c r="N1039" s="11">
        <f>IF(Table1[[#This Row],[Transaction Type]]="Sale",ABS(E1039)*K1039,0)</f>
        <v>0</v>
      </c>
      <c r="O1039" s="29">
        <f>IF(Table1[[#This Row],[Transaction Type]]="Purchase",E1039*J1039,0)</f>
        <v>0</v>
      </c>
    </row>
    <row r="1040" spans="1:15" x14ac:dyDescent="0.35">
      <c r="A1040" s="27" t="s">
        <v>1467</v>
      </c>
      <c r="B1040" s="12">
        <v>45968</v>
      </c>
      <c r="C1040" s="11" t="s">
        <v>185</v>
      </c>
      <c r="D1040" s="11" t="s">
        <v>66</v>
      </c>
      <c r="E1040" s="11">
        <v>2</v>
      </c>
      <c r="F1040" s="11">
        <f t="shared" si="33"/>
        <v>2</v>
      </c>
      <c r="G1040" s="11" t="s">
        <v>19</v>
      </c>
      <c r="H1040" s="11" t="s">
        <v>44</v>
      </c>
      <c r="I1040" s="11" t="s">
        <v>45</v>
      </c>
      <c r="J1040" s="11">
        <v>63</v>
      </c>
      <c r="K1040" s="11">
        <v>95</v>
      </c>
      <c r="L1040" s="11"/>
      <c r="M1040" s="11">
        <f t="shared" si="32"/>
        <v>126</v>
      </c>
      <c r="N1040" s="11">
        <f>IF(Table1[[#This Row],[Transaction Type]]="Sale",ABS(E1040)*K1040,0)</f>
        <v>0</v>
      </c>
      <c r="O1040" s="29">
        <f>IF(Table1[[#This Row],[Transaction Type]]="Purchase",E1040*J1040,0)</f>
        <v>0</v>
      </c>
    </row>
    <row r="1041" spans="1:15" x14ac:dyDescent="0.35">
      <c r="A1041" s="27" t="s">
        <v>1468</v>
      </c>
      <c r="B1041" s="12">
        <v>45968</v>
      </c>
      <c r="C1041" s="11" t="s">
        <v>48</v>
      </c>
      <c r="D1041" s="11" t="s">
        <v>13</v>
      </c>
      <c r="E1041" s="11">
        <v>-10</v>
      </c>
      <c r="F1041" s="11">
        <f t="shared" si="33"/>
        <v>-10</v>
      </c>
      <c r="G1041" s="11" t="s">
        <v>24</v>
      </c>
      <c r="H1041" s="11" t="s">
        <v>49</v>
      </c>
      <c r="I1041" s="11" t="s">
        <v>21</v>
      </c>
      <c r="J1041" s="11">
        <v>8.5</v>
      </c>
      <c r="K1041" s="11">
        <v>18</v>
      </c>
      <c r="L1041" s="11"/>
      <c r="M1041" s="11">
        <f t="shared" si="32"/>
        <v>85</v>
      </c>
      <c r="N1041" s="11">
        <f>IF(Table1[[#This Row],[Transaction Type]]="Sale",ABS(E1041)*K1041,0)</f>
        <v>180</v>
      </c>
      <c r="O1041" s="29">
        <f>IF(Table1[[#This Row],[Transaction Type]]="Purchase",E1041*J1041,0)</f>
        <v>0</v>
      </c>
    </row>
    <row r="1042" spans="1:15" x14ac:dyDescent="0.35">
      <c r="A1042" s="27" t="s">
        <v>1469</v>
      </c>
      <c r="B1042" s="12">
        <v>45968</v>
      </c>
      <c r="C1042" s="11" t="s">
        <v>81</v>
      </c>
      <c r="D1042" s="11" t="s">
        <v>13</v>
      </c>
      <c r="E1042" s="11">
        <v>-14</v>
      </c>
      <c r="F1042" s="11">
        <f t="shared" si="33"/>
        <v>-14</v>
      </c>
      <c r="G1042" s="11" t="s">
        <v>14</v>
      </c>
      <c r="H1042" s="11" t="s">
        <v>30</v>
      </c>
      <c r="I1042" s="11" t="s">
        <v>16</v>
      </c>
      <c r="J1042" s="11">
        <v>8</v>
      </c>
      <c r="K1042" s="11">
        <v>15</v>
      </c>
      <c r="L1042" s="11"/>
      <c r="M1042" s="11">
        <f t="shared" si="32"/>
        <v>112</v>
      </c>
      <c r="N1042" s="11">
        <f>IF(Table1[[#This Row],[Transaction Type]]="Sale",ABS(E1042)*K1042,0)</f>
        <v>210</v>
      </c>
      <c r="O1042" s="29">
        <f>IF(Table1[[#This Row],[Transaction Type]]="Purchase",E1042*J1042,0)</f>
        <v>0</v>
      </c>
    </row>
    <row r="1043" spans="1:15" x14ac:dyDescent="0.35">
      <c r="A1043" s="27" t="s">
        <v>1470</v>
      </c>
      <c r="B1043" s="12">
        <v>45968</v>
      </c>
      <c r="C1043" s="11" t="s">
        <v>170</v>
      </c>
      <c r="D1043" s="11" t="s">
        <v>13</v>
      </c>
      <c r="E1043" s="11">
        <v>-6</v>
      </c>
      <c r="F1043" s="11">
        <f t="shared" si="33"/>
        <v>-6</v>
      </c>
      <c r="G1043" s="11" t="s">
        <v>14</v>
      </c>
      <c r="H1043" s="11" t="s">
        <v>171</v>
      </c>
      <c r="I1043" s="11" t="s">
        <v>34</v>
      </c>
      <c r="J1043" s="11">
        <v>25</v>
      </c>
      <c r="K1043" s="11">
        <v>45</v>
      </c>
      <c r="L1043" s="11"/>
      <c r="M1043" s="11">
        <f t="shared" si="32"/>
        <v>150</v>
      </c>
      <c r="N1043" s="11">
        <f>IF(Table1[[#This Row],[Transaction Type]]="Sale",ABS(E1043)*K1043,0)</f>
        <v>270</v>
      </c>
      <c r="O1043" s="29">
        <f>IF(Table1[[#This Row],[Transaction Type]]="Purchase",E1043*J1043,0)</f>
        <v>0</v>
      </c>
    </row>
    <row r="1044" spans="1:15" x14ac:dyDescent="0.35">
      <c r="A1044" s="27" t="s">
        <v>1471</v>
      </c>
      <c r="B1044" s="12">
        <v>45969</v>
      </c>
      <c r="C1044" s="11" t="s">
        <v>65</v>
      </c>
      <c r="D1044" s="11" t="s">
        <v>13</v>
      </c>
      <c r="E1044" s="11">
        <v>-13</v>
      </c>
      <c r="F1044" s="11">
        <f t="shared" si="33"/>
        <v>-13</v>
      </c>
      <c r="G1044" s="11" t="s">
        <v>24</v>
      </c>
      <c r="H1044" s="11" t="s">
        <v>67</v>
      </c>
      <c r="I1044" s="11" t="s">
        <v>21</v>
      </c>
      <c r="J1044" s="11">
        <v>11</v>
      </c>
      <c r="K1044" s="11">
        <v>22</v>
      </c>
      <c r="L1044" s="11"/>
      <c r="M1044" s="11">
        <f t="shared" si="32"/>
        <v>143</v>
      </c>
      <c r="N1044" s="11">
        <f>IF(Table1[[#This Row],[Transaction Type]]="Sale",ABS(E1044)*K1044,0)</f>
        <v>286</v>
      </c>
      <c r="O1044" s="29">
        <f>IF(Table1[[#This Row],[Transaction Type]]="Purchase",E1044*J1044,0)</f>
        <v>0</v>
      </c>
    </row>
    <row r="1045" spans="1:15" x14ac:dyDescent="0.35">
      <c r="A1045" s="27" t="s">
        <v>1472</v>
      </c>
      <c r="B1045" s="12">
        <v>45970</v>
      </c>
      <c r="C1045" s="11" t="s">
        <v>77</v>
      </c>
      <c r="D1045" s="11" t="s">
        <v>40</v>
      </c>
      <c r="E1045" s="11">
        <v>52</v>
      </c>
      <c r="F1045" s="11">
        <f t="shared" si="33"/>
        <v>52</v>
      </c>
      <c r="G1045" s="11" t="s">
        <v>24</v>
      </c>
      <c r="H1045" s="11" t="s">
        <v>78</v>
      </c>
      <c r="I1045" s="11" t="s">
        <v>16</v>
      </c>
      <c r="J1045" s="11">
        <v>25</v>
      </c>
      <c r="K1045" s="11">
        <v>42</v>
      </c>
      <c r="L1045" s="11" t="s">
        <v>1473</v>
      </c>
      <c r="M1045" s="11">
        <f t="shared" si="32"/>
        <v>1300</v>
      </c>
      <c r="N1045" s="11">
        <f>IF(Table1[[#This Row],[Transaction Type]]="Sale",ABS(E1045)*K1045,0)</f>
        <v>0</v>
      </c>
      <c r="O1045" s="29">
        <f>IF(Table1[[#This Row],[Transaction Type]]="Purchase",E1045*J1045,0)</f>
        <v>1300</v>
      </c>
    </row>
    <row r="1046" spans="1:15" x14ac:dyDescent="0.35">
      <c r="A1046" s="27" t="s">
        <v>1474</v>
      </c>
      <c r="B1046" s="12">
        <v>45970</v>
      </c>
      <c r="C1046" s="11" t="s">
        <v>23</v>
      </c>
      <c r="D1046" s="11" t="s">
        <v>66</v>
      </c>
      <c r="E1046" s="11">
        <v>2</v>
      </c>
      <c r="F1046" s="11">
        <f t="shared" si="33"/>
        <v>2</v>
      </c>
      <c r="G1046" s="11" t="s">
        <v>24</v>
      </c>
      <c r="H1046" s="11" t="s">
        <v>25</v>
      </c>
      <c r="I1046" s="11" t="s">
        <v>26</v>
      </c>
      <c r="J1046" s="11">
        <v>3</v>
      </c>
      <c r="K1046" s="11">
        <v>7</v>
      </c>
      <c r="L1046" s="11"/>
      <c r="M1046" s="11">
        <f t="shared" si="32"/>
        <v>6</v>
      </c>
      <c r="N1046" s="11">
        <f>IF(Table1[[#This Row],[Transaction Type]]="Sale",ABS(E1046)*K1046,0)</f>
        <v>0</v>
      </c>
      <c r="O1046" s="29">
        <f>IF(Table1[[#This Row],[Transaction Type]]="Purchase",E1046*J1046,0)</f>
        <v>0</v>
      </c>
    </row>
    <row r="1047" spans="1:15" x14ac:dyDescent="0.35">
      <c r="A1047" s="27" t="s">
        <v>1475</v>
      </c>
      <c r="B1047" s="12">
        <v>45970</v>
      </c>
      <c r="C1047" s="11" t="s">
        <v>185</v>
      </c>
      <c r="D1047" s="11" t="s">
        <v>13</v>
      </c>
      <c r="E1047" s="11">
        <v>-13</v>
      </c>
      <c r="F1047" s="11">
        <f t="shared" si="33"/>
        <v>-13</v>
      </c>
      <c r="G1047" s="11" t="s">
        <v>14</v>
      </c>
      <c r="H1047" s="11" t="s">
        <v>44</v>
      </c>
      <c r="I1047" s="11" t="s">
        <v>45</v>
      </c>
      <c r="J1047" s="11">
        <v>63</v>
      </c>
      <c r="K1047" s="11">
        <v>95</v>
      </c>
      <c r="L1047" s="11"/>
      <c r="M1047" s="11">
        <f t="shared" si="32"/>
        <v>819</v>
      </c>
      <c r="N1047" s="11">
        <f>IF(Table1[[#This Row],[Transaction Type]]="Sale",ABS(E1047)*K1047,0)</f>
        <v>1235</v>
      </c>
      <c r="O1047" s="29">
        <f>IF(Table1[[#This Row],[Transaction Type]]="Purchase",E1047*J1047,0)</f>
        <v>0</v>
      </c>
    </row>
    <row r="1048" spans="1:15" x14ac:dyDescent="0.35">
      <c r="A1048" s="27" t="s">
        <v>1476</v>
      </c>
      <c r="B1048" s="12">
        <v>45971</v>
      </c>
      <c r="C1048" s="11" t="s">
        <v>48</v>
      </c>
      <c r="D1048" s="11" t="s">
        <v>13</v>
      </c>
      <c r="E1048" s="11">
        <v>-14</v>
      </c>
      <c r="F1048" s="11">
        <f t="shared" si="33"/>
        <v>-14</v>
      </c>
      <c r="G1048" s="11" t="s">
        <v>24</v>
      </c>
      <c r="H1048" s="11" t="s">
        <v>49</v>
      </c>
      <c r="I1048" s="11" t="s">
        <v>21</v>
      </c>
      <c r="J1048" s="11">
        <v>8.5</v>
      </c>
      <c r="K1048" s="11">
        <v>18</v>
      </c>
      <c r="L1048" s="11"/>
      <c r="M1048" s="11">
        <f t="shared" si="32"/>
        <v>119</v>
      </c>
      <c r="N1048" s="11">
        <f>IF(Table1[[#This Row],[Transaction Type]]="Sale",ABS(E1048)*K1048,0)</f>
        <v>252</v>
      </c>
      <c r="O1048" s="29">
        <f>IF(Table1[[#This Row],[Transaction Type]]="Purchase",E1048*J1048,0)</f>
        <v>0</v>
      </c>
    </row>
    <row r="1049" spans="1:15" x14ac:dyDescent="0.35">
      <c r="A1049" s="27" t="s">
        <v>1477</v>
      </c>
      <c r="B1049" s="12">
        <v>45971</v>
      </c>
      <c r="C1049" s="11" t="s">
        <v>36</v>
      </c>
      <c r="D1049" s="11" t="s">
        <v>13</v>
      </c>
      <c r="E1049" s="11">
        <v>-12</v>
      </c>
      <c r="F1049" s="11">
        <f t="shared" si="33"/>
        <v>-12</v>
      </c>
      <c r="G1049" s="11" t="s">
        <v>24</v>
      </c>
      <c r="H1049" s="11" t="s">
        <v>37</v>
      </c>
      <c r="I1049" s="11" t="s">
        <v>16</v>
      </c>
      <c r="J1049" s="11">
        <v>7.2</v>
      </c>
      <c r="K1049" s="11">
        <v>12.5</v>
      </c>
      <c r="L1049" s="11"/>
      <c r="M1049" s="11">
        <f t="shared" si="32"/>
        <v>86.4</v>
      </c>
      <c r="N1049" s="11">
        <f>IF(Table1[[#This Row],[Transaction Type]]="Sale",ABS(E1049)*K1049,0)</f>
        <v>150</v>
      </c>
      <c r="O1049" s="29">
        <f>IF(Table1[[#This Row],[Transaction Type]]="Purchase",E1049*J1049,0)</f>
        <v>0</v>
      </c>
    </row>
    <row r="1050" spans="1:15" x14ac:dyDescent="0.35">
      <c r="A1050" s="27" t="s">
        <v>1478</v>
      </c>
      <c r="B1050" s="12">
        <v>45971</v>
      </c>
      <c r="C1050" s="11" t="s">
        <v>98</v>
      </c>
      <c r="D1050" s="11" t="s">
        <v>40</v>
      </c>
      <c r="E1050" s="11">
        <v>97</v>
      </c>
      <c r="F1050" s="11">
        <f t="shared" si="33"/>
        <v>97</v>
      </c>
      <c r="G1050" s="11" t="s">
        <v>24</v>
      </c>
      <c r="H1050" s="11" t="s">
        <v>30</v>
      </c>
      <c r="I1050" s="11" t="s">
        <v>16</v>
      </c>
      <c r="J1050" s="11">
        <v>16</v>
      </c>
      <c r="K1050" s="11">
        <v>29</v>
      </c>
      <c r="L1050" s="11" t="s">
        <v>1479</v>
      </c>
      <c r="M1050" s="11">
        <f t="shared" si="32"/>
        <v>1552</v>
      </c>
      <c r="N1050" s="11">
        <f>IF(Table1[[#This Row],[Transaction Type]]="Sale",ABS(E1050)*K1050,0)</f>
        <v>0</v>
      </c>
      <c r="O1050" s="29">
        <f>IF(Table1[[#This Row],[Transaction Type]]="Purchase",E1050*J1050,0)</f>
        <v>1552</v>
      </c>
    </row>
    <row r="1051" spans="1:15" x14ac:dyDescent="0.35">
      <c r="A1051" s="27" t="s">
        <v>1480</v>
      </c>
      <c r="B1051" s="12">
        <v>45971</v>
      </c>
      <c r="C1051" s="11" t="s">
        <v>139</v>
      </c>
      <c r="D1051" s="11" t="s">
        <v>13</v>
      </c>
      <c r="E1051" s="11">
        <v>-11</v>
      </c>
      <c r="F1051" s="11">
        <f t="shared" si="33"/>
        <v>-11</v>
      </c>
      <c r="G1051" s="11" t="s">
        <v>19</v>
      </c>
      <c r="H1051" s="11" t="s">
        <v>56</v>
      </c>
      <c r="I1051" s="11" t="s">
        <v>16</v>
      </c>
      <c r="J1051" s="11">
        <v>16.5</v>
      </c>
      <c r="K1051" s="11">
        <v>28</v>
      </c>
      <c r="L1051" s="11"/>
      <c r="M1051" s="11">
        <f t="shared" si="32"/>
        <v>181.5</v>
      </c>
      <c r="N1051" s="11">
        <f>IF(Table1[[#This Row],[Transaction Type]]="Sale",ABS(E1051)*K1051,0)</f>
        <v>308</v>
      </c>
      <c r="O1051" s="29">
        <f>IF(Table1[[#This Row],[Transaction Type]]="Purchase",E1051*J1051,0)</f>
        <v>0</v>
      </c>
    </row>
    <row r="1052" spans="1:15" x14ac:dyDescent="0.35">
      <c r="A1052" s="27" t="s">
        <v>1481</v>
      </c>
      <c r="B1052" s="12">
        <v>45972</v>
      </c>
      <c r="C1052" s="11" t="s">
        <v>139</v>
      </c>
      <c r="D1052" s="11" t="s">
        <v>13</v>
      </c>
      <c r="E1052" s="11">
        <v>-2</v>
      </c>
      <c r="F1052" s="11">
        <f t="shared" si="33"/>
        <v>-2</v>
      </c>
      <c r="G1052" s="11" t="s">
        <v>19</v>
      </c>
      <c r="H1052" s="11" t="s">
        <v>56</v>
      </c>
      <c r="I1052" s="11" t="s">
        <v>16</v>
      </c>
      <c r="J1052" s="11">
        <v>16.5</v>
      </c>
      <c r="K1052" s="11">
        <v>28</v>
      </c>
      <c r="L1052" s="11"/>
      <c r="M1052" s="11">
        <f t="shared" si="32"/>
        <v>33</v>
      </c>
      <c r="N1052" s="11">
        <f>IF(Table1[[#This Row],[Transaction Type]]="Sale",ABS(E1052)*K1052,0)</f>
        <v>56</v>
      </c>
      <c r="O1052" s="29">
        <f>IF(Table1[[#This Row],[Transaction Type]]="Purchase",E1052*J1052,0)</f>
        <v>0</v>
      </c>
    </row>
    <row r="1053" spans="1:15" x14ac:dyDescent="0.35">
      <c r="A1053" s="27" t="s">
        <v>1482</v>
      </c>
      <c r="B1053" s="12">
        <v>45972</v>
      </c>
      <c r="C1053" s="11" t="s">
        <v>65</v>
      </c>
      <c r="D1053" s="11" t="s">
        <v>13</v>
      </c>
      <c r="E1053" s="11">
        <v>-9</v>
      </c>
      <c r="F1053" s="11">
        <f t="shared" si="33"/>
        <v>-9</v>
      </c>
      <c r="G1053" s="11" t="s">
        <v>14</v>
      </c>
      <c r="H1053" s="11" t="s">
        <v>67</v>
      </c>
      <c r="I1053" s="11" t="s">
        <v>21</v>
      </c>
      <c r="J1053" s="11">
        <v>11</v>
      </c>
      <c r="K1053" s="11">
        <v>22</v>
      </c>
      <c r="L1053" s="11"/>
      <c r="M1053" s="11">
        <f t="shared" si="32"/>
        <v>99</v>
      </c>
      <c r="N1053" s="11">
        <f>IF(Table1[[#This Row],[Transaction Type]]="Sale",ABS(E1053)*K1053,0)</f>
        <v>198</v>
      </c>
      <c r="O1053" s="29">
        <f>IF(Table1[[#This Row],[Transaction Type]]="Purchase",E1053*J1053,0)</f>
        <v>0</v>
      </c>
    </row>
    <row r="1054" spans="1:15" x14ac:dyDescent="0.35">
      <c r="A1054" s="27" t="s">
        <v>1483</v>
      </c>
      <c r="B1054" s="12">
        <v>45972</v>
      </c>
      <c r="C1054" s="11" t="s">
        <v>141</v>
      </c>
      <c r="D1054" s="11" t="s">
        <v>40</v>
      </c>
      <c r="E1054" s="11">
        <v>76</v>
      </c>
      <c r="F1054" s="11">
        <f t="shared" si="33"/>
        <v>76</v>
      </c>
      <c r="G1054" s="11" t="s">
        <v>24</v>
      </c>
      <c r="H1054" s="11" t="s">
        <v>25</v>
      </c>
      <c r="I1054" s="11" t="s">
        <v>26</v>
      </c>
      <c r="J1054" s="11">
        <v>4</v>
      </c>
      <c r="K1054" s="11">
        <v>9</v>
      </c>
      <c r="L1054" s="11" t="s">
        <v>1484</v>
      </c>
      <c r="M1054" s="11">
        <f t="shared" si="32"/>
        <v>304</v>
      </c>
      <c r="N1054" s="11">
        <f>IF(Table1[[#This Row],[Transaction Type]]="Sale",ABS(E1054)*K1054,0)</f>
        <v>0</v>
      </c>
      <c r="O1054" s="29">
        <f>IF(Table1[[#This Row],[Transaction Type]]="Purchase",E1054*J1054,0)</f>
        <v>304</v>
      </c>
    </row>
    <row r="1055" spans="1:15" x14ac:dyDescent="0.35">
      <c r="A1055" s="27" t="s">
        <v>1485</v>
      </c>
      <c r="B1055" s="12">
        <v>45974</v>
      </c>
      <c r="C1055" s="11" t="s">
        <v>185</v>
      </c>
      <c r="D1055" s="11" t="s">
        <v>40</v>
      </c>
      <c r="E1055" s="11">
        <v>32</v>
      </c>
      <c r="F1055" s="11">
        <f t="shared" si="33"/>
        <v>32</v>
      </c>
      <c r="G1055" s="11" t="s">
        <v>14</v>
      </c>
      <c r="H1055" s="11" t="s">
        <v>44</v>
      </c>
      <c r="I1055" s="11" t="s">
        <v>45</v>
      </c>
      <c r="J1055" s="11">
        <v>63</v>
      </c>
      <c r="K1055" s="11">
        <v>95</v>
      </c>
      <c r="L1055" s="11" t="s">
        <v>1486</v>
      </c>
      <c r="M1055" s="11">
        <f t="shared" si="32"/>
        <v>2016</v>
      </c>
      <c r="N1055" s="11">
        <f>IF(Table1[[#This Row],[Transaction Type]]="Sale",ABS(E1055)*K1055,0)</f>
        <v>0</v>
      </c>
      <c r="O1055" s="29">
        <f>IF(Table1[[#This Row],[Transaction Type]]="Purchase",E1055*J1055,0)</f>
        <v>2016</v>
      </c>
    </row>
    <row r="1056" spans="1:15" x14ac:dyDescent="0.35">
      <c r="A1056" s="27" t="s">
        <v>1487</v>
      </c>
      <c r="B1056" s="12">
        <v>45975</v>
      </c>
      <c r="C1056" s="11" t="s">
        <v>170</v>
      </c>
      <c r="D1056" s="11" t="s">
        <v>40</v>
      </c>
      <c r="E1056" s="11">
        <v>57</v>
      </c>
      <c r="F1056" s="11">
        <f t="shared" si="33"/>
        <v>57</v>
      </c>
      <c r="G1056" s="11" t="s">
        <v>24</v>
      </c>
      <c r="H1056" s="11" t="s">
        <v>171</v>
      </c>
      <c r="I1056" s="11" t="s">
        <v>34</v>
      </c>
      <c r="J1056" s="11">
        <v>25</v>
      </c>
      <c r="K1056" s="11">
        <v>45</v>
      </c>
      <c r="L1056" s="11" t="s">
        <v>1488</v>
      </c>
      <c r="M1056" s="11">
        <f t="shared" si="32"/>
        <v>1425</v>
      </c>
      <c r="N1056" s="11">
        <f>IF(Table1[[#This Row],[Transaction Type]]="Sale",ABS(E1056)*K1056,0)</f>
        <v>0</v>
      </c>
      <c r="O1056" s="29">
        <f>IF(Table1[[#This Row],[Transaction Type]]="Purchase",E1056*J1056,0)</f>
        <v>1425</v>
      </c>
    </row>
    <row r="1057" spans="1:15" x14ac:dyDescent="0.35">
      <c r="A1057" s="27" t="s">
        <v>1489</v>
      </c>
      <c r="B1057" s="12">
        <v>45975</v>
      </c>
      <c r="C1057" s="11" t="s">
        <v>141</v>
      </c>
      <c r="D1057" s="11" t="s">
        <v>13</v>
      </c>
      <c r="E1057" s="11">
        <v>-15</v>
      </c>
      <c r="F1057" s="11">
        <f t="shared" si="33"/>
        <v>-15</v>
      </c>
      <c r="G1057" s="11" t="s">
        <v>14</v>
      </c>
      <c r="H1057" s="11" t="s">
        <v>25</v>
      </c>
      <c r="I1057" s="11" t="s">
        <v>26</v>
      </c>
      <c r="J1057" s="11">
        <v>4</v>
      </c>
      <c r="K1057" s="11">
        <v>9</v>
      </c>
      <c r="L1057" s="11"/>
      <c r="M1057" s="11">
        <f t="shared" si="32"/>
        <v>60</v>
      </c>
      <c r="N1057" s="11">
        <f>IF(Table1[[#This Row],[Transaction Type]]="Sale",ABS(E1057)*K1057,0)</f>
        <v>135</v>
      </c>
      <c r="O1057" s="29">
        <f>IF(Table1[[#This Row],[Transaction Type]]="Purchase",E1057*J1057,0)</f>
        <v>0</v>
      </c>
    </row>
    <row r="1058" spans="1:15" x14ac:dyDescent="0.35">
      <c r="A1058" s="27" t="s">
        <v>1490</v>
      </c>
      <c r="B1058" s="12">
        <v>45975</v>
      </c>
      <c r="C1058" s="11" t="s">
        <v>73</v>
      </c>
      <c r="D1058" s="11" t="s">
        <v>13</v>
      </c>
      <c r="E1058" s="11">
        <v>-15</v>
      </c>
      <c r="F1058" s="11">
        <f t="shared" si="33"/>
        <v>-15</v>
      </c>
      <c r="G1058" s="11" t="s">
        <v>14</v>
      </c>
      <c r="H1058" s="11" t="s">
        <v>74</v>
      </c>
      <c r="I1058" s="11" t="s">
        <v>75</v>
      </c>
      <c r="J1058" s="11">
        <v>30</v>
      </c>
      <c r="K1058" s="11">
        <v>48</v>
      </c>
      <c r="L1058" s="11"/>
      <c r="M1058" s="11">
        <f t="shared" si="32"/>
        <v>450</v>
      </c>
      <c r="N1058" s="11">
        <f>IF(Table1[[#This Row],[Transaction Type]]="Sale",ABS(E1058)*K1058,0)</f>
        <v>720</v>
      </c>
      <c r="O1058" s="29">
        <f>IF(Table1[[#This Row],[Transaction Type]]="Purchase",E1058*J1058,0)</f>
        <v>0</v>
      </c>
    </row>
    <row r="1059" spans="1:15" x14ac:dyDescent="0.35">
      <c r="A1059" s="27" t="s">
        <v>1491</v>
      </c>
      <c r="B1059" s="12">
        <v>45977</v>
      </c>
      <c r="C1059" s="11" t="s">
        <v>69</v>
      </c>
      <c r="D1059" s="11" t="s">
        <v>13</v>
      </c>
      <c r="E1059" s="11">
        <v>-4</v>
      </c>
      <c r="F1059" s="11">
        <f t="shared" si="33"/>
        <v>-4</v>
      </c>
      <c r="G1059" s="11" t="s">
        <v>14</v>
      </c>
      <c r="H1059" s="11" t="s">
        <v>70</v>
      </c>
      <c r="I1059" s="11" t="s">
        <v>16</v>
      </c>
      <c r="J1059" s="11">
        <v>23</v>
      </c>
      <c r="K1059" s="11">
        <v>38</v>
      </c>
      <c r="L1059" s="11"/>
      <c r="M1059" s="11">
        <f t="shared" si="32"/>
        <v>92</v>
      </c>
      <c r="N1059" s="11">
        <f>IF(Table1[[#This Row],[Transaction Type]]="Sale",ABS(E1059)*K1059,0)</f>
        <v>152</v>
      </c>
      <c r="O1059" s="29">
        <f>IF(Table1[[#This Row],[Transaction Type]]="Purchase",E1059*J1059,0)</f>
        <v>0</v>
      </c>
    </row>
    <row r="1060" spans="1:15" x14ac:dyDescent="0.35">
      <c r="A1060" s="27" t="s">
        <v>1492</v>
      </c>
      <c r="B1060" s="12">
        <v>45977</v>
      </c>
      <c r="C1060" s="11" t="s">
        <v>43</v>
      </c>
      <c r="D1060" s="11" t="s">
        <v>13</v>
      </c>
      <c r="E1060" s="11">
        <v>-11</v>
      </c>
      <c r="F1060" s="11">
        <f t="shared" si="33"/>
        <v>-11</v>
      </c>
      <c r="G1060" s="11" t="s">
        <v>24</v>
      </c>
      <c r="H1060" s="11" t="s">
        <v>44</v>
      </c>
      <c r="I1060" s="11" t="s">
        <v>45</v>
      </c>
      <c r="J1060" s="11">
        <v>5.2</v>
      </c>
      <c r="K1060" s="11">
        <v>11</v>
      </c>
      <c r="L1060" s="11"/>
      <c r="M1060" s="11">
        <f t="shared" si="32"/>
        <v>57.2</v>
      </c>
      <c r="N1060" s="11">
        <f>IF(Table1[[#This Row],[Transaction Type]]="Sale",ABS(E1060)*K1060,0)</f>
        <v>121</v>
      </c>
      <c r="O1060" s="29">
        <f>IF(Table1[[#This Row],[Transaction Type]]="Purchase",E1060*J1060,0)</f>
        <v>0</v>
      </c>
    </row>
    <row r="1061" spans="1:15" x14ac:dyDescent="0.35">
      <c r="A1061" s="27" t="s">
        <v>1493</v>
      </c>
      <c r="B1061" s="12">
        <v>45978</v>
      </c>
      <c r="C1061" s="11" t="s">
        <v>77</v>
      </c>
      <c r="D1061" s="11" t="s">
        <v>40</v>
      </c>
      <c r="E1061" s="11">
        <v>80</v>
      </c>
      <c r="F1061" s="11">
        <f t="shared" si="33"/>
        <v>80</v>
      </c>
      <c r="G1061" s="11" t="s">
        <v>24</v>
      </c>
      <c r="H1061" s="11" t="s">
        <v>78</v>
      </c>
      <c r="I1061" s="11" t="s">
        <v>16</v>
      </c>
      <c r="J1061" s="11">
        <v>25</v>
      </c>
      <c r="K1061" s="11">
        <v>42</v>
      </c>
      <c r="L1061" s="11" t="s">
        <v>1494</v>
      </c>
      <c r="M1061" s="11">
        <f t="shared" si="32"/>
        <v>2000</v>
      </c>
      <c r="N1061" s="11">
        <f>IF(Table1[[#This Row],[Transaction Type]]="Sale",ABS(E1061)*K1061,0)</f>
        <v>0</v>
      </c>
      <c r="O1061" s="29">
        <f>IF(Table1[[#This Row],[Transaction Type]]="Purchase",E1061*J1061,0)</f>
        <v>2000</v>
      </c>
    </row>
    <row r="1062" spans="1:15" x14ac:dyDescent="0.35">
      <c r="A1062" s="27" t="s">
        <v>1495</v>
      </c>
      <c r="B1062" s="12">
        <v>45978</v>
      </c>
      <c r="C1062" s="11" t="s">
        <v>109</v>
      </c>
      <c r="D1062" s="11" t="s">
        <v>40</v>
      </c>
      <c r="E1062" s="11">
        <v>82</v>
      </c>
      <c r="F1062" s="11">
        <f t="shared" si="33"/>
        <v>82</v>
      </c>
      <c r="G1062" s="11" t="s">
        <v>14</v>
      </c>
      <c r="H1062" s="11" t="s">
        <v>110</v>
      </c>
      <c r="I1062" s="11" t="s">
        <v>26</v>
      </c>
      <c r="J1062" s="11">
        <v>105</v>
      </c>
      <c r="K1062" s="11">
        <v>165</v>
      </c>
      <c r="L1062" s="11" t="s">
        <v>1496</v>
      </c>
      <c r="M1062" s="11">
        <f t="shared" si="32"/>
        <v>8610</v>
      </c>
      <c r="N1062" s="11">
        <f>IF(Table1[[#This Row],[Transaction Type]]="Sale",ABS(E1062)*K1062,0)</f>
        <v>0</v>
      </c>
      <c r="O1062" s="29">
        <f>IF(Table1[[#This Row],[Transaction Type]]="Purchase",E1062*J1062,0)</f>
        <v>8610</v>
      </c>
    </row>
    <row r="1063" spans="1:15" x14ac:dyDescent="0.35">
      <c r="A1063" s="27" t="s">
        <v>1497</v>
      </c>
      <c r="B1063" s="12">
        <v>45978</v>
      </c>
      <c r="C1063" s="11" t="s">
        <v>43</v>
      </c>
      <c r="D1063" s="11" t="s">
        <v>13</v>
      </c>
      <c r="E1063" s="11">
        <v>-9</v>
      </c>
      <c r="F1063" s="11">
        <f t="shared" si="33"/>
        <v>-9</v>
      </c>
      <c r="G1063" s="11" t="s">
        <v>24</v>
      </c>
      <c r="H1063" s="11" t="s">
        <v>44</v>
      </c>
      <c r="I1063" s="11" t="s">
        <v>45</v>
      </c>
      <c r="J1063" s="11">
        <v>5.2</v>
      </c>
      <c r="K1063" s="11">
        <v>11</v>
      </c>
      <c r="L1063" s="11"/>
      <c r="M1063" s="11">
        <f t="shared" si="32"/>
        <v>46.800000000000004</v>
      </c>
      <c r="N1063" s="11">
        <f>IF(Table1[[#This Row],[Transaction Type]]="Sale",ABS(E1063)*K1063,0)</f>
        <v>99</v>
      </c>
      <c r="O1063" s="29">
        <f>IF(Table1[[#This Row],[Transaction Type]]="Purchase",E1063*J1063,0)</f>
        <v>0</v>
      </c>
    </row>
    <row r="1064" spans="1:15" x14ac:dyDescent="0.35">
      <c r="A1064" s="27" t="s">
        <v>1498</v>
      </c>
      <c r="B1064" s="12">
        <v>45979</v>
      </c>
      <c r="C1064" s="11" t="s">
        <v>23</v>
      </c>
      <c r="D1064" s="11" t="s">
        <v>40</v>
      </c>
      <c r="E1064" s="11">
        <v>108</v>
      </c>
      <c r="F1064" s="11">
        <f t="shared" si="33"/>
        <v>108</v>
      </c>
      <c r="G1064" s="11" t="s">
        <v>24</v>
      </c>
      <c r="H1064" s="11" t="s">
        <v>25</v>
      </c>
      <c r="I1064" s="11" t="s">
        <v>26</v>
      </c>
      <c r="J1064" s="11">
        <v>3</v>
      </c>
      <c r="K1064" s="11">
        <v>7</v>
      </c>
      <c r="L1064" s="11" t="s">
        <v>1499</v>
      </c>
      <c r="M1064" s="11">
        <f t="shared" si="32"/>
        <v>324</v>
      </c>
      <c r="N1064" s="11">
        <f>IF(Table1[[#This Row],[Transaction Type]]="Sale",ABS(E1064)*K1064,0)</f>
        <v>0</v>
      </c>
      <c r="O1064" s="29">
        <f>IF(Table1[[#This Row],[Transaction Type]]="Purchase",E1064*J1064,0)</f>
        <v>324</v>
      </c>
    </row>
    <row r="1065" spans="1:15" x14ac:dyDescent="0.35">
      <c r="A1065" s="27" t="s">
        <v>1500</v>
      </c>
      <c r="B1065" s="12">
        <v>45979</v>
      </c>
      <c r="C1065" s="11" t="s">
        <v>32</v>
      </c>
      <c r="D1065" s="11" t="s">
        <v>40</v>
      </c>
      <c r="E1065" s="11">
        <v>40</v>
      </c>
      <c r="F1065" s="11">
        <f t="shared" si="33"/>
        <v>40</v>
      </c>
      <c r="G1065" s="11" t="s">
        <v>14</v>
      </c>
      <c r="H1065" s="11" t="s">
        <v>33</v>
      </c>
      <c r="I1065" s="11" t="s">
        <v>34</v>
      </c>
      <c r="J1065" s="11">
        <v>20</v>
      </c>
      <c r="K1065" s="11">
        <v>35</v>
      </c>
      <c r="L1065" s="11" t="s">
        <v>1501</v>
      </c>
      <c r="M1065" s="11">
        <f t="shared" si="32"/>
        <v>800</v>
      </c>
      <c r="N1065" s="11">
        <f>IF(Table1[[#This Row],[Transaction Type]]="Sale",ABS(E1065)*K1065,0)</f>
        <v>0</v>
      </c>
      <c r="O1065" s="29">
        <f>IF(Table1[[#This Row],[Transaction Type]]="Purchase",E1065*J1065,0)</f>
        <v>800</v>
      </c>
    </row>
    <row r="1066" spans="1:15" x14ac:dyDescent="0.35">
      <c r="A1066" s="27" t="s">
        <v>1502</v>
      </c>
      <c r="B1066" s="12">
        <v>45980</v>
      </c>
      <c r="C1066" s="11" t="s">
        <v>170</v>
      </c>
      <c r="D1066" s="11" t="s">
        <v>13</v>
      </c>
      <c r="E1066" s="11">
        <v>-2</v>
      </c>
      <c r="F1066" s="11">
        <f t="shared" si="33"/>
        <v>-2</v>
      </c>
      <c r="G1066" s="11" t="s">
        <v>24</v>
      </c>
      <c r="H1066" s="11" t="s">
        <v>171</v>
      </c>
      <c r="I1066" s="11" t="s">
        <v>34</v>
      </c>
      <c r="J1066" s="11">
        <v>25</v>
      </c>
      <c r="K1066" s="11">
        <v>45</v>
      </c>
      <c r="L1066" s="11"/>
      <c r="M1066" s="11">
        <f t="shared" si="32"/>
        <v>50</v>
      </c>
      <c r="N1066" s="11">
        <f>IF(Table1[[#This Row],[Transaction Type]]="Sale",ABS(E1066)*K1066,0)</f>
        <v>90</v>
      </c>
      <c r="O1066" s="29">
        <f>IF(Table1[[#This Row],[Transaction Type]]="Purchase",E1066*J1066,0)</f>
        <v>0</v>
      </c>
    </row>
    <row r="1067" spans="1:15" x14ac:dyDescent="0.35">
      <c r="A1067" s="27" t="s">
        <v>1503</v>
      </c>
      <c r="B1067" s="12">
        <v>45980</v>
      </c>
      <c r="C1067" s="11" t="s">
        <v>52</v>
      </c>
      <c r="D1067" s="11" t="s">
        <v>40</v>
      </c>
      <c r="E1067" s="11">
        <v>112</v>
      </c>
      <c r="F1067" s="11">
        <f t="shared" si="33"/>
        <v>112</v>
      </c>
      <c r="G1067" s="11" t="s">
        <v>14</v>
      </c>
      <c r="H1067" s="11" t="s">
        <v>20</v>
      </c>
      <c r="I1067" s="11" t="s">
        <v>21</v>
      </c>
      <c r="J1067" s="11">
        <v>5.5</v>
      </c>
      <c r="K1067" s="11">
        <v>12</v>
      </c>
      <c r="L1067" s="11" t="s">
        <v>1504</v>
      </c>
      <c r="M1067" s="11">
        <f t="shared" si="32"/>
        <v>616</v>
      </c>
      <c r="N1067" s="11">
        <f>IF(Table1[[#This Row],[Transaction Type]]="Sale",ABS(E1067)*K1067,0)</f>
        <v>0</v>
      </c>
      <c r="O1067" s="29">
        <f>IF(Table1[[#This Row],[Transaction Type]]="Purchase",E1067*J1067,0)</f>
        <v>616</v>
      </c>
    </row>
    <row r="1068" spans="1:15" x14ac:dyDescent="0.35">
      <c r="A1068" s="27" t="s">
        <v>1505</v>
      </c>
      <c r="B1068" s="12">
        <v>45980</v>
      </c>
      <c r="C1068" s="11" t="s">
        <v>23</v>
      </c>
      <c r="D1068" s="11" t="s">
        <v>13</v>
      </c>
      <c r="E1068" s="11">
        <v>-1</v>
      </c>
      <c r="F1068" s="11">
        <f t="shared" si="33"/>
        <v>-1</v>
      </c>
      <c r="G1068" s="11" t="s">
        <v>14</v>
      </c>
      <c r="H1068" s="11" t="s">
        <v>25</v>
      </c>
      <c r="I1068" s="11" t="s">
        <v>26</v>
      </c>
      <c r="J1068" s="11">
        <v>3</v>
      </c>
      <c r="K1068" s="11">
        <v>7</v>
      </c>
      <c r="L1068" s="11"/>
      <c r="M1068" s="11">
        <f t="shared" si="32"/>
        <v>3</v>
      </c>
      <c r="N1068" s="11">
        <f>IF(Table1[[#This Row],[Transaction Type]]="Sale",ABS(E1068)*K1068,0)</f>
        <v>7</v>
      </c>
      <c r="O1068" s="29">
        <f>IF(Table1[[#This Row],[Transaction Type]]="Purchase",E1068*J1068,0)</f>
        <v>0</v>
      </c>
    </row>
    <row r="1069" spans="1:15" x14ac:dyDescent="0.35">
      <c r="A1069" s="27" t="s">
        <v>1506</v>
      </c>
      <c r="B1069" s="12">
        <v>45980</v>
      </c>
      <c r="C1069" s="11" t="s">
        <v>43</v>
      </c>
      <c r="D1069" s="11" t="s">
        <v>13</v>
      </c>
      <c r="E1069" s="11">
        <v>-2</v>
      </c>
      <c r="F1069" s="11">
        <f t="shared" si="33"/>
        <v>-2</v>
      </c>
      <c r="G1069" s="11" t="s">
        <v>19</v>
      </c>
      <c r="H1069" s="11" t="s">
        <v>44</v>
      </c>
      <c r="I1069" s="11" t="s">
        <v>45</v>
      </c>
      <c r="J1069" s="11">
        <v>5.2</v>
      </c>
      <c r="K1069" s="11">
        <v>11</v>
      </c>
      <c r="L1069" s="11"/>
      <c r="M1069" s="11">
        <f t="shared" si="32"/>
        <v>10.4</v>
      </c>
      <c r="N1069" s="11">
        <f>IF(Table1[[#This Row],[Transaction Type]]="Sale",ABS(E1069)*K1069,0)</f>
        <v>22</v>
      </c>
      <c r="O1069" s="29">
        <f>IF(Table1[[#This Row],[Transaction Type]]="Purchase",E1069*J1069,0)</f>
        <v>0</v>
      </c>
    </row>
    <row r="1070" spans="1:15" x14ac:dyDescent="0.35">
      <c r="A1070" s="27" t="s">
        <v>1507</v>
      </c>
      <c r="B1070" s="12">
        <v>45980</v>
      </c>
      <c r="C1070" s="11" t="s">
        <v>18</v>
      </c>
      <c r="D1070" s="11" t="s">
        <v>13</v>
      </c>
      <c r="E1070" s="11">
        <v>-4</v>
      </c>
      <c r="F1070" s="11">
        <f t="shared" si="33"/>
        <v>-4</v>
      </c>
      <c r="G1070" s="11" t="s">
        <v>14</v>
      </c>
      <c r="H1070" s="11" t="s">
        <v>20</v>
      </c>
      <c r="I1070" s="11" t="s">
        <v>21</v>
      </c>
      <c r="J1070" s="11">
        <v>2.6</v>
      </c>
      <c r="K1070" s="11">
        <v>5.5</v>
      </c>
      <c r="L1070" s="11"/>
      <c r="M1070" s="11">
        <f t="shared" si="32"/>
        <v>10.4</v>
      </c>
      <c r="N1070" s="11">
        <f>IF(Table1[[#This Row],[Transaction Type]]="Sale",ABS(E1070)*K1070,0)</f>
        <v>22</v>
      </c>
      <c r="O1070" s="29">
        <f>IF(Table1[[#This Row],[Transaction Type]]="Purchase",E1070*J1070,0)</f>
        <v>0</v>
      </c>
    </row>
    <row r="1071" spans="1:15" x14ac:dyDescent="0.35">
      <c r="A1071" s="27" t="s">
        <v>1508</v>
      </c>
      <c r="B1071" s="12">
        <v>45981</v>
      </c>
      <c r="C1071" s="11" t="s">
        <v>73</v>
      </c>
      <c r="D1071" s="11" t="s">
        <v>13</v>
      </c>
      <c r="E1071" s="11">
        <v>-8</v>
      </c>
      <c r="F1071" s="11">
        <f t="shared" si="33"/>
        <v>-8</v>
      </c>
      <c r="G1071" s="11" t="s">
        <v>2522</v>
      </c>
      <c r="H1071" s="11" t="s">
        <v>74</v>
      </c>
      <c r="I1071" s="11" t="s">
        <v>75</v>
      </c>
      <c r="J1071" s="11">
        <v>30</v>
      </c>
      <c r="K1071" s="11">
        <v>48</v>
      </c>
      <c r="L1071" s="11"/>
      <c r="M1071" s="11">
        <f t="shared" si="32"/>
        <v>240</v>
      </c>
      <c r="N1071" s="11">
        <f>IF(Table1[[#This Row],[Transaction Type]]="Sale",ABS(E1071)*K1071,0)</f>
        <v>384</v>
      </c>
      <c r="O1071" s="29">
        <f>IF(Table1[[#This Row],[Transaction Type]]="Purchase",E1071*J1071,0)</f>
        <v>0</v>
      </c>
    </row>
    <row r="1072" spans="1:15" x14ac:dyDescent="0.35">
      <c r="A1072" s="27" t="s">
        <v>1509</v>
      </c>
      <c r="B1072" s="12">
        <v>45981</v>
      </c>
      <c r="C1072" s="11" t="s">
        <v>87</v>
      </c>
      <c r="D1072" s="11" t="s">
        <v>13</v>
      </c>
      <c r="E1072" s="11">
        <v>-4</v>
      </c>
      <c r="F1072" s="11">
        <f t="shared" si="33"/>
        <v>-4</v>
      </c>
      <c r="G1072" s="11" t="s">
        <v>19</v>
      </c>
      <c r="H1072" s="11" t="s">
        <v>88</v>
      </c>
      <c r="I1072" s="11" t="s">
        <v>16</v>
      </c>
      <c r="J1072" s="11">
        <v>6</v>
      </c>
      <c r="K1072" s="11">
        <v>14</v>
      </c>
      <c r="L1072" s="11"/>
      <c r="M1072" s="11">
        <f t="shared" si="32"/>
        <v>24</v>
      </c>
      <c r="N1072" s="11">
        <f>IF(Table1[[#This Row],[Transaction Type]]="Sale",ABS(E1072)*K1072,0)</f>
        <v>56</v>
      </c>
      <c r="O1072" s="29">
        <f>IF(Table1[[#This Row],[Transaction Type]]="Purchase",E1072*J1072,0)</f>
        <v>0</v>
      </c>
    </row>
    <row r="1073" spans="1:15" x14ac:dyDescent="0.35">
      <c r="A1073" s="27" t="s">
        <v>1510</v>
      </c>
      <c r="B1073" s="12">
        <v>45981</v>
      </c>
      <c r="C1073" s="11" t="s">
        <v>94</v>
      </c>
      <c r="D1073" s="11" t="s">
        <v>40</v>
      </c>
      <c r="E1073" s="11">
        <v>41</v>
      </c>
      <c r="F1073" s="11">
        <f t="shared" si="33"/>
        <v>41</v>
      </c>
      <c r="G1073" s="11" t="s">
        <v>19</v>
      </c>
      <c r="H1073" s="11" t="s">
        <v>95</v>
      </c>
      <c r="I1073" s="11" t="s">
        <v>16</v>
      </c>
      <c r="J1073" s="11">
        <v>18.5</v>
      </c>
      <c r="K1073" s="11">
        <v>31</v>
      </c>
      <c r="L1073" s="11" t="s">
        <v>1511</v>
      </c>
      <c r="M1073" s="11">
        <f t="shared" si="32"/>
        <v>758.5</v>
      </c>
      <c r="N1073" s="11">
        <f>IF(Table1[[#This Row],[Transaction Type]]="Sale",ABS(E1073)*K1073,0)</f>
        <v>0</v>
      </c>
      <c r="O1073" s="29">
        <f>IF(Table1[[#This Row],[Transaction Type]]="Purchase",E1073*J1073,0)</f>
        <v>758.5</v>
      </c>
    </row>
    <row r="1074" spans="1:15" x14ac:dyDescent="0.35">
      <c r="A1074" s="27" t="s">
        <v>1512</v>
      </c>
      <c r="B1074" s="12">
        <v>45982</v>
      </c>
      <c r="C1074" s="11" t="s">
        <v>36</v>
      </c>
      <c r="D1074" s="11" t="s">
        <v>13</v>
      </c>
      <c r="E1074" s="11">
        <v>-4</v>
      </c>
      <c r="F1074" s="11">
        <f t="shared" si="33"/>
        <v>-4</v>
      </c>
      <c r="G1074" s="11" t="s">
        <v>19</v>
      </c>
      <c r="H1074" s="11" t="s">
        <v>37</v>
      </c>
      <c r="I1074" s="11" t="s">
        <v>16</v>
      </c>
      <c r="J1074" s="11">
        <v>7.2</v>
      </c>
      <c r="K1074" s="11">
        <v>12.5</v>
      </c>
      <c r="L1074" s="11"/>
      <c r="M1074" s="11">
        <f t="shared" si="32"/>
        <v>28.8</v>
      </c>
      <c r="N1074" s="11">
        <f>IF(Table1[[#This Row],[Transaction Type]]="Sale",ABS(E1074)*K1074,0)</f>
        <v>50</v>
      </c>
      <c r="O1074" s="29">
        <f>IF(Table1[[#This Row],[Transaction Type]]="Purchase",E1074*J1074,0)</f>
        <v>0</v>
      </c>
    </row>
    <row r="1075" spans="1:15" x14ac:dyDescent="0.35">
      <c r="A1075" s="27" t="s">
        <v>1513</v>
      </c>
      <c r="B1075" s="12">
        <v>45982</v>
      </c>
      <c r="C1075" s="11" t="s">
        <v>23</v>
      </c>
      <c r="D1075" s="11" t="s">
        <v>13</v>
      </c>
      <c r="E1075" s="11">
        <v>-4</v>
      </c>
      <c r="F1075" s="11">
        <f t="shared" si="33"/>
        <v>-4</v>
      </c>
      <c r="G1075" s="11" t="s">
        <v>14</v>
      </c>
      <c r="H1075" s="11" t="s">
        <v>25</v>
      </c>
      <c r="I1075" s="11" t="s">
        <v>26</v>
      </c>
      <c r="J1075" s="11">
        <v>3</v>
      </c>
      <c r="K1075" s="11">
        <v>7</v>
      </c>
      <c r="L1075" s="11"/>
      <c r="M1075" s="11">
        <f t="shared" si="32"/>
        <v>12</v>
      </c>
      <c r="N1075" s="11">
        <f>IF(Table1[[#This Row],[Transaction Type]]="Sale",ABS(E1075)*K1075,0)</f>
        <v>28</v>
      </c>
      <c r="O1075" s="29">
        <f>IF(Table1[[#This Row],[Transaction Type]]="Purchase",E1075*J1075,0)</f>
        <v>0</v>
      </c>
    </row>
    <row r="1076" spans="1:15" x14ac:dyDescent="0.35">
      <c r="A1076" s="27" t="s">
        <v>1514</v>
      </c>
      <c r="B1076" s="12">
        <v>45982</v>
      </c>
      <c r="C1076" s="11" t="s">
        <v>94</v>
      </c>
      <c r="D1076" s="11" t="s">
        <v>58</v>
      </c>
      <c r="E1076" s="11">
        <v>18</v>
      </c>
      <c r="F1076" s="11">
        <f t="shared" si="33"/>
        <v>18</v>
      </c>
      <c r="G1076" s="11" t="s">
        <v>14</v>
      </c>
      <c r="H1076" s="11" t="s">
        <v>95</v>
      </c>
      <c r="I1076" s="11" t="s">
        <v>16</v>
      </c>
      <c r="J1076" s="11">
        <v>18.5</v>
      </c>
      <c r="K1076" s="11">
        <v>31</v>
      </c>
      <c r="L1076" s="11"/>
      <c r="M1076" s="11">
        <f t="shared" si="32"/>
        <v>333</v>
      </c>
      <c r="N1076" s="11">
        <f>IF(Table1[[#This Row],[Transaction Type]]="Sale",ABS(E1076)*K1076,0)</f>
        <v>0</v>
      </c>
      <c r="O1076" s="29">
        <f>IF(Table1[[#This Row],[Transaction Type]]="Purchase",E1076*J1076,0)</f>
        <v>0</v>
      </c>
    </row>
    <row r="1077" spans="1:15" x14ac:dyDescent="0.35">
      <c r="A1077" s="27" t="s">
        <v>1515</v>
      </c>
      <c r="B1077" s="12">
        <v>45982</v>
      </c>
      <c r="C1077" s="11" t="s">
        <v>12</v>
      </c>
      <c r="D1077" s="11" t="s">
        <v>13</v>
      </c>
      <c r="E1077" s="11">
        <v>-6</v>
      </c>
      <c r="F1077" s="11">
        <f t="shared" si="33"/>
        <v>-6</v>
      </c>
      <c r="G1077" s="11" t="s">
        <v>24</v>
      </c>
      <c r="H1077" s="11" t="s">
        <v>15</v>
      </c>
      <c r="I1077" s="11" t="s">
        <v>16</v>
      </c>
      <c r="J1077" s="11">
        <v>13.5</v>
      </c>
      <c r="K1077" s="11">
        <v>24</v>
      </c>
      <c r="L1077" s="11"/>
      <c r="M1077" s="11">
        <f t="shared" si="32"/>
        <v>81</v>
      </c>
      <c r="N1077" s="11">
        <f>IF(Table1[[#This Row],[Transaction Type]]="Sale",ABS(E1077)*K1077,0)</f>
        <v>144</v>
      </c>
      <c r="O1077" s="29">
        <f>IF(Table1[[#This Row],[Transaction Type]]="Purchase",E1077*J1077,0)</f>
        <v>0</v>
      </c>
    </row>
    <row r="1078" spans="1:15" x14ac:dyDescent="0.35">
      <c r="A1078" s="27" t="s">
        <v>1516</v>
      </c>
      <c r="B1078" s="12">
        <v>45983</v>
      </c>
      <c r="C1078" s="11" t="s">
        <v>141</v>
      </c>
      <c r="D1078" s="11" t="s">
        <v>13</v>
      </c>
      <c r="E1078" s="11">
        <v>-8</v>
      </c>
      <c r="F1078" s="11">
        <f t="shared" si="33"/>
        <v>-8</v>
      </c>
      <c r="G1078" s="11" t="s">
        <v>14</v>
      </c>
      <c r="H1078" s="11" t="s">
        <v>1517</v>
      </c>
      <c r="I1078" s="11" t="s">
        <v>26</v>
      </c>
      <c r="J1078" s="11">
        <v>4</v>
      </c>
      <c r="K1078" s="11">
        <v>9</v>
      </c>
      <c r="L1078" s="11"/>
      <c r="M1078" s="11">
        <f t="shared" si="32"/>
        <v>32</v>
      </c>
      <c r="N1078" s="11">
        <f>IF(Table1[[#This Row],[Transaction Type]]="Sale",ABS(E1078)*K1078,0)</f>
        <v>72</v>
      </c>
      <c r="O1078" s="29">
        <f>IF(Table1[[#This Row],[Transaction Type]]="Purchase",E1078*J1078,0)</f>
        <v>0</v>
      </c>
    </row>
    <row r="1079" spans="1:15" x14ac:dyDescent="0.35">
      <c r="A1079" s="27" t="s">
        <v>1518</v>
      </c>
      <c r="B1079" s="12">
        <v>45983</v>
      </c>
      <c r="C1079" s="11" t="s">
        <v>60</v>
      </c>
      <c r="D1079" s="11" t="s">
        <v>13</v>
      </c>
      <c r="E1079" s="11">
        <v>-8</v>
      </c>
      <c r="F1079" s="11">
        <f t="shared" si="33"/>
        <v>-8</v>
      </c>
      <c r="G1079" s="11" t="s">
        <v>19</v>
      </c>
      <c r="H1079" s="11" t="s">
        <v>61</v>
      </c>
      <c r="I1079" s="11" t="s">
        <v>62</v>
      </c>
      <c r="J1079" s="11">
        <v>3.4</v>
      </c>
      <c r="K1079" s="11">
        <v>8</v>
      </c>
      <c r="L1079" s="11"/>
      <c r="M1079" s="11">
        <f t="shared" si="32"/>
        <v>27.2</v>
      </c>
      <c r="N1079" s="11">
        <f>IF(Table1[[#This Row],[Transaction Type]]="Sale",ABS(E1079)*K1079,0)</f>
        <v>64</v>
      </c>
      <c r="O1079" s="29">
        <f>IF(Table1[[#This Row],[Transaction Type]]="Purchase",E1079*J1079,0)</f>
        <v>0</v>
      </c>
    </row>
    <row r="1080" spans="1:15" x14ac:dyDescent="0.35">
      <c r="A1080" s="27" t="s">
        <v>1519</v>
      </c>
      <c r="B1080" s="12">
        <v>45983</v>
      </c>
      <c r="C1080" s="11" t="s">
        <v>65</v>
      </c>
      <c r="D1080" s="11" t="s">
        <v>13</v>
      </c>
      <c r="E1080" s="11">
        <v>-11</v>
      </c>
      <c r="F1080" s="11">
        <f t="shared" si="33"/>
        <v>-11</v>
      </c>
      <c r="G1080" s="11" t="s">
        <v>14</v>
      </c>
      <c r="H1080" s="11" t="s">
        <v>67</v>
      </c>
      <c r="I1080" s="11" t="s">
        <v>21</v>
      </c>
      <c r="J1080" s="11">
        <v>11</v>
      </c>
      <c r="K1080" s="11">
        <v>22</v>
      </c>
      <c r="L1080" s="11"/>
      <c r="M1080" s="11">
        <f t="shared" si="32"/>
        <v>121</v>
      </c>
      <c r="N1080" s="11">
        <f>IF(Table1[[#This Row],[Transaction Type]]="Sale",ABS(E1080)*K1080,0)</f>
        <v>242</v>
      </c>
      <c r="O1080" s="29">
        <f>IF(Table1[[#This Row],[Transaction Type]]="Purchase",E1080*J1080,0)</f>
        <v>0</v>
      </c>
    </row>
    <row r="1081" spans="1:15" x14ac:dyDescent="0.35">
      <c r="A1081" s="27" t="s">
        <v>1520</v>
      </c>
      <c r="B1081" s="12">
        <v>45983</v>
      </c>
      <c r="C1081" s="11" t="s">
        <v>52</v>
      </c>
      <c r="D1081" s="11" t="s">
        <v>66</v>
      </c>
      <c r="E1081" s="11">
        <v>2</v>
      </c>
      <c r="F1081" s="11">
        <f t="shared" si="33"/>
        <v>2</v>
      </c>
      <c r="G1081" s="11" t="s">
        <v>14</v>
      </c>
      <c r="H1081" s="11" t="s">
        <v>20</v>
      </c>
      <c r="I1081" s="11" t="s">
        <v>21</v>
      </c>
      <c r="J1081" s="11">
        <v>5.5</v>
      </c>
      <c r="K1081" s="11">
        <v>12</v>
      </c>
      <c r="L1081" s="11"/>
      <c r="M1081" s="11">
        <f t="shared" si="32"/>
        <v>11</v>
      </c>
      <c r="N1081" s="11">
        <f>IF(Table1[[#This Row],[Transaction Type]]="Sale",ABS(E1081)*K1081,0)</f>
        <v>0</v>
      </c>
      <c r="O1081" s="29">
        <f>IF(Table1[[#This Row],[Transaction Type]]="Purchase",E1081*J1081,0)</f>
        <v>0</v>
      </c>
    </row>
    <row r="1082" spans="1:15" x14ac:dyDescent="0.35">
      <c r="A1082" s="27" t="s">
        <v>1521</v>
      </c>
      <c r="B1082" s="12">
        <v>45983</v>
      </c>
      <c r="C1082" s="11" t="s">
        <v>350</v>
      </c>
      <c r="D1082" s="11" t="s">
        <v>13</v>
      </c>
      <c r="E1082" s="11">
        <v>-2</v>
      </c>
      <c r="F1082" s="11">
        <f t="shared" si="33"/>
        <v>-2</v>
      </c>
      <c r="G1082" s="11" t="s">
        <v>19</v>
      </c>
      <c r="H1082" s="11" t="s">
        <v>74</v>
      </c>
      <c r="I1082" s="11" t="s">
        <v>75</v>
      </c>
      <c r="J1082" s="11">
        <v>145</v>
      </c>
      <c r="K1082" s="11">
        <v>210</v>
      </c>
      <c r="L1082" s="11"/>
      <c r="M1082" s="11">
        <f t="shared" si="32"/>
        <v>290</v>
      </c>
      <c r="N1082" s="11">
        <f>IF(Table1[[#This Row],[Transaction Type]]="Sale",ABS(E1082)*K1082,0)</f>
        <v>420</v>
      </c>
      <c r="O1082" s="29">
        <f>IF(Table1[[#This Row],[Transaction Type]]="Purchase",E1082*J1082,0)</f>
        <v>0</v>
      </c>
    </row>
    <row r="1083" spans="1:15" x14ac:dyDescent="0.35">
      <c r="A1083" s="27" t="s">
        <v>1522</v>
      </c>
      <c r="B1083" s="12">
        <v>45984</v>
      </c>
      <c r="C1083" s="11" t="s">
        <v>170</v>
      </c>
      <c r="D1083" s="11" t="s">
        <v>40</v>
      </c>
      <c r="E1083" s="11">
        <v>74</v>
      </c>
      <c r="F1083" s="11">
        <f t="shared" si="33"/>
        <v>74</v>
      </c>
      <c r="G1083" s="11" t="s">
        <v>19</v>
      </c>
      <c r="H1083" s="11" t="s">
        <v>171</v>
      </c>
      <c r="I1083" s="11" t="s">
        <v>34</v>
      </c>
      <c r="J1083" s="11">
        <v>25</v>
      </c>
      <c r="K1083" s="11">
        <v>45</v>
      </c>
      <c r="L1083" s="11" t="s">
        <v>1523</v>
      </c>
      <c r="M1083" s="11">
        <f t="shared" si="32"/>
        <v>1850</v>
      </c>
      <c r="N1083" s="11">
        <f>IF(Table1[[#This Row],[Transaction Type]]="Sale",ABS(E1083)*K1083,0)</f>
        <v>0</v>
      </c>
      <c r="O1083" s="29">
        <f>IF(Table1[[#This Row],[Transaction Type]]="Purchase",E1083*J1083,0)</f>
        <v>1850</v>
      </c>
    </row>
    <row r="1084" spans="1:15" x14ac:dyDescent="0.35">
      <c r="A1084" s="27" t="s">
        <v>1524</v>
      </c>
      <c r="B1084" s="12">
        <v>45984</v>
      </c>
      <c r="C1084" s="11" t="s">
        <v>52</v>
      </c>
      <c r="D1084" s="11" t="s">
        <v>58</v>
      </c>
      <c r="E1084" s="11">
        <v>1</v>
      </c>
      <c r="F1084" s="11">
        <f t="shared" si="33"/>
        <v>1</v>
      </c>
      <c r="G1084" s="11" t="s">
        <v>24</v>
      </c>
      <c r="H1084" s="11" t="s">
        <v>20</v>
      </c>
      <c r="I1084" s="11" t="s">
        <v>21</v>
      </c>
      <c r="J1084" s="11">
        <v>5.5</v>
      </c>
      <c r="K1084" s="11">
        <v>12</v>
      </c>
      <c r="L1084" s="11"/>
      <c r="M1084" s="11">
        <f t="shared" si="32"/>
        <v>5.5</v>
      </c>
      <c r="N1084" s="11">
        <f>IF(Table1[[#This Row],[Transaction Type]]="Sale",ABS(E1084)*K1084,0)</f>
        <v>0</v>
      </c>
      <c r="O1084" s="29">
        <f>IF(Table1[[#This Row],[Transaction Type]]="Purchase",E1084*J1084,0)</f>
        <v>0</v>
      </c>
    </row>
    <row r="1085" spans="1:15" x14ac:dyDescent="0.35">
      <c r="A1085" s="27" t="s">
        <v>1525</v>
      </c>
      <c r="B1085" s="12">
        <v>45984</v>
      </c>
      <c r="C1085" s="11" t="s">
        <v>73</v>
      </c>
      <c r="D1085" s="11" t="s">
        <v>13</v>
      </c>
      <c r="E1085" s="11">
        <v>-2</v>
      </c>
      <c r="F1085" s="11">
        <f t="shared" si="33"/>
        <v>-2</v>
      </c>
      <c r="G1085" s="11" t="s">
        <v>14</v>
      </c>
      <c r="H1085" s="11" t="s">
        <v>74</v>
      </c>
      <c r="I1085" s="11" t="s">
        <v>75</v>
      </c>
      <c r="J1085" s="11">
        <v>30</v>
      </c>
      <c r="K1085" s="11">
        <v>48</v>
      </c>
      <c r="L1085" s="11"/>
      <c r="M1085" s="11">
        <f t="shared" si="32"/>
        <v>60</v>
      </c>
      <c r="N1085" s="11">
        <f>IF(Table1[[#This Row],[Transaction Type]]="Sale",ABS(E1085)*K1085,0)</f>
        <v>96</v>
      </c>
      <c r="O1085" s="29">
        <f>IF(Table1[[#This Row],[Transaction Type]]="Purchase",E1085*J1085,0)</f>
        <v>0</v>
      </c>
    </row>
    <row r="1086" spans="1:15" x14ac:dyDescent="0.35">
      <c r="A1086" s="27" t="s">
        <v>1526</v>
      </c>
      <c r="B1086" s="12">
        <v>45985</v>
      </c>
      <c r="C1086" s="11" t="s">
        <v>139</v>
      </c>
      <c r="D1086" s="11" t="s">
        <v>13</v>
      </c>
      <c r="E1086" s="11">
        <v>-10</v>
      </c>
      <c r="F1086" s="11">
        <f t="shared" si="33"/>
        <v>-10</v>
      </c>
      <c r="G1086" s="11" t="s">
        <v>14</v>
      </c>
      <c r="H1086" s="11" t="s">
        <v>56</v>
      </c>
      <c r="I1086" s="11" t="s">
        <v>16</v>
      </c>
      <c r="J1086" s="11">
        <v>16.5</v>
      </c>
      <c r="K1086" s="11">
        <v>28</v>
      </c>
      <c r="L1086" s="11"/>
      <c r="M1086" s="11">
        <f t="shared" si="32"/>
        <v>165</v>
      </c>
      <c r="N1086" s="11">
        <f>IF(Table1[[#This Row],[Transaction Type]]="Sale",ABS(E1086)*K1086,0)</f>
        <v>280</v>
      </c>
      <c r="O1086" s="29">
        <f>IF(Table1[[#This Row],[Transaction Type]]="Purchase",E1086*J1086,0)</f>
        <v>0</v>
      </c>
    </row>
    <row r="1087" spans="1:15" x14ac:dyDescent="0.35">
      <c r="A1087" s="27" t="s">
        <v>1527</v>
      </c>
      <c r="B1087" s="12">
        <v>45985</v>
      </c>
      <c r="C1087" s="11" t="s">
        <v>32</v>
      </c>
      <c r="D1087" s="11" t="s">
        <v>13</v>
      </c>
      <c r="E1087" s="11">
        <v>-4</v>
      </c>
      <c r="F1087" s="11">
        <f t="shared" si="33"/>
        <v>-4</v>
      </c>
      <c r="G1087" s="11" t="s">
        <v>14</v>
      </c>
      <c r="H1087" s="11" t="s">
        <v>33</v>
      </c>
      <c r="I1087" s="11" t="s">
        <v>34</v>
      </c>
      <c r="J1087" s="11">
        <v>20</v>
      </c>
      <c r="K1087" s="11">
        <v>35</v>
      </c>
      <c r="L1087" s="11"/>
      <c r="M1087" s="11">
        <f t="shared" si="32"/>
        <v>80</v>
      </c>
      <c r="N1087" s="11">
        <f>IF(Table1[[#This Row],[Transaction Type]]="Sale",ABS(E1087)*K1087,0)</f>
        <v>140</v>
      </c>
      <c r="O1087" s="29">
        <f>IF(Table1[[#This Row],[Transaction Type]]="Purchase",E1087*J1087,0)</f>
        <v>0</v>
      </c>
    </row>
    <row r="1088" spans="1:15" x14ac:dyDescent="0.35">
      <c r="A1088" s="27" t="s">
        <v>1528</v>
      </c>
      <c r="B1088" s="12">
        <v>45986</v>
      </c>
      <c r="C1088" s="11" t="s">
        <v>55</v>
      </c>
      <c r="D1088" s="11" t="s">
        <v>13</v>
      </c>
      <c r="E1088" s="11">
        <v>-3</v>
      </c>
      <c r="F1088" s="11">
        <f t="shared" si="33"/>
        <v>-3</v>
      </c>
      <c r="G1088" s="11" t="s">
        <v>14</v>
      </c>
      <c r="H1088" s="11" t="s">
        <v>56</v>
      </c>
      <c r="I1088" s="11" t="s">
        <v>16</v>
      </c>
      <c r="J1088" s="11">
        <v>4.2</v>
      </c>
      <c r="K1088" s="11">
        <v>10</v>
      </c>
      <c r="L1088" s="11"/>
      <c r="M1088" s="11">
        <f t="shared" si="32"/>
        <v>12.600000000000001</v>
      </c>
      <c r="N1088" s="11">
        <f>IF(Table1[[#This Row],[Transaction Type]]="Sale",ABS(E1088)*K1088,0)</f>
        <v>30</v>
      </c>
      <c r="O1088" s="29">
        <f>IF(Table1[[#This Row],[Transaction Type]]="Purchase",E1088*J1088,0)</f>
        <v>0</v>
      </c>
    </row>
    <row r="1089" spans="1:15" x14ac:dyDescent="0.35">
      <c r="A1089" s="27" t="s">
        <v>1529</v>
      </c>
      <c r="B1089" s="12">
        <v>45986</v>
      </c>
      <c r="C1089" s="11" t="s">
        <v>185</v>
      </c>
      <c r="D1089" s="11" t="s">
        <v>13</v>
      </c>
      <c r="E1089" s="11">
        <v>-5</v>
      </c>
      <c r="F1089" s="11">
        <f t="shared" si="33"/>
        <v>-5</v>
      </c>
      <c r="G1089" s="11" t="s">
        <v>24</v>
      </c>
      <c r="H1089" s="11" t="s">
        <v>44</v>
      </c>
      <c r="I1089" s="11" t="s">
        <v>45</v>
      </c>
      <c r="J1089" s="11">
        <v>63</v>
      </c>
      <c r="K1089" s="11">
        <v>95</v>
      </c>
      <c r="L1089" s="11"/>
      <c r="M1089" s="11">
        <f t="shared" si="32"/>
        <v>315</v>
      </c>
      <c r="N1089" s="11">
        <f>IF(Table1[[#This Row],[Transaction Type]]="Sale",ABS(E1089)*K1089,0)</f>
        <v>475</v>
      </c>
      <c r="O1089" s="29">
        <f>IF(Table1[[#This Row],[Transaction Type]]="Purchase",E1089*J1089,0)</f>
        <v>0</v>
      </c>
    </row>
    <row r="1090" spans="1:15" x14ac:dyDescent="0.35">
      <c r="A1090" s="27" t="s">
        <v>1530</v>
      </c>
      <c r="B1090" s="12">
        <v>45986</v>
      </c>
      <c r="C1090" s="11" t="s">
        <v>139</v>
      </c>
      <c r="D1090" s="11" t="s">
        <v>13</v>
      </c>
      <c r="E1090" s="11">
        <v>-1</v>
      </c>
      <c r="F1090" s="11">
        <f t="shared" si="33"/>
        <v>-1</v>
      </c>
      <c r="G1090" s="11" t="s">
        <v>24</v>
      </c>
      <c r="H1090" s="11" t="s">
        <v>56</v>
      </c>
      <c r="I1090" s="11" t="s">
        <v>16</v>
      </c>
      <c r="J1090" s="11">
        <v>16.5</v>
      </c>
      <c r="K1090" s="11">
        <v>28</v>
      </c>
      <c r="L1090" s="11"/>
      <c r="M1090" s="11">
        <f t="shared" ref="M1090:M1153" si="34">ABS(E1090)*J1090</f>
        <v>16.5</v>
      </c>
      <c r="N1090" s="11">
        <f>IF(Table1[[#This Row],[Transaction Type]]="Sale",ABS(E1090)*K1090,0)</f>
        <v>28</v>
      </c>
      <c r="O1090" s="29">
        <f>IF(Table1[[#This Row],[Transaction Type]]="Purchase",E1090*J1090,0)</f>
        <v>0</v>
      </c>
    </row>
    <row r="1091" spans="1:15" x14ac:dyDescent="0.35">
      <c r="A1091" s="27" t="s">
        <v>1531</v>
      </c>
      <c r="B1091" s="12">
        <v>45986</v>
      </c>
      <c r="C1091" s="11" t="s">
        <v>73</v>
      </c>
      <c r="D1091" s="11" t="s">
        <v>13</v>
      </c>
      <c r="E1091" s="11">
        <v>-6</v>
      </c>
      <c r="F1091" s="11">
        <f t="shared" ref="F1091:F1154" si="35">E1091</f>
        <v>-6</v>
      </c>
      <c r="G1091" s="11" t="s">
        <v>19</v>
      </c>
      <c r="H1091" s="11" t="s">
        <v>74</v>
      </c>
      <c r="I1091" s="11" t="s">
        <v>75</v>
      </c>
      <c r="J1091" s="11">
        <v>30</v>
      </c>
      <c r="K1091" s="11">
        <v>48</v>
      </c>
      <c r="L1091" s="11"/>
      <c r="M1091" s="11">
        <f t="shared" si="34"/>
        <v>180</v>
      </c>
      <c r="N1091" s="11">
        <f>IF(Table1[[#This Row],[Transaction Type]]="Sale",ABS(E1091)*K1091,0)</f>
        <v>288</v>
      </c>
      <c r="O1091" s="29">
        <f>IF(Table1[[#This Row],[Transaction Type]]="Purchase",E1091*J1091,0)</f>
        <v>0</v>
      </c>
    </row>
    <row r="1092" spans="1:15" x14ac:dyDescent="0.35">
      <c r="A1092" s="27" t="s">
        <v>1532</v>
      </c>
      <c r="B1092" s="12">
        <v>45987</v>
      </c>
      <c r="C1092" s="11" t="s">
        <v>73</v>
      </c>
      <c r="D1092" s="11" t="s">
        <v>40</v>
      </c>
      <c r="E1092" s="11">
        <v>91</v>
      </c>
      <c r="F1092" s="11">
        <f t="shared" si="35"/>
        <v>91</v>
      </c>
      <c r="G1092" s="11" t="s">
        <v>14</v>
      </c>
      <c r="H1092" s="11" t="s">
        <v>74</v>
      </c>
      <c r="I1092" s="11" t="s">
        <v>75</v>
      </c>
      <c r="J1092" s="11">
        <v>30</v>
      </c>
      <c r="K1092" s="11">
        <v>48</v>
      </c>
      <c r="L1092" s="11" t="s">
        <v>1533</v>
      </c>
      <c r="M1092" s="11">
        <f t="shared" si="34"/>
        <v>2730</v>
      </c>
      <c r="N1092" s="11">
        <f>IF(Table1[[#This Row],[Transaction Type]]="Sale",ABS(E1092)*K1092,0)</f>
        <v>0</v>
      </c>
      <c r="O1092" s="29">
        <f>IF(Table1[[#This Row],[Transaction Type]]="Purchase",E1092*J1092,0)</f>
        <v>2730</v>
      </c>
    </row>
    <row r="1093" spans="1:15" x14ac:dyDescent="0.35">
      <c r="A1093" s="27" t="s">
        <v>1534</v>
      </c>
      <c r="B1093" s="12">
        <v>45987</v>
      </c>
      <c r="C1093" s="11" t="s">
        <v>141</v>
      </c>
      <c r="D1093" s="11" t="s">
        <v>58</v>
      </c>
      <c r="E1093" s="11">
        <v>12</v>
      </c>
      <c r="F1093" s="11">
        <f t="shared" si="35"/>
        <v>12</v>
      </c>
      <c r="G1093" s="11" t="s">
        <v>14</v>
      </c>
      <c r="H1093" s="11" t="s">
        <v>25</v>
      </c>
      <c r="I1093" s="11" t="s">
        <v>26</v>
      </c>
      <c r="J1093" s="11">
        <v>4</v>
      </c>
      <c r="K1093" s="11">
        <v>9</v>
      </c>
      <c r="L1093" s="11"/>
      <c r="M1093" s="11">
        <f t="shared" si="34"/>
        <v>48</v>
      </c>
      <c r="N1093" s="11">
        <f>IF(Table1[[#This Row],[Transaction Type]]="Sale",ABS(E1093)*K1093,0)</f>
        <v>0</v>
      </c>
      <c r="O1093" s="29">
        <f>IF(Table1[[#This Row],[Transaction Type]]="Purchase",E1093*J1093,0)</f>
        <v>0</v>
      </c>
    </row>
    <row r="1094" spans="1:15" x14ac:dyDescent="0.35">
      <c r="A1094" s="27" t="s">
        <v>1535</v>
      </c>
      <c r="B1094" s="12">
        <v>45987</v>
      </c>
      <c r="C1094" s="11" t="s">
        <v>141</v>
      </c>
      <c r="D1094" s="11" t="s">
        <v>13</v>
      </c>
      <c r="E1094" s="11">
        <v>-10</v>
      </c>
      <c r="F1094" s="11">
        <f t="shared" si="35"/>
        <v>-10</v>
      </c>
      <c r="G1094" s="11" t="s">
        <v>19</v>
      </c>
      <c r="H1094" s="11" t="s">
        <v>25</v>
      </c>
      <c r="I1094" s="11" t="s">
        <v>26</v>
      </c>
      <c r="J1094" s="11">
        <v>4</v>
      </c>
      <c r="K1094" s="11">
        <v>9</v>
      </c>
      <c r="L1094" s="11"/>
      <c r="M1094" s="11">
        <f t="shared" si="34"/>
        <v>40</v>
      </c>
      <c r="N1094" s="11">
        <f>IF(Table1[[#This Row],[Transaction Type]]="Sale",ABS(E1094)*K1094,0)</f>
        <v>90</v>
      </c>
      <c r="O1094" s="29">
        <f>IF(Table1[[#This Row],[Transaction Type]]="Purchase",E1094*J1094,0)</f>
        <v>0</v>
      </c>
    </row>
    <row r="1095" spans="1:15" x14ac:dyDescent="0.35">
      <c r="A1095" s="27" t="s">
        <v>1536</v>
      </c>
      <c r="B1095" s="12">
        <v>45987</v>
      </c>
      <c r="C1095" s="11" t="s">
        <v>185</v>
      </c>
      <c r="D1095" s="11" t="s">
        <v>58</v>
      </c>
      <c r="E1095" s="11">
        <v>-1</v>
      </c>
      <c r="F1095" s="11">
        <f t="shared" si="35"/>
        <v>-1</v>
      </c>
      <c r="G1095" s="11" t="s">
        <v>19</v>
      </c>
      <c r="H1095" s="11" t="s">
        <v>44</v>
      </c>
      <c r="I1095" s="11" t="s">
        <v>45</v>
      </c>
      <c r="J1095" s="11">
        <v>63</v>
      </c>
      <c r="K1095" s="11">
        <v>95</v>
      </c>
      <c r="L1095" s="11"/>
      <c r="M1095" s="11">
        <f t="shared" si="34"/>
        <v>63</v>
      </c>
      <c r="N1095" s="11">
        <f>IF(Table1[[#This Row],[Transaction Type]]="Sale",ABS(E1095)*K1095,0)</f>
        <v>0</v>
      </c>
      <c r="O1095" s="29">
        <f>IF(Table1[[#This Row],[Transaction Type]]="Purchase",E1095*J1095,0)</f>
        <v>0</v>
      </c>
    </row>
    <row r="1096" spans="1:15" x14ac:dyDescent="0.35">
      <c r="A1096" s="27" t="s">
        <v>1537</v>
      </c>
      <c r="B1096" s="12">
        <v>45988</v>
      </c>
      <c r="C1096" s="11" t="s">
        <v>794</v>
      </c>
      <c r="D1096" s="11" t="s">
        <v>40</v>
      </c>
      <c r="E1096" s="11">
        <v>78</v>
      </c>
      <c r="F1096" s="11">
        <f t="shared" si="35"/>
        <v>78</v>
      </c>
      <c r="G1096" s="11" t="s">
        <v>19</v>
      </c>
      <c r="H1096" s="11" t="s">
        <v>74</v>
      </c>
      <c r="I1096" s="11" t="s">
        <v>75</v>
      </c>
      <c r="J1096" s="11">
        <v>82</v>
      </c>
      <c r="K1096" s="11">
        <v>135</v>
      </c>
      <c r="L1096" s="11" t="s">
        <v>1538</v>
      </c>
      <c r="M1096" s="11">
        <f t="shared" si="34"/>
        <v>6396</v>
      </c>
      <c r="N1096" s="11">
        <f>IF(Table1[[#This Row],[Transaction Type]]="Sale",ABS(E1096)*K1096,0)</f>
        <v>0</v>
      </c>
      <c r="O1096" s="29">
        <f>IF(Table1[[#This Row],[Transaction Type]]="Purchase",E1096*J1096,0)</f>
        <v>6396</v>
      </c>
    </row>
    <row r="1097" spans="1:15" x14ac:dyDescent="0.35">
      <c r="A1097" s="27" t="s">
        <v>1539</v>
      </c>
      <c r="B1097" s="12">
        <v>45989</v>
      </c>
      <c r="C1097" s="11" t="s">
        <v>170</v>
      </c>
      <c r="D1097" s="11" t="s">
        <v>13</v>
      </c>
      <c r="E1097" s="11">
        <v>-9</v>
      </c>
      <c r="F1097" s="11">
        <f t="shared" si="35"/>
        <v>-9</v>
      </c>
      <c r="G1097" s="11" t="s">
        <v>19</v>
      </c>
      <c r="H1097" s="11" t="s">
        <v>171</v>
      </c>
      <c r="I1097" s="11" t="s">
        <v>34</v>
      </c>
      <c r="J1097" s="11">
        <v>25</v>
      </c>
      <c r="K1097" s="11">
        <v>45</v>
      </c>
      <c r="L1097" s="11"/>
      <c r="M1097" s="11">
        <f t="shared" si="34"/>
        <v>225</v>
      </c>
      <c r="N1097" s="11">
        <f>IF(Table1[[#This Row],[Transaction Type]]="Sale",ABS(E1097)*K1097,0)</f>
        <v>405</v>
      </c>
      <c r="O1097" s="29">
        <f>IF(Table1[[#This Row],[Transaction Type]]="Purchase",E1097*J1097,0)</f>
        <v>0</v>
      </c>
    </row>
    <row r="1098" spans="1:15" x14ac:dyDescent="0.35">
      <c r="A1098" s="27" t="s">
        <v>1540</v>
      </c>
      <c r="B1098" s="12">
        <v>45989</v>
      </c>
      <c r="C1098" s="11" t="s">
        <v>83</v>
      </c>
      <c r="D1098" s="11" t="s">
        <v>13</v>
      </c>
      <c r="E1098" s="11">
        <v>-15</v>
      </c>
      <c r="F1098" s="11">
        <f t="shared" si="35"/>
        <v>-15</v>
      </c>
      <c r="G1098" s="11" t="s">
        <v>24</v>
      </c>
      <c r="H1098" s="11" t="s">
        <v>84</v>
      </c>
      <c r="I1098" s="11" t="s">
        <v>45</v>
      </c>
      <c r="J1098" s="11">
        <v>130</v>
      </c>
      <c r="K1098" s="11">
        <v>185</v>
      </c>
      <c r="L1098" s="11"/>
      <c r="M1098" s="11">
        <f t="shared" si="34"/>
        <v>1950</v>
      </c>
      <c r="N1098" s="11">
        <f>IF(Table1[[#This Row],[Transaction Type]]="Sale",ABS(E1098)*K1098,0)</f>
        <v>2775</v>
      </c>
      <c r="O1098" s="29">
        <f>IF(Table1[[#This Row],[Transaction Type]]="Purchase",E1098*J1098,0)</f>
        <v>0</v>
      </c>
    </row>
    <row r="1099" spans="1:15" x14ac:dyDescent="0.35">
      <c r="A1099" s="27" t="s">
        <v>1541</v>
      </c>
      <c r="B1099" s="12">
        <v>45989</v>
      </c>
      <c r="C1099" s="11" t="s">
        <v>36</v>
      </c>
      <c r="D1099" s="11" t="s">
        <v>13</v>
      </c>
      <c r="E1099" s="11">
        <v>-13</v>
      </c>
      <c r="F1099" s="11">
        <f t="shared" si="35"/>
        <v>-13</v>
      </c>
      <c r="G1099" s="11" t="s">
        <v>19</v>
      </c>
      <c r="H1099" s="11" t="s">
        <v>37</v>
      </c>
      <c r="I1099" s="11" t="s">
        <v>16</v>
      </c>
      <c r="J1099" s="11">
        <v>7.2</v>
      </c>
      <c r="K1099" s="11">
        <v>12.5</v>
      </c>
      <c r="L1099" s="11"/>
      <c r="M1099" s="11">
        <f t="shared" si="34"/>
        <v>93.600000000000009</v>
      </c>
      <c r="N1099" s="11">
        <f>IF(Table1[[#This Row],[Transaction Type]]="Sale",ABS(E1099)*K1099,0)</f>
        <v>162.5</v>
      </c>
      <c r="O1099" s="29">
        <f>IF(Table1[[#This Row],[Transaction Type]]="Purchase",E1099*J1099,0)</f>
        <v>0</v>
      </c>
    </row>
    <row r="1100" spans="1:15" x14ac:dyDescent="0.35">
      <c r="A1100" s="27" t="s">
        <v>1542</v>
      </c>
      <c r="B1100" s="12">
        <v>45989</v>
      </c>
      <c r="C1100" s="11" t="s">
        <v>94</v>
      </c>
      <c r="D1100" s="11" t="s">
        <v>13</v>
      </c>
      <c r="E1100" s="11">
        <v>-10</v>
      </c>
      <c r="F1100" s="11">
        <f t="shared" si="35"/>
        <v>-10</v>
      </c>
      <c r="G1100" s="11" t="s">
        <v>14</v>
      </c>
      <c r="H1100" s="11" t="s">
        <v>95</v>
      </c>
      <c r="I1100" s="11" t="s">
        <v>16</v>
      </c>
      <c r="J1100" s="11">
        <v>18.5</v>
      </c>
      <c r="K1100" s="11">
        <v>31</v>
      </c>
      <c r="L1100" s="11"/>
      <c r="M1100" s="11">
        <f t="shared" si="34"/>
        <v>185</v>
      </c>
      <c r="N1100" s="11">
        <f>IF(Table1[[#This Row],[Transaction Type]]="Sale",ABS(E1100)*K1100,0)</f>
        <v>310</v>
      </c>
      <c r="O1100" s="29">
        <f>IF(Table1[[#This Row],[Transaction Type]]="Purchase",E1100*J1100,0)</f>
        <v>0</v>
      </c>
    </row>
    <row r="1101" spans="1:15" x14ac:dyDescent="0.35">
      <c r="A1101" s="27" t="s">
        <v>1543</v>
      </c>
      <c r="B1101" s="12">
        <v>45990</v>
      </c>
      <c r="C1101" s="11" t="s">
        <v>81</v>
      </c>
      <c r="D1101" s="11" t="s">
        <v>40</v>
      </c>
      <c r="E1101" s="11">
        <v>26</v>
      </c>
      <c r="F1101" s="11">
        <f t="shared" si="35"/>
        <v>26</v>
      </c>
      <c r="G1101" s="11" t="s">
        <v>14</v>
      </c>
      <c r="H1101" s="11" t="s">
        <v>30</v>
      </c>
      <c r="I1101" s="11" t="s">
        <v>16</v>
      </c>
      <c r="J1101" s="11">
        <v>8</v>
      </c>
      <c r="K1101" s="11">
        <v>15</v>
      </c>
      <c r="L1101" s="11" t="s">
        <v>1544</v>
      </c>
      <c r="M1101" s="11">
        <f t="shared" si="34"/>
        <v>208</v>
      </c>
      <c r="N1101" s="11">
        <f>IF(Table1[[#This Row],[Transaction Type]]="Sale",ABS(E1101)*K1101,0)</f>
        <v>0</v>
      </c>
      <c r="O1101" s="29">
        <f>IF(Table1[[#This Row],[Transaction Type]]="Purchase",E1101*J1101,0)</f>
        <v>208</v>
      </c>
    </row>
    <row r="1102" spans="1:15" x14ac:dyDescent="0.35">
      <c r="A1102" s="27" t="s">
        <v>1545</v>
      </c>
      <c r="B1102" s="12">
        <v>45990</v>
      </c>
      <c r="C1102" s="11" t="s">
        <v>87</v>
      </c>
      <c r="D1102" s="11" t="s">
        <v>13</v>
      </c>
      <c r="E1102" s="11">
        <v>-7</v>
      </c>
      <c r="F1102" s="11">
        <f t="shared" si="35"/>
        <v>-7</v>
      </c>
      <c r="G1102" s="11" t="s">
        <v>24</v>
      </c>
      <c r="H1102" s="11" t="s">
        <v>88</v>
      </c>
      <c r="I1102" s="11" t="s">
        <v>16</v>
      </c>
      <c r="J1102" s="11">
        <v>6</v>
      </c>
      <c r="K1102" s="11">
        <v>14</v>
      </c>
      <c r="L1102" s="11"/>
      <c r="M1102" s="11">
        <f t="shared" si="34"/>
        <v>42</v>
      </c>
      <c r="N1102" s="11">
        <f>IF(Table1[[#This Row],[Transaction Type]]="Sale",ABS(E1102)*K1102,0)</f>
        <v>98</v>
      </c>
      <c r="O1102" s="29">
        <f>IF(Table1[[#This Row],[Transaction Type]]="Purchase",E1102*J1102,0)</f>
        <v>0</v>
      </c>
    </row>
    <row r="1103" spans="1:15" x14ac:dyDescent="0.35">
      <c r="A1103" s="27" t="s">
        <v>1546</v>
      </c>
      <c r="B1103" s="12">
        <v>45990</v>
      </c>
      <c r="C1103" s="11" t="s">
        <v>139</v>
      </c>
      <c r="D1103" s="11" t="s">
        <v>40</v>
      </c>
      <c r="E1103" s="11">
        <v>100</v>
      </c>
      <c r="F1103" s="11">
        <f t="shared" si="35"/>
        <v>100</v>
      </c>
      <c r="G1103" s="11" t="s">
        <v>24</v>
      </c>
      <c r="H1103" s="11" t="s">
        <v>56</v>
      </c>
      <c r="I1103" s="11" t="s">
        <v>16</v>
      </c>
      <c r="J1103" s="11">
        <v>16.5</v>
      </c>
      <c r="K1103" s="11">
        <v>28</v>
      </c>
      <c r="L1103" s="11" t="s">
        <v>1547</v>
      </c>
      <c r="M1103" s="11">
        <f t="shared" si="34"/>
        <v>1650</v>
      </c>
      <c r="N1103" s="11">
        <f>IF(Table1[[#This Row],[Transaction Type]]="Sale",ABS(E1103)*K1103,0)</f>
        <v>0</v>
      </c>
      <c r="O1103" s="29">
        <f>IF(Table1[[#This Row],[Transaction Type]]="Purchase",E1103*J1103,0)</f>
        <v>1650</v>
      </c>
    </row>
    <row r="1104" spans="1:15" x14ac:dyDescent="0.35">
      <c r="A1104" s="27" t="s">
        <v>1548</v>
      </c>
      <c r="B1104" s="12">
        <v>45990</v>
      </c>
      <c r="C1104" s="11" t="s">
        <v>23</v>
      </c>
      <c r="D1104" s="11" t="s">
        <v>13</v>
      </c>
      <c r="E1104" s="11">
        <v>-10</v>
      </c>
      <c r="F1104" s="11">
        <f t="shared" si="35"/>
        <v>-10</v>
      </c>
      <c r="G1104" s="11" t="s">
        <v>24</v>
      </c>
      <c r="H1104" s="11" t="s">
        <v>25</v>
      </c>
      <c r="I1104" s="11" t="s">
        <v>26</v>
      </c>
      <c r="J1104" s="11">
        <v>3</v>
      </c>
      <c r="K1104" s="11">
        <v>7</v>
      </c>
      <c r="L1104" s="11"/>
      <c r="M1104" s="11">
        <f t="shared" si="34"/>
        <v>30</v>
      </c>
      <c r="N1104" s="11">
        <f>IF(Table1[[#This Row],[Transaction Type]]="Sale",ABS(E1104)*K1104,0)</f>
        <v>70</v>
      </c>
      <c r="O1104" s="29">
        <f>IF(Table1[[#This Row],[Transaction Type]]="Purchase",E1104*J1104,0)</f>
        <v>0</v>
      </c>
    </row>
    <row r="1105" spans="1:15" x14ac:dyDescent="0.35">
      <c r="A1105" s="27" t="s">
        <v>1549</v>
      </c>
      <c r="B1105" s="12">
        <v>45990</v>
      </c>
      <c r="C1105" s="11" t="s">
        <v>18</v>
      </c>
      <c r="D1105" s="11" t="s">
        <v>13</v>
      </c>
      <c r="E1105" s="11">
        <v>-8</v>
      </c>
      <c r="F1105" s="11">
        <f t="shared" si="35"/>
        <v>-8</v>
      </c>
      <c r="G1105" s="11" t="s">
        <v>19</v>
      </c>
      <c r="H1105" s="11" t="s">
        <v>20</v>
      </c>
      <c r="I1105" s="11" t="s">
        <v>21</v>
      </c>
      <c r="J1105" s="11">
        <v>2.6</v>
      </c>
      <c r="K1105" s="11">
        <v>5.5</v>
      </c>
      <c r="L1105" s="11"/>
      <c r="M1105" s="11">
        <f t="shared" si="34"/>
        <v>20.8</v>
      </c>
      <c r="N1105" s="11">
        <f>IF(Table1[[#This Row],[Transaction Type]]="Sale",ABS(E1105)*K1105,0)</f>
        <v>44</v>
      </c>
      <c r="O1105" s="29">
        <f>IF(Table1[[#This Row],[Transaction Type]]="Purchase",E1105*J1105,0)</f>
        <v>0</v>
      </c>
    </row>
    <row r="1106" spans="1:15" x14ac:dyDescent="0.35">
      <c r="A1106" s="27" t="s">
        <v>1550</v>
      </c>
      <c r="B1106" s="12">
        <v>45991</v>
      </c>
      <c r="C1106" s="11" t="s">
        <v>52</v>
      </c>
      <c r="D1106" s="11" t="s">
        <v>13</v>
      </c>
      <c r="E1106" s="11">
        <v>-1</v>
      </c>
      <c r="F1106" s="11">
        <f t="shared" si="35"/>
        <v>-1</v>
      </c>
      <c r="G1106" s="11" t="s">
        <v>14</v>
      </c>
      <c r="H1106" s="11" t="s">
        <v>20</v>
      </c>
      <c r="I1106" s="11" t="s">
        <v>21</v>
      </c>
      <c r="J1106" s="11">
        <v>5.5</v>
      </c>
      <c r="K1106" s="11">
        <v>12</v>
      </c>
      <c r="L1106" s="11"/>
      <c r="M1106" s="11">
        <f t="shared" si="34"/>
        <v>5.5</v>
      </c>
      <c r="N1106" s="11">
        <f>IF(Table1[[#This Row],[Transaction Type]]="Sale",ABS(E1106)*K1106,0)</f>
        <v>12</v>
      </c>
      <c r="O1106" s="29">
        <f>IF(Table1[[#This Row],[Transaction Type]]="Purchase",E1106*J1106,0)</f>
        <v>0</v>
      </c>
    </row>
    <row r="1107" spans="1:15" x14ac:dyDescent="0.35">
      <c r="A1107" s="27" t="s">
        <v>1551</v>
      </c>
      <c r="B1107" s="12">
        <v>45991</v>
      </c>
      <c r="C1107" s="11" t="s">
        <v>52</v>
      </c>
      <c r="D1107" s="11" t="s">
        <v>13</v>
      </c>
      <c r="E1107" s="11">
        <v>-8</v>
      </c>
      <c r="F1107" s="11">
        <f t="shared" si="35"/>
        <v>-8</v>
      </c>
      <c r="G1107" s="11" t="s">
        <v>14</v>
      </c>
      <c r="H1107" s="11" t="s">
        <v>20</v>
      </c>
      <c r="I1107" s="11" t="s">
        <v>21</v>
      </c>
      <c r="J1107" s="11">
        <v>5.5</v>
      </c>
      <c r="K1107" s="11">
        <v>12</v>
      </c>
      <c r="L1107" s="11"/>
      <c r="M1107" s="11">
        <f t="shared" si="34"/>
        <v>44</v>
      </c>
      <c r="N1107" s="11">
        <f>IF(Table1[[#This Row],[Transaction Type]]="Sale",ABS(E1107)*K1107,0)</f>
        <v>96</v>
      </c>
      <c r="O1107" s="29">
        <f>IF(Table1[[#This Row],[Transaction Type]]="Purchase",E1107*J1107,0)</f>
        <v>0</v>
      </c>
    </row>
    <row r="1108" spans="1:15" x14ac:dyDescent="0.35">
      <c r="A1108" s="27" t="s">
        <v>1552</v>
      </c>
      <c r="B1108" s="12">
        <v>45991</v>
      </c>
      <c r="C1108" s="11" t="s">
        <v>170</v>
      </c>
      <c r="D1108" s="11" t="s">
        <v>40</v>
      </c>
      <c r="E1108" s="11">
        <v>34</v>
      </c>
      <c r="F1108" s="11">
        <f t="shared" si="35"/>
        <v>34</v>
      </c>
      <c r="G1108" s="11" t="s">
        <v>14</v>
      </c>
      <c r="H1108" s="11" t="s">
        <v>171</v>
      </c>
      <c r="I1108" s="11" t="s">
        <v>34</v>
      </c>
      <c r="J1108" s="11">
        <v>25</v>
      </c>
      <c r="K1108" s="11">
        <v>45</v>
      </c>
      <c r="L1108" s="11" t="s">
        <v>1553</v>
      </c>
      <c r="M1108" s="11">
        <f t="shared" si="34"/>
        <v>850</v>
      </c>
      <c r="N1108" s="11">
        <f>IF(Table1[[#This Row],[Transaction Type]]="Sale",ABS(E1108)*K1108,0)</f>
        <v>0</v>
      </c>
      <c r="O1108" s="29">
        <f>IF(Table1[[#This Row],[Transaction Type]]="Purchase",E1108*J1108,0)</f>
        <v>850</v>
      </c>
    </row>
    <row r="1109" spans="1:15" x14ac:dyDescent="0.35">
      <c r="A1109" s="27" t="s">
        <v>1554</v>
      </c>
      <c r="B1109" s="12">
        <v>45991</v>
      </c>
      <c r="C1109" s="11" t="s">
        <v>194</v>
      </c>
      <c r="D1109" s="11" t="s">
        <v>40</v>
      </c>
      <c r="E1109" s="11">
        <v>46</v>
      </c>
      <c r="F1109" s="11">
        <f t="shared" si="35"/>
        <v>46</v>
      </c>
      <c r="G1109" s="11" t="s">
        <v>19</v>
      </c>
      <c r="H1109" s="11" t="s">
        <v>195</v>
      </c>
      <c r="I1109" s="11" t="s">
        <v>21</v>
      </c>
      <c r="J1109" s="11">
        <v>220</v>
      </c>
      <c r="K1109" s="11">
        <v>320</v>
      </c>
      <c r="L1109" s="11" t="s">
        <v>1555</v>
      </c>
      <c r="M1109" s="11">
        <f t="shared" si="34"/>
        <v>10120</v>
      </c>
      <c r="N1109" s="11">
        <f>IF(Table1[[#This Row],[Transaction Type]]="Sale",ABS(E1109)*K1109,0)</f>
        <v>0</v>
      </c>
      <c r="O1109" s="29">
        <f>IF(Table1[[#This Row],[Transaction Type]]="Purchase",E1109*J1109,0)</f>
        <v>10120</v>
      </c>
    </row>
    <row r="1110" spans="1:15" x14ac:dyDescent="0.35">
      <c r="A1110" s="27" t="s">
        <v>1556</v>
      </c>
      <c r="B1110" s="12">
        <v>45992</v>
      </c>
      <c r="C1110" s="11" t="s">
        <v>98</v>
      </c>
      <c r="D1110" s="11" t="s">
        <v>13</v>
      </c>
      <c r="E1110" s="11">
        <v>-4</v>
      </c>
      <c r="F1110" s="11">
        <f t="shared" si="35"/>
        <v>-4</v>
      </c>
      <c r="G1110" s="11" t="s">
        <v>14</v>
      </c>
      <c r="H1110" s="11" t="s">
        <v>30</v>
      </c>
      <c r="I1110" s="11" t="s">
        <v>16</v>
      </c>
      <c r="J1110" s="11">
        <v>16</v>
      </c>
      <c r="K1110" s="11">
        <v>29</v>
      </c>
      <c r="L1110" s="11"/>
      <c r="M1110" s="11">
        <f t="shared" si="34"/>
        <v>64</v>
      </c>
      <c r="N1110" s="11">
        <f>IF(Table1[[#This Row],[Transaction Type]]="Sale",ABS(E1110)*K1110,0)</f>
        <v>116</v>
      </c>
      <c r="O1110" s="29">
        <f>IF(Table1[[#This Row],[Transaction Type]]="Purchase",E1110*J1110,0)</f>
        <v>0</v>
      </c>
    </row>
    <row r="1111" spans="1:15" x14ac:dyDescent="0.35">
      <c r="A1111" s="27" t="s">
        <v>1557</v>
      </c>
      <c r="B1111" s="12">
        <v>45992</v>
      </c>
      <c r="C1111" s="11" t="s">
        <v>48</v>
      </c>
      <c r="D1111" s="11" t="s">
        <v>13</v>
      </c>
      <c r="E1111" s="11">
        <v>-4</v>
      </c>
      <c r="F1111" s="11">
        <f t="shared" si="35"/>
        <v>-4</v>
      </c>
      <c r="G1111" s="11" t="s">
        <v>14</v>
      </c>
      <c r="H1111" s="11" t="s">
        <v>49</v>
      </c>
      <c r="I1111" s="11" t="s">
        <v>21</v>
      </c>
      <c r="J1111" s="11">
        <v>8.5</v>
      </c>
      <c r="K1111" s="11">
        <v>18</v>
      </c>
      <c r="L1111" s="11"/>
      <c r="M1111" s="11">
        <f t="shared" si="34"/>
        <v>34</v>
      </c>
      <c r="N1111" s="11">
        <f>IF(Table1[[#This Row],[Transaction Type]]="Sale",ABS(E1111)*K1111,0)</f>
        <v>72</v>
      </c>
      <c r="O1111" s="29">
        <f>IF(Table1[[#This Row],[Transaction Type]]="Purchase",E1111*J1111,0)</f>
        <v>0</v>
      </c>
    </row>
    <row r="1112" spans="1:15" x14ac:dyDescent="0.35">
      <c r="A1112" s="27" t="s">
        <v>1558</v>
      </c>
      <c r="B1112" s="12">
        <v>45992</v>
      </c>
      <c r="C1112" s="11" t="s">
        <v>48</v>
      </c>
      <c r="D1112" s="11" t="s">
        <v>13</v>
      </c>
      <c r="E1112" s="11">
        <v>-7</v>
      </c>
      <c r="F1112" s="11">
        <f t="shared" si="35"/>
        <v>-7</v>
      </c>
      <c r="G1112" s="11" t="s">
        <v>19</v>
      </c>
      <c r="H1112" s="11" t="s">
        <v>49</v>
      </c>
      <c r="I1112" s="11" t="s">
        <v>21</v>
      </c>
      <c r="J1112" s="11">
        <v>8.5</v>
      </c>
      <c r="K1112" s="11">
        <v>18</v>
      </c>
      <c r="L1112" s="11"/>
      <c r="M1112" s="11">
        <f t="shared" si="34"/>
        <v>59.5</v>
      </c>
      <c r="N1112" s="11">
        <f>IF(Table1[[#This Row],[Transaction Type]]="Sale",ABS(E1112)*K1112,0)</f>
        <v>126</v>
      </c>
      <c r="O1112" s="29">
        <f>IF(Table1[[#This Row],[Transaction Type]]="Purchase",E1112*J1112,0)</f>
        <v>0</v>
      </c>
    </row>
    <row r="1113" spans="1:15" x14ac:dyDescent="0.35">
      <c r="A1113" s="27" t="s">
        <v>1559</v>
      </c>
      <c r="B1113" s="12">
        <v>45992</v>
      </c>
      <c r="C1113" s="11" t="s">
        <v>87</v>
      </c>
      <c r="D1113" s="11" t="s">
        <v>13</v>
      </c>
      <c r="E1113" s="11">
        <v>-3</v>
      </c>
      <c r="F1113" s="11">
        <f t="shared" si="35"/>
        <v>-3</v>
      </c>
      <c r="G1113" s="11" t="s">
        <v>14</v>
      </c>
      <c r="H1113" s="11" t="s">
        <v>88</v>
      </c>
      <c r="I1113" s="11" t="s">
        <v>16</v>
      </c>
      <c r="J1113" s="11">
        <v>6</v>
      </c>
      <c r="K1113" s="11">
        <v>14</v>
      </c>
      <c r="L1113" s="11"/>
      <c r="M1113" s="11">
        <f t="shared" si="34"/>
        <v>18</v>
      </c>
      <c r="N1113" s="11">
        <f>IF(Table1[[#This Row],[Transaction Type]]="Sale",ABS(E1113)*K1113,0)</f>
        <v>42</v>
      </c>
      <c r="O1113" s="29">
        <f>IF(Table1[[#This Row],[Transaction Type]]="Purchase",E1113*J1113,0)</f>
        <v>0</v>
      </c>
    </row>
    <row r="1114" spans="1:15" x14ac:dyDescent="0.35">
      <c r="A1114" s="27" t="s">
        <v>1560</v>
      </c>
      <c r="B1114" s="12">
        <v>45993</v>
      </c>
      <c r="C1114" s="11" t="s">
        <v>55</v>
      </c>
      <c r="D1114" s="11" t="s">
        <v>58</v>
      </c>
      <c r="E1114" s="11">
        <v>5</v>
      </c>
      <c r="F1114" s="11">
        <f t="shared" si="35"/>
        <v>5</v>
      </c>
      <c r="G1114" s="11" t="s">
        <v>14</v>
      </c>
      <c r="H1114" s="11" t="s">
        <v>56</v>
      </c>
      <c r="I1114" s="11" t="s">
        <v>16</v>
      </c>
      <c r="J1114" s="11">
        <v>4.2</v>
      </c>
      <c r="K1114" s="11">
        <v>10</v>
      </c>
      <c r="L1114" s="11"/>
      <c r="M1114" s="11">
        <f t="shared" si="34"/>
        <v>21</v>
      </c>
      <c r="N1114" s="11">
        <f>IF(Table1[[#This Row],[Transaction Type]]="Sale",ABS(E1114)*K1114,0)</f>
        <v>0</v>
      </c>
      <c r="O1114" s="29">
        <f>IF(Table1[[#This Row],[Transaction Type]]="Purchase",E1114*J1114,0)</f>
        <v>0</v>
      </c>
    </row>
    <row r="1115" spans="1:15" x14ac:dyDescent="0.35">
      <c r="A1115" s="27" t="s">
        <v>1561</v>
      </c>
      <c r="B1115" s="12">
        <v>45993</v>
      </c>
      <c r="C1115" s="11" t="s">
        <v>141</v>
      </c>
      <c r="D1115" s="11" t="s">
        <v>13</v>
      </c>
      <c r="E1115" s="11">
        <v>-9</v>
      </c>
      <c r="F1115" s="11">
        <f t="shared" si="35"/>
        <v>-9</v>
      </c>
      <c r="G1115" s="11" t="s">
        <v>14</v>
      </c>
      <c r="H1115" s="11" t="s">
        <v>25</v>
      </c>
      <c r="I1115" s="11" t="s">
        <v>26</v>
      </c>
      <c r="J1115" s="11">
        <v>4</v>
      </c>
      <c r="K1115" s="11">
        <v>9</v>
      </c>
      <c r="L1115" s="11"/>
      <c r="M1115" s="11">
        <f t="shared" si="34"/>
        <v>36</v>
      </c>
      <c r="N1115" s="11">
        <f>IF(Table1[[#This Row],[Transaction Type]]="Sale",ABS(E1115)*K1115,0)</f>
        <v>81</v>
      </c>
      <c r="O1115" s="29">
        <f>IF(Table1[[#This Row],[Transaction Type]]="Purchase",E1115*J1115,0)</f>
        <v>0</v>
      </c>
    </row>
    <row r="1116" spans="1:15" x14ac:dyDescent="0.35">
      <c r="A1116" s="27" t="s">
        <v>1562</v>
      </c>
      <c r="B1116" s="12">
        <v>45993</v>
      </c>
      <c r="C1116" s="11" t="s">
        <v>98</v>
      </c>
      <c r="D1116" s="11" t="s">
        <v>13</v>
      </c>
      <c r="E1116" s="11">
        <v>-15</v>
      </c>
      <c r="F1116" s="11">
        <f t="shared" si="35"/>
        <v>-15</v>
      </c>
      <c r="G1116" s="11" t="s">
        <v>24</v>
      </c>
      <c r="H1116" s="11" t="s">
        <v>30</v>
      </c>
      <c r="I1116" s="11" t="s">
        <v>16</v>
      </c>
      <c r="J1116" s="11">
        <v>16</v>
      </c>
      <c r="K1116" s="11">
        <v>29</v>
      </c>
      <c r="L1116" s="11"/>
      <c r="M1116" s="11">
        <f t="shared" si="34"/>
        <v>240</v>
      </c>
      <c r="N1116" s="11">
        <f>IF(Table1[[#This Row],[Transaction Type]]="Sale",ABS(E1116)*K1116,0)</f>
        <v>435</v>
      </c>
      <c r="O1116" s="29">
        <f>IF(Table1[[#This Row],[Transaction Type]]="Purchase",E1116*J1116,0)</f>
        <v>0</v>
      </c>
    </row>
    <row r="1117" spans="1:15" x14ac:dyDescent="0.35">
      <c r="A1117" s="27" t="s">
        <v>1563</v>
      </c>
      <c r="B1117" s="12">
        <v>45993</v>
      </c>
      <c r="C1117" s="11" t="s">
        <v>94</v>
      </c>
      <c r="D1117" s="11" t="s">
        <v>13</v>
      </c>
      <c r="E1117" s="11">
        <v>-15</v>
      </c>
      <c r="F1117" s="11">
        <f t="shared" si="35"/>
        <v>-15</v>
      </c>
      <c r="G1117" s="11" t="s">
        <v>24</v>
      </c>
      <c r="H1117" s="11" t="s">
        <v>95</v>
      </c>
      <c r="I1117" s="11" t="s">
        <v>16</v>
      </c>
      <c r="J1117" s="11">
        <v>18.5</v>
      </c>
      <c r="K1117" s="11">
        <v>31</v>
      </c>
      <c r="L1117" s="11"/>
      <c r="M1117" s="11">
        <f t="shared" si="34"/>
        <v>277.5</v>
      </c>
      <c r="N1117" s="11">
        <f>IF(Table1[[#This Row],[Transaction Type]]="Sale",ABS(E1117)*K1117,0)</f>
        <v>465</v>
      </c>
      <c r="O1117" s="29">
        <f>IF(Table1[[#This Row],[Transaction Type]]="Purchase",E1117*J1117,0)</f>
        <v>0</v>
      </c>
    </row>
    <row r="1118" spans="1:15" x14ac:dyDescent="0.35">
      <c r="A1118" s="27" t="s">
        <v>1564</v>
      </c>
      <c r="B1118" s="12">
        <v>45993</v>
      </c>
      <c r="C1118" s="11" t="s">
        <v>69</v>
      </c>
      <c r="D1118" s="11" t="s">
        <v>13</v>
      </c>
      <c r="E1118" s="11">
        <v>-2</v>
      </c>
      <c r="F1118" s="11">
        <f t="shared" si="35"/>
        <v>-2</v>
      </c>
      <c r="G1118" s="11" t="s">
        <v>14</v>
      </c>
      <c r="H1118" s="11" t="s">
        <v>70</v>
      </c>
      <c r="I1118" s="11" t="s">
        <v>16</v>
      </c>
      <c r="J1118" s="11">
        <v>23</v>
      </c>
      <c r="K1118" s="11">
        <v>38</v>
      </c>
      <c r="L1118" s="11"/>
      <c r="M1118" s="11">
        <f t="shared" si="34"/>
        <v>46</v>
      </c>
      <c r="N1118" s="11">
        <f>IF(Table1[[#This Row],[Transaction Type]]="Sale",ABS(E1118)*K1118,0)</f>
        <v>76</v>
      </c>
      <c r="O1118" s="29">
        <f>IF(Table1[[#This Row],[Transaction Type]]="Purchase",E1118*J1118,0)</f>
        <v>0</v>
      </c>
    </row>
    <row r="1119" spans="1:15" x14ac:dyDescent="0.35">
      <c r="A1119" s="27" t="s">
        <v>1565</v>
      </c>
      <c r="B1119" s="12">
        <v>45993</v>
      </c>
      <c r="C1119" s="11" t="s">
        <v>55</v>
      </c>
      <c r="D1119" s="11" t="s">
        <v>13</v>
      </c>
      <c r="E1119" s="11">
        <v>-4</v>
      </c>
      <c r="F1119" s="11">
        <f t="shared" si="35"/>
        <v>-4</v>
      </c>
      <c r="G1119" s="11" t="s">
        <v>24</v>
      </c>
      <c r="H1119" s="11" t="s">
        <v>56</v>
      </c>
      <c r="I1119" s="11" t="s">
        <v>16</v>
      </c>
      <c r="J1119" s="11">
        <v>4.2</v>
      </c>
      <c r="K1119" s="11">
        <v>10</v>
      </c>
      <c r="L1119" s="11"/>
      <c r="M1119" s="11">
        <f t="shared" si="34"/>
        <v>16.8</v>
      </c>
      <c r="N1119" s="11">
        <f>IF(Table1[[#This Row],[Transaction Type]]="Sale",ABS(E1119)*K1119,0)</f>
        <v>40</v>
      </c>
      <c r="O1119" s="29">
        <f>IF(Table1[[#This Row],[Transaction Type]]="Purchase",E1119*J1119,0)</f>
        <v>0</v>
      </c>
    </row>
    <row r="1120" spans="1:15" x14ac:dyDescent="0.35">
      <c r="A1120" s="27" t="s">
        <v>1566</v>
      </c>
      <c r="B1120" s="12">
        <v>45994</v>
      </c>
      <c r="C1120" s="11" t="s">
        <v>23</v>
      </c>
      <c r="D1120" s="11" t="s">
        <v>13</v>
      </c>
      <c r="E1120" s="11">
        <v>-11</v>
      </c>
      <c r="F1120" s="11">
        <f t="shared" si="35"/>
        <v>-11</v>
      </c>
      <c r="G1120" s="11" t="s">
        <v>14</v>
      </c>
      <c r="H1120" s="11" t="s">
        <v>25</v>
      </c>
      <c r="I1120" s="11" t="s">
        <v>26</v>
      </c>
      <c r="J1120" s="11">
        <v>3</v>
      </c>
      <c r="K1120" s="11">
        <v>7</v>
      </c>
      <c r="L1120" s="11"/>
      <c r="M1120" s="11">
        <f t="shared" si="34"/>
        <v>33</v>
      </c>
      <c r="N1120" s="11">
        <f>IF(Table1[[#This Row],[Transaction Type]]="Sale",ABS(E1120)*K1120,0)</f>
        <v>77</v>
      </c>
      <c r="O1120" s="29">
        <f>IF(Table1[[#This Row],[Transaction Type]]="Purchase",E1120*J1120,0)</f>
        <v>0</v>
      </c>
    </row>
    <row r="1121" spans="1:15" x14ac:dyDescent="0.35">
      <c r="A1121" s="27" t="s">
        <v>1567</v>
      </c>
      <c r="B1121" s="12">
        <v>45994</v>
      </c>
      <c r="C1121" s="11" t="s">
        <v>141</v>
      </c>
      <c r="D1121" s="11" t="s">
        <v>13</v>
      </c>
      <c r="E1121" s="11">
        <v>-1</v>
      </c>
      <c r="F1121" s="11">
        <f t="shared" si="35"/>
        <v>-1</v>
      </c>
      <c r="G1121" s="11" t="s">
        <v>24</v>
      </c>
      <c r="H1121" s="11" t="s">
        <v>25</v>
      </c>
      <c r="I1121" s="11" t="s">
        <v>26</v>
      </c>
      <c r="J1121" s="11">
        <v>4</v>
      </c>
      <c r="K1121" s="11">
        <v>9</v>
      </c>
      <c r="L1121" s="11"/>
      <c r="M1121" s="11">
        <f t="shared" si="34"/>
        <v>4</v>
      </c>
      <c r="N1121" s="11">
        <f>IF(Table1[[#This Row],[Transaction Type]]="Sale",ABS(E1121)*K1121,0)</f>
        <v>9</v>
      </c>
      <c r="O1121" s="29">
        <f>IF(Table1[[#This Row],[Transaction Type]]="Purchase",E1121*J1121,0)</f>
        <v>0</v>
      </c>
    </row>
    <row r="1122" spans="1:15" x14ac:dyDescent="0.35">
      <c r="A1122" s="27" t="s">
        <v>1568</v>
      </c>
      <c r="B1122" s="12">
        <v>45994</v>
      </c>
      <c r="C1122" s="11" t="s">
        <v>83</v>
      </c>
      <c r="D1122" s="11" t="s">
        <v>58</v>
      </c>
      <c r="E1122" s="11">
        <v>5</v>
      </c>
      <c r="F1122" s="11">
        <f t="shared" si="35"/>
        <v>5</v>
      </c>
      <c r="G1122" s="11" t="s">
        <v>14</v>
      </c>
      <c r="H1122" s="11" t="s">
        <v>84</v>
      </c>
      <c r="I1122" s="11" t="s">
        <v>45</v>
      </c>
      <c r="J1122" s="11">
        <v>130</v>
      </c>
      <c r="K1122" s="11">
        <v>185</v>
      </c>
      <c r="L1122" s="11"/>
      <c r="M1122" s="11">
        <f t="shared" si="34"/>
        <v>650</v>
      </c>
      <c r="N1122" s="11">
        <f>IF(Table1[[#This Row],[Transaction Type]]="Sale",ABS(E1122)*K1122,0)</f>
        <v>0</v>
      </c>
      <c r="O1122" s="29">
        <f>IF(Table1[[#This Row],[Transaction Type]]="Purchase",E1122*J1122,0)</f>
        <v>0</v>
      </c>
    </row>
    <row r="1123" spans="1:15" x14ac:dyDescent="0.35">
      <c r="A1123" s="27" t="s">
        <v>1569</v>
      </c>
      <c r="B1123" s="12">
        <v>45994</v>
      </c>
      <c r="C1123" s="11" t="s">
        <v>69</v>
      </c>
      <c r="D1123" s="11" t="s">
        <v>13</v>
      </c>
      <c r="E1123" s="11">
        <v>-2</v>
      </c>
      <c r="F1123" s="11">
        <f t="shared" si="35"/>
        <v>-2</v>
      </c>
      <c r="G1123" s="11" t="s">
        <v>14</v>
      </c>
      <c r="H1123" s="11" t="s">
        <v>70</v>
      </c>
      <c r="I1123" s="11" t="s">
        <v>16</v>
      </c>
      <c r="J1123" s="11">
        <v>23</v>
      </c>
      <c r="K1123" s="11">
        <v>38</v>
      </c>
      <c r="L1123" s="11"/>
      <c r="M1123" s="11">
        <f t="shared" si="34"/>
        <v>46</v>
      </c>
      <c r="N1123" s="11">
        <f>IF(Table1[[#This Row],[Transaction Type]]="Sale",ABS(E1123)*K1123,0)</f>
        <v>76</v>
      </c>
      <c r="O1123" s="29">
        <f>IF(Table1[[#This Row],[Transaction Type]]="Purchase",E1123*J1123,0)</f>
        <v>0</v>
      </c>
    </row>
    <row r="1124" spans="1:15" x14ac:dyDescent="0.35">
      <c r="A1124" s="27" t="s">
        <v>1570</v>
      </c>
      <c r="B1124" s="12">
        <v>45995</v>
      </c>
      <c r="C1124" s="11" t="s">
        <v>170</v>
      </c>
      <c r="D1124" s="11" t="s">
        <v>40</v>
      </c>
      <c r="E1124" s="11">
        <v>118</v>
      </c>
      <c r="F1124" s="11">
        <f t="shared" si="35"/>
        <v>118</v>
      </c>
      <c r="G1124" s="11" t="s">
        <v>14</v>
      </c>
      <c r="H1124" s="11" t="s">
        <v>171</v>
      </c>
      <c r="I1124" s="11" t="s">
        <v>34</v>
      </c>
      <c r="J1124" s="11">
        <v>25</v>
      </c>
      <c r="K1124" s="11">
        <v>45</v>
      </c>
      <c r="L1124" s="11" t="s">
        <v>1571</v>
      </c>
      <c r="M1124" s="11">
        <f t="shared" si="34"/>
        <v>2950</v>
      </c>
      <c r="N1124" s="11">
        <f>IF(Table1[[#This Row],[Transaction Type]]="Sale",ABS(E1124)*K1124,0)</f>
        <v>0</v>
      </c>
      <c r="O1124" s="29">
        <f>IF(Table1[[#This Row],[Transaction Type]]="Purchase",E1124*J1124,0)</f>
        <v>2950</v>
      </c>
    </row>
    <row r="1125" spans="1:15" x14ac:dyDescent="0.35">
      <c r="A1125" s="27" t="s">
        <v>1572</v>
      </c>
      <c r="B1125" s="12">
        <v>45995</v>
      </c>
      <c r="C1125" s="11" t="s">
        <v>36</v>
      </c>
      <c r="D1125" s="11" t="s">
        <v>40</v>
      </c>
      <c r="E1125" s="11">
        <v>46</v>
      </c>
      <c r="F1125" s="11">
        <f t="shared" si="35"/>
        <v>46</v>
      </c>
      <c r="G1125" s="11" t="s">
        <v>24</v>
      </c>
      <c r="H1125" s="11" t="s">
        <v>37</v>
      </c>
      <c r="I1125" s="11" t="s">
        <v>16</v>
      </c>
      <c r="J1125" s="11">
        <v>7.2</v>
      </c>
      <c r="K1125" s="11">
        <v>12.5</v>
      </c>
      <c r="L1125" s="11" t="s">
        <v>1573</v>
      </c>
      <c r="M1125" s="11">
        <f t="shared" si="34"/>
        <v>331.2</v>
      </c>
      <c r="N1125" s="11">
        <f>IF(Table1[[#This Row],[Transaction Type]]="Sale",ABS(E1125)*K1125,0)</f>
        <v>0</v>
      </c>
      <c r="O1125" s="29">
        <f>IF(Table1[[#This Row],[Transaction Type]]="Purchase",E1125*J1125,0)</f>
        <v>331.2</v>
      </c>
    </row>
    <row r="1126" spans="1:15" x14ac:dyDescent="0.35">
      <c r="A1126" s="27" t="s">
        <v>1574</v>
      </c>
      <c r="B1126" s="12">
        <v>45995</v>
      </c>
      <c r="C1126" s="11" t="s">
        <v>73</v>
      </c>
      <c r="D1126" s="11" t="s">
        <v>13</v>
      </c>
      <c r="E1126" s="11">
        <v>-14</v>
      </c>
      <c r="F1126" s="11">
        <f t="shared" si="35"/>
        <v>-14</v>
      </c>
      <c r="G1126" s="11" t="s">
        <v>19</v>
      </c>
      <c r="H1126" s="11" t="s">
        <v>74</v>
      </c>
      <c r="I1126" s="11" t="s">
        <v>75</v>
      </c>
      <c r="J1126" s="11">
        <v>30</v>
      </c>
      <c r="K1126" s="11">
        <v>48</v>
      </c>
      <c r="L1126" s="11"/>
      <c r="M1126" s="11">
        <f t="shared" si="34"/>
        <v>420</v>
      </c>
      <c r="N1126" s="11">
        <f>IF(Table1[[#This Row],[Transaction Type]]="Sale",ABS(E1126)*K1126,0)</f>
        <v>672</v>
      </c>
      <c r="O1126" s="29">
        <f>IF(Table1[[#This Row],[Transaction Type]]="Purchase",E1126*J1126,0)</f>
        <v>0</v>
      </c>
    </row>
    <row r="1127" spans="1:15" x14ac:dyDescent="0.35">
      <c r="A1127" s="27" t="s">
        <v>1575</v>
      </c>
      <c r="B1127" s="12">
        <v>45995</v>
      </c>
      <c r="C1127" s="11" t="s">
        <v>18</v>
      </c>
      <c r="D1127" s="11" t="s">
        <v>13</v>
      </c>
      <c r="E1127" s="11">
        <v>-8</v>
      </c>
      <c r="F1127" s="11">
        <f t="shared" si="35"/>
        <v>-8</v>
      </c>
      <c r="G1127" s="11" t="s">
        <v>14</v>
      </c>
      <c r="H1127" s="11" t="s">
        <v>20</v>
      </c>
      <c r="I1127" s="11" t="s">
        <v>21</v>
      </c>
      <c r="J1127" s="11">
        <v>2.6</v>
      </c>
      <c r="K1127" s="11">
        <v>5.5</v>
      </c>
      <c r="L1127" s="11"/>
      <c r="M1127" s="11">
        <f t="shared" si="34"/>
        <v>20.8</v>
      </c>
      <c r="N1127" s="11">
        <f>IF(Table1[[#This Row],[Transaction Type]]="Sale",ABS(E1127)*K1127,0)</f>
        <v>44</v>
      </c>
      <c r="O1127" s="29">
        <f>IF(Table1[[#This Row],[Transaction Type]]="Purchase",E1127*J1127,0)</f>
        <v>0</v>
      </c>
    </row>
    <row r="1128" spans="1:15" x14ac:dyDescent="0.35">
      <c r="A1128" s="27" t="s">
        <v>1576</v>
      </c>
      <c r="B1128" s="12">
        <v>45996</v>
      </c>
      <c r="C1128" s="11" t="s">
        <v>43</v>
      </c>
      <c r="D1128" s="11" t="s">
        <v>13</v>
      </c>
      <c r="E1128" s="11">
        <v>-3</v>
      </c>
      <c r="F1128" s="11">
        <f t="shared" si="35"/>
        <v>-3</v>
      </c>
      <c r="G1128" s="11" t="s">
        <v>24</v>
      </c>
      <c r="H1128" s="11" t="s">
        <v>44</v>
      </c>
      <c r="I1128" s="11" t="s">
        <v>45</v>
      </c>
      <c r="J1128" s="11">
        <v>5.2</v>
      </c>
      <c r="K1128" s="11">
        <v>11</v>
      </c>
      <c r="L1128" s="11"/>
      <c r="M1128" s="11">
        <f t="shared" si="34"/>
        <v>15.600000000000001</v>
      </c>
      <c r="N1128" s="11">
        <f>IF(Table1[[#This Row],[Transaction Type]]="Sale",ABS(E1128)*K1128,0)</f>
        <v>33</v>
      </c>
      <c r="O1128" s="29">
        <f>IF(Table1[[#This Row],[Transaction Type]]="Purchase",E1128*J1128,0)</f>
        <v>0</v>
      </c>
    </row>
    <row r="1129" spans="1:15" x14ac:dyDescent="0.35">
      <c r="A1129" s="27" t="s">
        <v>1577</v>
      </c>
      <c r="B1129" s="12">
        <v>45996</v>
      </c>
      <c r="C1129" s="11" t="s">
        <v>12</v>
      </c>
      <c r="D1129" s="11" t="s">
        <v>13</v>
      </c>
      <c r="E1129" s="11">
        <v>-2</v>
      </c>
      <c r="F1129" s="11">
        <f t="shared" si="35"/>
        <v>-2</v>
      </c>
      <c r="G1129" s="11" t="s">
        <v>14</v>
      </c>
      <c r="H1129" s="11" t="s">
        <v>15</v>
      </c>
      <c r="I1129" s="11" t="s">
        <v>16</v>
      </c>
      <c r="J1129" s="11">
        <v>13.5</v>
      </c>
      <c r="K1129" s="11">
        <v>24</v>
      </c>
      <c r="L1129" s="11"/>
      <c r="M1129" s="11">
        <f t="shared" si="34"/>
        <v>27</v>
      </c>
      <c r="N1129" s="11">
        <f>IF(Table1[[#This Row],[Transaction Type]]="Sale",ABS(E1129)*K1129,0)</f>
        <v>48</v>
      </c>
      <c r="O1129" s="29">
        <f>IF(Table1[[#This Row],[Transaction Type]]="Purchase",E1129*J1129,0)</f>
        <v>0</v>
      </c>
    </row>
    <row r="1130" spans="1:15" x14ac:dyDescent="0.35">
      <c r="A1130" s="27" t="s">
        <v>1578</v>
      </c>
      <c r="B1130" s="12">
        <v>45996</v>
      </c>
      <c r="C1130" s="11" t="s">
        <v>29</v>
      </c>
      <c r="D1130" s="11" t="s">
        <v>40</v>
      </c>
      <c r="E1130" s="11">
        <v>105</v>
      </c>
      <c r="F1130" s="11">
        <f t="shared" si="35"/>
        <v>105</v>
      </c>
      <c r="G1130" s="11" t="s">
        <v>14</v>
      </c>
      <c r="H1130" s="11" t="s">
        <v>30</v>
      </c>
      <c r="I1130" s="11" t="s">
        <v>16</v>
      </c>
      <c r="J1130" s="11">
        <v>8.8000000000000007</v>
      </c>
      <c r="K1130" s="11">
        <v>17</v>
      </c>
      <c r="L1130" s="11" t="s">
        <v>1579</v>
      </c>
      <c r="M1130" s="11">
        <f t="shared" si="34"/>
        <v>924.00000000000011</v>
      </c>
      <c r="N1130" s="11">
        <f>IF(Table1[[#This Row],[Transaction Type]]="Sale",ABS(E1130)*K1130,0)</f>
        <v>0</v>
      </c>
      <c r="O1130" s="29">
        <f>IF(Table1[[#This Row],[Transaction Type]]="Purchase",E1130*J1130,0)</f>
        <v>924.00000000000011</v>
      </c>
    </row>
    <row r="1131" spans="1:15" x14ac:dyDescent="0.35">
      <c r="A1131" s="27" t="s">
        <v>1580</v>
      </c>
      <c r="B1131" s="12">
        <v>45997</v>
      </c>
      <c r="C1131" s="11" t="s">
        <v>55</v>
      </c>
      <c r="D1131" s="11" t="s">
        <v>13</v>
      </c>
      <c r="E1131" s="11">
        <v>-10</v>
      </c>
      <c r="F1131" s="11">
        <f t="shared" si="35"/>
        <v>-10</v>
      </c>
      <c r="G1131" s="11" t="s">
        <v>14</v>
      </c>
      <c r="H1131" s="11" t="s">
        <v>56</v>
      </c>
      <c r="I1131" s="11" t="s">
        <v>16</v>
      </c>
      <c r="J1131" s="11">
        <v>4.2</v>
      </c>
      <c r="K1131" s="11">
        <v>10</v>
      </c>
      <c r="L1131" s="11"/>
      <c r="M1131" s="11">
        <f t="shared" si="34"/>
        <v>42</v>
      </c>
      <c r="N1131" s="11">
        <f>IF(Table1[[#This Row],[Transaction Type]]="Sale",ABS(E1131)*K1131,0)</f>
        <v>100</v>
      </c>
      <c r="O1131" s="29">
        <f>IF(Table1[[#This Row],[Transaction Type]]="Purchase",E1131*J1131,0)</f>
        <v>0</v>
      </c>
    </row>
    <row r="1132" spans="1:15" x14ac:dyDescent="0.35">
      <c r="A1132" s="27" t="s">
        <v>1581</v>
      </c>
      <c r="B1132" s="12">
        <v>45998</v>
      </c>
      <c r="C1132" s="11" t="s">
        <v>55</v>
      </c>
      <c r="D1132" s="11" t="s">
        <v>13</v>
      </c>
      <c r="E1132" s="11">
        <v>-8</v>
      </c>
      <c r="F1132" s="11">
        <f t="shared" si="35"/>
        <v>-8</v>
      </c>
      <c r="G1132" s="11" t="s">
        <v>24</v>
      </c>
      <c r="H1132" s="11" t="s">
        <v>56</v>
      </c>
      <c r="I1132" s="11" t="s">
        <v>16</v>
      </c>
      <c r="J1132" s="11">
        <v>4.2</v>
      </c>
      <c r="K1132" s="11">
        <v>10</v>
      </c>
      <c r="L1132" s="11"/>
      <c r="M1132" s="11">
        <f t="shared" si="34"/>
        <v>33.6</v>
      </c>
      <c r="N1132" s="11">
        <f>IF(Table1[[#This Row],[Transaction Type]]="Sale",ABS(E1132)*K1132,0)</f>
        <v>80</v>
      </c>
      <c r="O1132" s="29">
        <f>IF(Table1[[#This Row],[Transaction Type]]="Purchase",E1132*J1132,0)</f>
        <v>0</v>
      </c>
    </row>
    <row r="1133" spans="1:15" x14ac:dyDescent="0.35">
      <c r="A1133" s="27" t="s">
        <v>1582</v>
      </c>
      <c r="B1133" s="12">
        <v>45998</v>
      </c>
      <c r="C1133" s="11" t="s">
        <v>139</v>
      </c>
      <c r="D1133" s="11" t="s">
        <v>13</v>
      </c>
      <c r="E1133" s="11">
        <v>-4</v>
      </c>
      <c r="F1133" s="11">
        <f t="shared" si="35"/>
        <v>-4</v>
      </c>
      <c r="G1133" s="11" t="s">
        <v>14</v>
      </c>
      <c r="H1133" s="11" t="s">
        <v>56</v>
      </c>
      <c r="I1133" s="11" t="s">
        <v>16</v>
      </c>
      <c r="J1133" s="11">
        <v>16.5</v>
      </c>
      <c r="K1133" s="11">
        <v>28</v>
      </c>
      <c r="L1133" s="11"/>
      <c r="M1133" s="11">
        <f t="shared" si="34"/>
        <v>66</v>
      </c>
      <c r="N1133" s="11">
        <f>IF(Table1[[#This Row],[Transaction Type]]="Sale",ABS(E1133)*K1133,0)</f>
        <v>112</v>
      </c>
      <c r="O1133" s="29">
        <f>IF(Table1[[#This Row],[Transaction Type]]="Purchase",E1133*J1133,0)</f>
        <v>0</v>
      </c>
    </row>
    <row r="1134" spans="1:15" x14ac:dyDescent="0.35">
      <c r="A1134" s="27" t="s">
        <v>1583</v>
      </c>
      <c r="B1134" s="12">
        <v>45999</v>
      </c>
      <c r="C1134" s="11" t="s">
        <v>87</v>
      </c>
      <c r="D1134" s="11" t="s">
        <v>13</v>
      </c>
      <c r="E1134" s="11">
        <v>-6</v>
      </c>
      <c r="F1134" s="11">
        <f t="shared" si="35"/>
        <v>-6</v>
      </c>
      <c r="G1134" s="11" t="s">
        <v>14</v>
      </c>
      <c r="H1134" s="11" t="s">
        <v>88</v>
      </c>
      <c r="I1134" s="11" t="s">
        <v>16</v>
      </c>
      <c r="J1134" s="11">
        <v>6</v>
      </c>
      <c r="K1134" s="11">
        <v>14</v>
      </c>
      <c r="L1134" s="11"/>
      <c r="M1134" s="11">
        <f t="shared" si="34"/>
        <v>36</v>
      </c>
      <c r="N1134" s="11">
        <f>IF(Table1[[#This Row],[Transaction Type]]="Sale",ABS(E1134)*K1134,0)</f>
        <v>84</v>
      </c>
      <c r="O1134" s="29">
        <f>IF(Table1[[#This Row],[Transaction Type]]="Purchase",E1134*J1134,0)</f>
        <v>0</v>
      </c>
    </row>
    <row r="1135" spans="1:15" x14ac:dyDescent="0.35">
      <c r="A1135" s="27" t="s">
        <v>1584</v>
      </c>
      <c r="B1135" s="12">
        <v>46000</v>
      </c>
      <c r="C1135" s="11" t="s">
        <v>87</v>
      </c>
      <c r="D1135" s="11" t="s">
        <v>13</v>
      </c>
      <c r="E1135" s="11">
        <v>-2</v>
      </c>
      <c r="F1135" s="11">
        <f t="shared" si="35"/>
        <v>-2</v>
      </c>
      <c r="G1135" s="11" t="s">
        <v>14</v>
      </c>
      <c r="H1135" s="11" t="s">
        <v>88</v>
      </c>
      <c r="I1135" s="11" t="s">
        <v>16</v>
      </c>
      <c r="J1135" s="11">
        <v>6</v>
      </c>
      <c r="K1135" s="11">
        <v>14</v>
      </c>
      <c r="L1135" s="11"/>
      <c r="M1135" s="11">
        <f t="shared" si="34"/>
        <v>12</v>
      </c>
      <c r="N1135" s="11">
        <f>IF(Table1[[#This Row],[Transaction Type]]="Sale",ABS(E1135)*K1135,0)</f>
        <v>28</v>
      </c>
      <c r="O1135" s="29">
        <f>IF(Table1[[#This Row],[Transaction Type]]="Purchase",E1135*J1135,0)</f>
        <v>0</v>
      </c>
    </row>
    <row r="1136" spans="1:15" x14ac:dyDescent="0.35">
      <c r="A1136" s="27" t="s">
        <v>1585</v>
      </c>
      <c r="B1136" s="12">
        <v>45912</v>
      </c>
      <c r="C1136" s="11" t="s">
        <v>87</v>
      </c>
      <c r="D1136" s="11" t="s">
        <v>13</v>
      </c>
      <c r="E1136" s="11">
        <v>-13</v>
      </c>
      <c r="F1136" s="11">
        <f t="shared" si="35"/>
        <v>-13</v>
      </c>
      <c r="G1136" s="11" t="s">
        <v>19</v>
      </c>
      <c r="H1136" s="11" t="s">
        <v>88</v>
      </c>
      <c r="I1136" s="11" t="s">
        <v>16</v>
      </c>
      <c r="J1136" s="11">
        <v>6</v>
      </c>
      <c r="K1136" s="11">
        <v>14</v>
      </c>
      <c r="L1136" s="11"/>
      <c r="M1136" s="11">
        <f t="shared" si="34"/>
        <v>78</v>
      </c>
      <c r="N1136" s="11">
        <f>IF(Table1[[#This Row],[Transaction Type]]="Sale",ABS(E1136)*K1136,0)</f>
        <v>182</v>
      </c>
      <c r="O1136" s="29">
        <f>IF(Table1[[#This Row],[Transaction Type]]="Purchase",E1136*J1136,0)</f>
        <v>0</v>
      </c>
    </row>
    <row r="1137" spans="1:15" x14ac:dyDescent="0.35">
      <c r="A1137" s="27" t="s">
        <v>1586</v>
      </c>
      <c r="B1137" s="12">
        <v>46000</v>
      </c>
      <c r="C1137" s="11" t="s">
        <v>185</v>
      </c>
      <c r="D1137" s="11" t="s">
        <v>13</v>
      </c>
      <c r="E1137" s="11">
        <v>-4</v>
      </c>
      <c r="F1137" s="11">
        <f t="shared" si="35"/>
        <v>-4</v>
      </c>
      <c r="G1137" s="11" t="s">
        <v>24</v>
      </c>
      <c r="H1137" s="11" t="s">
        <v>44</v>
      </c>
      <c r="I1137" s="11" t="s">
        <v>45</v>
      </c>
      <c r="J1137" s="11">
        <v>63</v>
      </c>
      <c r="K1137" s="11">
        <v>95</v>
      </c>
      <c r="L1137" s="11"/>
      <c r="M1137" s="11">
        <f t="shared" si="34"/>
        <v>252</v>
      </c>
      <c r="N1137" s="11">
        <f>IF(Table1[[#This Row],[Transaction Type]]="Sale",ABS(E1137)*K1137,0)</f>
        <v>380</v>
      </c>
      <c r="O1137" s="29">
        <f>IF(Table1[[#This Row],[Transaction Type]]="Purchase",E1137*J1137,0)</f>
        <v>0</v>
      </c>
    </row>
    <row r="1138" spans="1:15" x14ac:dyDescent="0.35">
      <c r="A1138" s="27" t="s">
        <v>1587</v>
      </c>
      <c r="B1138" s="12">
        <v>46001</v>
      </c>
      <c r="C1138" s="11" t="s">
        <v>12</v>
      </c>
      <c r="D1138" s="11" t="s">
        <v>40</v>
      </c>
      <c r="E1138" s="11">
        <v>37</v>
      </c>
      <c r="F1138" s="11">
        <f t="shared" si="35"/>
        <v>37</v>
      </c>
      <c r="G1138" s="11" t="s">
        <v>24</v>
      </c>
      <c r="H1138" s="11" t="s">
        <v>15</v>
      </c>
      <c r="I1138" s="11" t="s">
        <v>16</v>
      </c>
      <c r="J1138" s="11">
        <v>13.5</v>
      </c>
      <c r="K1138" s="11">
        <v>24</v>
      </c>
      <c r="L1138" s="11" t="s">
        <v>1588</v>
      </c>
      <c r="M1138" s="11">
        <f t="shared" si="34"/>
        <v>499.5</v>
      </c>
      <c r="N1138" s="11">
        <f>IF(Table1[[#This Row],[Transaction Type]]="Sale",ABS(E1138)*K1138,0)</f>
        <v>0</v>
      </c>
      <c r="O1138" s="29">
        <f>IF(Table1[[#This Row],[Transaction Type]]="Purchase",E1138*J1138,0)</f>
        <v>499.5</v>
      </c>
    </row>
    <row r="1139" spans="1:15" x14ac:dyDescent="0.35">
      <c r="A1139" s="27" t="s">
        <v>1589</v>
      </c>
      <c r="B1139" s="12">
        <v>46001</v>
      </c>
      <c r="C1139" s="11" t="s">
        <v>43</v>
      </c>
      <c r="D1139" s="11" t="s">
        <v>58</v>
      </c>
      <c r="E1139" s="11">
        <v>-4</v>
      </c>
      <c r="F1139" s="11">
        <f t="shared" si="35"/>
        <v>-4</v>
      </c>
      <c r="G1139" s="11" t="s">
        <v>24</v>
      </c>
      <c r="H1139" s="11" t="s">
        <v>44</v>
      </c>
      <c r="I1139" s="11" t="s">
        <v>45</v>
      </c>
      <c r="J1139" s="11">
        <v>5.2</v>
      </c>
      <c r="K1139" s="11">
        <v>11</v>
      </c>
      <c r="L1139" s="11"/>
      <c r="M1139" s="11">
        <f t="shared" si="34"/>
        <v>20.8</v>
      </c>
      <c r="N1139" s="11">
        <f>IF(Table1[[#This Row],[Transaction Type]]="Sale",ABS(E1139)*K1139,0)</f>
        <v>0</v>
      </c>
      <c r="O1139" s="29">
        <f>IF(Table1[[#This Row],[Transaction Type]]="Purchase",E1139*J1139,0)</f>
        <v>0</v>
      </c>
    </row>
    <row r="1140" spans="1:15" x14ac:dyDescent="0.35">
      <c r="A1140" s="27" t="s">
        <v>1590</v>
      </c>
      <c r="B1140" s="12">
        <v>46001</v>
      </c>
      <c r="C1140" s="11" t="s">
        <v>69</v>
      </c>
      <c r="D1140" s="11" t="s">
        <v>13</v>
      </c>
      <c r="E1140" s="11">
        <v>-9</v>
      </c>
      <c r="F1140" s="11">
        <f t="shared" si="35"/>
        <v>-9</v>
      </c>
      <c r="G1140" s="11" t="s">
        <v>14</v>
      </c>
      <c r="H1140" s="11" t="s">
        <v>70</v>
      </c>
      <c r="I1140" s="11" t="s">
        <v>16</v>
      </c>
      <c r="J1140" s="11">
        <v>23</v>
      </c>
      <c r="K1140" s="11">
        <v>38</v>
      </c>
      <c r="L1140" s="11"/>
      <c r="M1140" s="11">
        <f t="shared" si="34"/>
        <v>207</v>
      </c>
      <c r="N1140" s="11">
        <f>IF(Table1[[#This Row],[Transaction Type]]="Sale",ABS(E1140)*K1140,0)</f>
        <v>342</v>
      </c>
      <c r="O1140" s="29">
        <f>IF(Table1[[#This Row],[Transaction Type]]="Purchase",E1140*J1140,0)</f>
        <v>0</v>
      </c>
    </row>
    <row r="1141" spans="1:15" x14ac:dyDescent="0.35">
      <c r="A1141" s="27" t="s">
        <v>1591</v>
      </c>
      <c r="B1141" s="12">
        <v>46001</v>
      </c>
      <c r="C1141" s="11" t="s">
        <v>83</v>
      </c>
      <c r="D1141" s="11" t="s">
        <v>13</v>
      </c>
      <c r="E1141" s="11">
        <v>-11</v>
      </c>
      <c r="F1141" s="11">
        <f t="shared" si="35"/>
        <v>-11</v>
      </c>
      <c r="G1141" s="11" t="s">
        <v>24</v>
      </c>
      <c r="H1141" s="11" t="s">
        <v>84</v>
      </c>
      <c r="I1141" s="11" t="s">
        <v>45</v>
      </c>
      <c r="J1141" s="11">
        <v>130</v>
      </c>
      <c r="K1141" s="11">
        <v>185</v>
      </c>
      <c r="L1141" s="11"/>
      <c r="M1141" s="11">
        <f t="shared" si="34"/>
        <v>1430</v>
      </c>
      <c r="N1141" s="11">
        <f>IF(Table1[[#This Row],[Transaction Type]]="Sale",ABS(E1141)*K1141,0)</f>
        <v>2035</v>
      </c>
      <c r="O1141" s="29">
        <f>IF(Table1[[#This Row],[Transaction Type]]="Purchase",E1141*J1141,0)</f>
        <v>0</v>
      </c>
    </row>
    <row r="1142" spans="1:15" x14ac:dyDescent="0.35">
      <c r="A1142" s="27" t="s">
        <v>1592</v>
      </c>
      <c r="B1142" s="12">
        <v>46002</v>
      </c>
      <c r="C1142" s="11" t="s">
        <v>36</v>
      </c>
      <c r="D1142" s="11" t="s">
        <v>13</v>
      </c>
      <c r="E1142" s="11">
        <v>-6</v>
      </c>
      <c r="F1142" s="11">
        <f t="shared" si="35"/>
        <v>-6</v>
      </c>
      <c r="G1142" s="11" t="s">
        <v>14</v>
      </c>
      <c r="H1142" s="11" t="s">
        <v>37</v>
      </c>
      <c r="I1142" s="11" t="s">
        <v>16</v>
      </c>
      <c r="J1142" s="11">
        <v>7.2</v>
      </c>
      <c r="K1142" s="11">
        <v>12.5</v>
      </c>
      <c r="L1142" s="11"/>
      <c r="M1142" s="11">
        <f t="shared" si="34"/>
        <v>43.2</v>
      </c>
      <c r="N1142" s="11">
        <f>IF(Table1[[#This Row],[Transaction Type]]="Sale",ABS(E1142)*K1142,0)</f>
        <v>75</v>
      </c>
      <c r="O1142" s="29">
        <f>IF(Table1[[#This Row],[Transaction Type]]="Purchase",E1142*J1142,0)</f>
        <v>0</v>
      </c>
    </row>
    <row r="1143" spans="1:15" x14ac:dyDescent="0.35">
      <c r="A1143" s="27" t="s">
        <v>1593</v>
      </c>
      <c r="B1143" s="12">
        <v>46003</v>
      </c>
      <c r="C1143" s="11" t="s">
        <v>109</v>
      </c>
      <c r="D1143" s="11" t="s">
        <v>13</v>
      </c>
      <c r="E1143" s="11">
        <v>-15</v>
      </c>
      <c r="F1143" s="11">
        <f t="shared" si="35"/>
        <v>-15</v>
      </c>
      <c r="G1143" s="11" t="s">
        <v>14</v>
      </c>
      <c r="H1143" s="11" t="s">
        <v>110</v>
      </c>
      <c r="I1143" s="11" t="s">
        <v>26</v>
      </c>
      <c r="J1143" s="11">
        <v>105</v>
      </c>
      <c r="K1143" s="11">
        <v>165</v>
      </c>
      <c r="L1143" s="11"/>
      <c r="M1143" s="11">
        <f t="shared" si="34"/>
        <v>1575</v>
      </c>
      <c r="N1143" s="11">
        <f>IF(Table1[[#This Row],[Transaction Type]]="Sale",ABS(E1143)*K1143,0)</f>
        <v>2475</v>
      </c>
      <c r="O1143" s="29">
        <f>IF(Table1[[#This Row],[Transaction Type]]="Purchase",E1143*J1143,0)</f>
        <v>0</v>
      </c>
    </row>
    <row r="1144" spans="1:15" x14ac:dyDescent="0.35">
      <c r="A1144" s="27" t="s">
        <v>1594</v>
      </c>
      <c r="B1144" s="12">
        <v>46004</v>
      </c>
      <c r="C1144" s="11" t="s">
        <v>77</v>
      </c>
      <c r="D1144" s="11" t="s">
        <v>13</v>
      </c>
      <c r="E1144" s="11">
        <v>-12</v>
      </c>
      <c r="F1144" s="11">
        <f t="shared" si="35"/>
        <v>-12</v>
      </c>
      <c r="G1144" s="11" t="s">
        <v>14</v>
      </c>
      <c r="H1144" s="11" t="s">
        <v>78</v>
      </c>
      <c r="I1144" s="11" t="s">
        <v>16</v>
      </c>
      <c r="J1144" s="11">
        <v>25</v>
      </c>
      <c r="K1144" s="11">
        <v>42</v>
      </c>
      <c r="L1144" s="11"/>
      <c r="M1144" s="11">
        <f t="shared" si="34"/>
        <v>300</v>
      </c>
      <c r="N1144" s="11">
        <f>IF(Table1[[#This Row],[Transaction Type]]="Sale",ABS(E1144)*K1144,0)</f>
        <v>504</v>
      </c>
      <c r="O1144" s="29">
        <f>IF(Table1[[#This Row],[Transaction Type]]="Purchase",E1144*J1144,0)</f>
        <v>0</v>
      </c>
    </row>
    <row r="1145" spans="1:15" x14ac:dyDescent="0.35">
      <c r="A1145" s="27" t="s">
        <v>1595</v>
      </c>
      <c r="B1145" s="12">
        <v>46005</v>
      </c>
      <c r="C1145" s="11" t="s">
        <v>139</v>
      </c>
      <c r="D1145" s="11" t="s">
        <v>40</v>
      </c>
      <c r="E1145" s="11">
        <v>108</v>
      </c>
      <c r="F1145" s="11">
        <f t="shared" si="35"/>
        <v>108</v>
      </c>
      <c r="G1145" s="11" t="s">
        <v>14</v>
      </c>
      <c r="H1145" s="11" t="s">
        <v>56</v>
      </c>
      <c r="I1145" s="11" t="s">
        <v>16</v>
      </c>
      <c r="J1145" s="11">
        <v>16.5</v>
      </c>
      <c r="K1145" s="11">
        <v>28</v>
      </c>
      <c r="L1145" s="11" t="s">
        <v>1596</v>
      </c>
      <c r="M1145" s="11">
        <f t="shared" si="34"/>
        <v>1782</v>
      </c>
      <c r="N1145" s="11">
        <f>IF(Table1[[#This Row],[Transaction Type]]="Sale",ABS(E1145)*K1145,0)</f>
        <v>0</v>
      </c>
      <c r="O1145" s="29">
        <f>IF(Table1[[#This Row],[Transaction Type]]="Purchase",E1145*J1145,0)</f>
        <v>1782</v>
      </c>
    </row>
    <row r="1146" spans="1:15" x14ac:dyDescent="0.35">
      <c r="A1146" s="27" t="s">
        <v>1597</v>
      </c>
      <c r="B1146" s="12">
        <v>46005</v>
      </c>
      <c r="C1146" s="11" t="s">
        <v>227</v>
      </c>
      <c r="D1146" s="11" t="s">
        <v>66</v>
      </c>
      <c r="E1146" s="11">
        <v>2</v>
      </c>
      <c r="F1146" s="11">
        <f t="shared" si="35"/>
        <v>2</v>
      </c>
      <c r="G1146" s="11" t="s">
        <v>19</v>
      </c>
      <c r="H1146" s="11" t="s">
        <v>228</v>
      </c>
      <c r="I1146" s="11" t="s">
        <v>16</v>
      </c>
      <c r="J1146" s="11">
        <v>78</v>
      </c>
      <c r="K1146" s="11">
        <v>125</v>
      </c>
      <c r="L1146" s="11"/>
      <c r="M1146" s="11">
        <f t="shared" si="34"/>
        <v>156</v>
      </c>
      <c r="N1146" s="11">
        <f>IF(Table1[[#This Row],[Transaction Type]]="Sale",ABS(E1146)*K1146,0)</f>
        <v>0</v>
      </c>
      <c r="O1146" s="29">
        <f>IF(Table1[[#This Row],[Transaction Type]]="Purchase",E1146*J1146,0)</f>
        <v>0</v>
      </c>
    </row>
    <row r="1147" spans="1:15" x14ac:dyDescent="0.35">
      <c r="A1147" s="27" t="s">
        <v>1598</v>
      </c>
      <c r="B1147" s="12">
        <v>46006</v>
      </c>
      <c r="C1147" s="11" t="s">
        <v>32</v>
      </c>
      <c r="D1147" s="11" t="s">
        <v>13</v>
      </c>
      <c r="E1147" s="11">
        <v>-11</v>
      </c>
      <c r="F1147" s="11">
        <f t="shared" si="35"/>
        <v>-11</v>
      </c>
      <c r="G1147" s="11" t="s">
        <v>14</v>
      </c>
      <c r="H1147" s="11" t="s">
        <v>33</v>
      </c>
      <c r="I1147" s="11" t="s">
        <v>34</v>
      </c>
      <c r="J1147" s="11">
        <v>20</v>
      </c>
      <c r="K1147" s="11">
        <v>35</v>
      </c>
      <c r="L1147" s="11"/>
      <c r="M1147" s="11">
        <f t="shared" si="34"/>
        <v>220</v>
      </c>
      <c r="N1147" s="11">
        <f>IF(Table1[[#This Row],[Transaction Type]]="Sale",ABS(E1147)*K1147,0)</f>
        <v>385</v>
      </c>
      <c r="O1147" s="29">
        <f>IF(Table1[[#This Row],[Transaction Type]]="Purchase",E1147*J1147,0)</f>
        <v>0</v>
      </c>
    </row>
    <row r="1148" spans="1:15" x14ac:dyDescent="0.35">
      <c r="A1148" s="27" t="s">
        <v>1599</v>
      </c>
      <c r="B1148" s="12">
        <v>46006</v>
      </c>
      <c r="C1148" s="11" t="s">
        <v>81</v>
      </c>
      <c r="D1148" s="11" t="s">
        <v>13</v>
      </c>
      <c r="E1148" s="11">
        <v>-1</v>
      </c>
      <c r="F1148" s="11">
        <f t="shared" si="35"/>
        <v>-1</v>
      </c>
      <c r="G1148" s="11" t="s">
        <v>14</v>
      </c>
      <c r="H1148" s="11" t="s">
        <v>30</v>
      </c>
      <c r="I1148" s="11" t="s">
        <v>16</v>
      </c>
      <c r="J1148" s="11">
        <v>8</v>
      </c>
      <c r="K1148" s="11">
        <v>15</v>
      </c>
      <c r="L1148" s="11"/>
      <c r="M1148" s="11">
        <f t="shared" si="34"/>
        <v>8</v>
      </c>
      <c r="N1148" s="11">
        <f>IF(Table1[[#This Row],[Transaction Type]]="Sale",ABS(E1148)*K1148,0)</f>
        <v>15</v>
      </c>
      <c r="O1148" s="29">
        <f>IF(Table1[[#This Row],[Transaction Type]]="Purchase",E1148*J1148,0)</f>
        <v>0</v>
      </c>
    </row>
    <row r="1149" spans="1:15" x14ac:dyDescent="0.35">
      <c r="A1149" s="27" t="s">
        <v>1600</v>
      </c>
      <c r="B1149" s="12">
        <v>46007</v>
      </c>
      <c r="C1149" s="11" t="s">
        <v>36</v>
      </c>
      <c r="D1149" s="11" t="s">
        <v>66</v>
      </c>
      <c r="E1149" s="11">
        <v>3</v>
      </c>
      <c r="F1149" s="11">
        <f t="shared" si="35"/>
        <v>3</v>
      </c>
      <c r="G1149" s="11" t="s">
        <v>19</v>
      </c>
      <c r="H1149" s="11" t="s">
        <v>37</v>
      </c>
      <c r="I1149" s="11" t="s">
        <v>16</v>
      </c>
      <c r="J1149" s="11">
        <v>7.2</v>
      </c>
      <c r="K1149" s="11">
        <v>12.5</v>
      </c>
      <c r="L1149" s="11"/>
      <c r="M1149" s="11">
        <f t="shared" si="34"/>
        <v>21.6</v>
      </c>
      <c r="N1149" s="11">
        <f>IF(Table1[[#This Row],[Transaction Type]]="Sale",ABS(E1149)*K1149,0)</f>
        <v>0</v>
      </c>
      <c r="O1149" s="29">
        <f>IF(Table1[[#This Row],[Transaction Type]]="Purchase",E1149*J1149,0)</f>
        <v>0</v>
      </c>
    </row>
    <row r="1150" spans="1:15" x14ac:dyDescent="0.35">
      <c r="A1150" s="27" t="s">
        <v>1601</v>
      </c>
      <c r="B1150" s="12">
        <v>46008</v>
      </c>
      <c r="C1150" s="11" t="s">
        <v>170</v>
      </c>
      <c r="D1150" s="11" t="s">
        <v>40</v>
      </c>
      <c r="E1150" s="11">
        <v>60</v>
      </c>
      <c r="F1150" s="11">
        <f t="shared" si="35"/>
        <v>60</v>
      </c>
      <c r="G1150" s="11" t="s">
        <v>14</v>
      </c>
      <c r="H1150" s="11" t="s">
        <v>171</v>
      </c>
      <c r="I1150" s="11" t="s">
        <v>34</v>
      </c>
      <c r="J1150" s="11">
        <v>25</v>
      </c>
      <c r="K1150" s="11">
        <v>45</v>
      </c>
      <c r="L1150" s="11" t="s">
        <v>1602</v>
      </c>
      <c r="M1150" s="11">
        <f t="shared" si="34"/>
        <v>1500</v>
      </c>
      <c r="N1150" s="11">
        <f>IF(Table1[[#This Row],[Transaction Type]]="Sale",ABS(E1150)*K1150,0)</f>
        <v>0</v>
      </c>
      <c r="O1150" s="29">
        <f>IF(Table1[[#This Row],[Transaction Type]]="Purchase",E1150*J1150,0)</f>
        <v>1500</v>
      </c>
    </row>
    <row r="1151" spans="1:15" x14ac:dyDescent="0.35">
      <c r="A1151" s="27" t="s">
        <v>1603</v>
      </c>
      <c r="B1151" s="12">
        <v>46008</v>
      </c>
      <c r="C1151" s="11" t="s">
        <v>55</v>
      </c>
      <c r="D1151" s="11" t="s">
        <v>13</v>
      </c>
      <c r="E1151" s="11">
        <v>-11</v>
      </c>
      <c r="F1151" s="11">
        <f t="shared" si="35"/>
        <v>-11</v>
      </c>
      <c r="G1151" s="11" t="s">
        <v>24</v>
      </c>
      <c r="H1151" s="11" t="s">
        <v>56</v>
      </c>
      <c r="I1151" s="11" t="s">
        <v>16</v>
      </c>
      <c r="J1151" s="11">
        <v>4.2</v>
      </c>
      <c r="K1151" s="11">
        <v>10</v>
      </c>
      <c r="L1151" s="11"/>
      <c r="M1151" s="11">
        <f t="shared" si="34"/>
        <v>46.2</v>
      </c>
      <c r="N1151" s="11">
        <f>IF(Table1[[#This Row],[Transaction Type]]="Sale",ABS(E1151)*K1151,0)</f>
        <v>110</v>
      </c>
      <c r="O1151" s="29">
        <f>IF(Table1[[#This Row],[Transaction Type]]="Purchase",E1151*J1151,0)</f>
        <v>0</v>
      </c>
    </row>
    <row r="1152" spans="1:15" x14ac:dyDescent="0.35">
      <c r="A1152" s="27" t="s">
        <v>1604</v>
      </c>
      <c r="B1152" s="12">
        <v>46008</v>
      </c>
      <c r="C1152" s="11" t="s">
        <v>23</v>
      </c>
      <c r="D1152" s="11" t="s">
        <v>13</v>
      </c>
      <c r="E1152" s="11">
        <v>-15</v>
      </c>
      <c r="F1152" s="11">
        <f t="shared" si="35"/>
        <v>-15</v>
      </c>
      <c r="G1152" s="11" t="s">
        <v>24</v>
      </c>
      <c r="H1152" s="11" t="s">
        <v>25</v>
      </c>
      <c r="I1152" s="11" t="s">
        <v>26</v>
      </c>
      <c r="J1152" s="11">
        <v>3</v>
      </c>
      <c r="K1152" s="11">
        <v>7</v>
      </c>
      <c r="L1152" s="11"/>
      <c r="M1152" s="11">
        <f t="shared" si="34"/>
        <v>45</v>
      </c>
      <c r="N1152" s="11">
        <f>IF(Table1[[#This Row],[Transaction Type]]="Sale",ABS(E1152)*K1152,0)</f>
        <v>105</v>
      </c>
      <c r="O1152" s="29">
        <f>IF(Table1[[#This Row],[Transaction Type]]="Purchase",E1152*J1152,0)</f>
        <v>0</v>
      </c>
    </row>
    <row r="1153" spans="1:15" x14ac:dyDescent="0.35">
      <c r="A1153" s="27" t="s">
        <v>1605</v>
      </c>
      <c r="B1153" s="12">
        <v>46009</v>
      </c>
      <c r="C1153" s="11" t="s">
        <v>170</v>
      </c>
      <c r="D1153" s="11" t="s">
        <v>13</v>
      </c>
      <c r="E1153" s="11">
        <v>-1</v>
      </c>
      <c r="F1153" s="11">
        <f t="shared" si="35"/>
        <v>-1</v>
      </c>
      <c r="G1153" s="11" t="s">
        <v>19</v>
      </c>
      <c r="H1153" s="11" t="s">
        <v>171</v>
      </c>
      <c r="I1153" s="11" t="s">
        <v>34</v>
      </c>
      <c r="J1153" s="11">
        <v>25</v>
      </c>
      <c r="K1153" s="11">
        <v>45</v>
      </c>
      <c r="L1153" s="11"/>
      <c r="M1153" s="11">
        <f t="shared" si="34"/>
        <v>25</v>
      </c>
      <c r="N1153" s="11">
        <f>IF(Table1[[#This Row],[Transaction Type]]="Sale",ABS(E1153)*K1153,0)</f>
        <v>45</v>
      </c>
      <c r="O1153" s="29">
        <f>IF(Table1[[#This Row],[Transaction Type]]="Purchase",E1153*J1153,0)</f>
        <v>0</v>
      </c>
    </row>
    <row r="1154" spans="1:15" x14ac:dyDescent="0.35">
      <c r="A1154" s="27" t="s">
        <v>1606</v>
      </c>
      <c r="B1154" s="12">
        <v>46009</v>
      </c>
      <c r="C1154" s="11" t="s">
        <v>12</v>
      </c>
      <c r="D1154" s="11" t="s">
        <v>13</v>
      </c>
      <c r="E1154" s="11">
        <v>-2</v>
      </c>
      <c r="F1154" s="11">
        <f t="shared" si="35"/>
        <v>-2</v>
      </c>
      <c r="G1154" s="11" t="s">
        <v>14</v>
      </c>
      <c r="H1154" s="11" t="s">
        <v>15</v>
      </c>
      <c r="I1154" s="11" t="s">
        <v>16</v>
      </c>
      <c r="J1154" s="11">
        <v>13.5</v>
      </c>
      <c r="K1154" s="11">
        <v>24</v>
      </c>
      <c r="L1154" s="11"/>
      <c r="M1154" s="11">
        <f t="shared" ref="M1154:M1217" si="36">ABS(E1154)*J1154</f>
        <v>27</v>
      </c>
      <c r="N1154" s="11">
        <f>IF(Table1[[#This Row],[Transaction Type]]="Sale",ABS(E1154)*K1154,0)</f>
        <v>48</v>
      </c>
      <c r="O1154" s="29">
        <f>IF(Table1[[#This Row],[Transaction Type]]="Purchase",E1154*J1154,0)</f>
        <v>0</v>
      </c>
    </row>
    <row r="1155" spans="1:15" x14ac:dyDescent="0.35">
      <c r="A1155" s="27" t="s">
        <v>1607</v>
      </c>
      <c r="B1155" s="12">
        <v>46009</v>
      </c>
      <c r="C1155" s="11" t="s">
        <v>77</v>
      </c>
      <c r="D1155" s="11" t="s">
        <v>40</v>
      </c>
      <c r="E1155" s="11">
        <v>97</v>
      </c>
      <c r="F1155" s="11">
        <f t="shared" ref="F1155:F1218" si="37">E1155</f>
        <v>97</v>
      </c>
      <c r="G1155" s="11" t="s">
        <v>19</v>
      </c>
      <c r="H1155" s="11" t="s">
        <v>78</v>
      </c>
      <c r="I1155" s="11" t="s">
        <v>16</v>
      </c>
      <c r="J1155" s="11">
        <v>25</v>
      </c>
      <c r="K1155" s="11">
        <v>42</v>
      </c>
      <c r="L1155" s="11" t="s">
        <v>1608</v>
      </c>
      <c r="M1155" s="11">
        <f t="shared" si="36"/>
        <v>2425</v>
      </c>
      <c r="N1155" s="11">
        <f>IF(Table1[[#This Row],[Transaction Type]]="Sale",ABS(E1155)*K1155,0)</f>
        <v>0</v>
      </c>
      <c r="O1155" s="29">
        <f>IF(Table1[[#This Row],[Transaction Type]]="Purchase",E1155*J1155,0)</f>
        <v>2425</v>
      </c>
    </row>
    <row r="1156" spans="1:15" x14ac:dyDescent="0.35">
      <c r="A1156" s="27" t="s">
        <v>1609</v>
      </c>
      <c r="B1156" s="12">
        <v>46010</v>
      </c>
      <c r="C1156" s="11" t="s">
        <v>136</v>
      </c>
      <c r="D1156" s="11" t="s">
        <v>58</v>
      </c>
      <c r="E1156" s="11">
        <v>12</v>
      </c>
      <c r="F1156" s="11">
        <f t="shared" si="37"/>
        <v>12</v>
      </c>
      <c r="G1156" s="11" t="s">
        <v>14</v>
      </c>
      <c r="H1156" s="11" t="s">
        <v>33</v>
      </c>
      <c r="I1156" s="11" t="s">
        <v>34</v>
      </c>
      <c r="J1156" s="11">
        <v>34</v>
      </c>
      <c r="K1156" s="11">
        <v>55</v>
      </c>
      <c r="L1156" s="11"/>
      <c r="M1156" s="11">
        <f t="shared" si="36"/>
        <v>408</v>
      </c>
      <c r="N1156" s="11">
        <f>IF(Table1[[#This Row],[Transaction Type]]="Sale",ABS(E1156)*K1156,0)</f>
        <v>0</v>
      </c>
      <c r="O1156" s="29">
        <f>IF(Table1[[#This Row],[Transaction Type]]="Purchase",E1156*J1156,0)</f>
        <v>0</v>
      </c>
    </row>
    <row r="1157" spans="1:15" x14ac:dyDescent="0.35">
      <c r="A1157" s="27" t="s">
        <v>1610</v>
      </c>
      <c r="B1157" s="12">
        <v>46010</v>
      </c>
      <c r="C1157" s="11" t="s">
        <v>60</v>
      </c>
      <c r="D1157" s="11" t="s">
        <v>40</v>
      </c>
      <c r="E1157" s="11">
        <v>43</v>
      </c>
      <c r="F1157" s="11">
        <f t="shared" si="37"/>
        <v>43</v>
      </c>
      <c r="G1157" s="11" t="s">
        <v>24</v>
      </c>
      <c r="H1157" s="11" t="s">
        <v>61</v>
      </c>
      <c r="I1157" s="11" t="s">
        <v>62</v>
      </c>
      <c r="J1157" s="11">
        <v>3.4</v>
      </c>
      <c r="K1157" s="11">
        <v>8</v>
      </c>
      <c r="L1157" s="11" t="s">
        <v>1611</v>
      </c>
      <c r="M1157" s="11">
        <f t="shared" si="36"/>
        <v>146.19999999999999</v>
      </c>
      <c r="N1157" s="11">
        <f>IF(Table1[[#This Row],[Transaction Type]]="Sale",ABS(E1157)*K1157,0)</f>
        <v>0</v>
      </c>
      <c r="O1157" s="29">
        <f>IF(Table1[[#This Row],[Transaction Type]]="Purchase",E1157*J1157,0)</f>
        <v>146.19999999999999</v>
      </c>
    </row>
    <row r="1158" spans="1:15" x14ac:dyDescent="0.35">
      <c r="A1158" s="27" t="s">
        <v>1612</v>
      </c>
      <c r="B1158" s="12">
        <v>46011</v>
      </c>
      <c r="C1158" s="11" t="s">
        <v>55</v>
      </c>
      <c r="D1158" s="11" t="s">
        <v>40</v>
      </c>
      <c r="E1158" s="11">
        <v>112</v>
      </c>
      <c r="F1158" s="11">
        <f t="shared" si="37"/>
        <v>112</v>
      </c>
      <c r="G1158" s="11" t="s">
        <v>24</v>
      </c>
      <c r="H1158" s="11" t="s">
        <v>56</v>
      </c>
      <c r="I1158" s="11" t="s">
        <v>16</v>
      </c>
      <c r="J1158" s="11">
        <v>4.2</v>
      </c>
      <c r="K1158" s="11">
        <v>10</v>
      </c>
      <c r="L1158" s="11" t="s">
        <v>1613</v>
      </c>
      <c r="M1158" s="11">
        <f t="shared" si="36"/>
        <v>470.40000000000003</v>
      </c>
      <c r="N1158" s="11">
        <f>IF(Table1[[#This Row],[Transaction Type]]="Sale",ABS(E1158)*K1158,0)</f>
        <v>0</v>
      </c>
      <c r="O1158" s="29">
        <f>IF(Table1[[#This Row],[Transaction Type]]="Purchase",E1158*J1158,0)</f>
        <v>470.40000000000003</v>
      </c>
    </row>
    <row r="1159" spans="1:15" x14ac:dyDescent="0.35">
      <c r="A1159" s="27" t="s">
        <v>1614</v>
      </c>
      <c r="B1159" s="12">
        <v>46011</v>
      </c>
      <c r="C1159" s="11" t="s">
        <v>36</v>
      </c>
      <c r="D1159" s="11" t="s">
        <v>40</v>
      </c>
      <c r="E1159" s="11">
        <v>63</v>
      </c>
      <c r="F1159" s="11">
        <f t="shared" si="37"/>
        <v>63</v>
      </c>
      <c r="G1159" s="11" t="s">
        <v>14</v>
      </c>
      <c r="H1159" s="11" t="s">
        <v>37</v>
      </c>
      <c r="I1159" s="11" t="s">
        <v>16</v>
      </c>
      <c r="J1159" s="11">
        <v>7.2</v>
      </c>
      <c r="K1159" s="11">
        <v>12.5</v>
      </c>
      <c r="L1159" s="11" t="s">
        <v>1615</v>
      </c>
      <c r="M1159" s="11">
        <f t="shared" si="36"/>
        <v>453.6</v>
      </c>
      <c r="N1159" s="11">
        <f>IF(Table1[[#This Row],[Transaction Type]]="Sale",ABS(E1159)*K1159,0)</f>
        <v>0</v>
      </c>
      <c r="O1159" s="29">
        <f>IF(Table1[[#This Row],[Transaction Type]]="Purchase",E1159*J1159,0)</f>
        <v>453.6</v>
      </c>
    </row>
    <row r="1160" spans="1:15" x14ac:dyDescent="0.35">
      <c r="A1160" s="27" t="s">
        <v>1616</v>
      </c>
      <c r="B1160" s="12">
        <v>46011</v>
      </c>
      <c r="C1160" s="11" t="s">
        <v>60</v>
      </c>
      <c r="D1160" s="11" t="s">
        <v>13</v>
      </c>
      <c r="E1160" s="11">
        <v>-13</v>
      </c>
      <c r="F1160" s="11">
        <f t="shared" si="37"/>
        <v>-13</v>
      </c>
      <c r="G1160" s="11" t="s">
        <v>24</v>
      </c>
      <c r="H1160" s="11" t="s">
        <v>61</v>
      </c>
      <c r="I1160" s="11" t="s">
        <v>62</v>
      </c>
      <c r="J1160" s="11">
        <v>3.4</v>
      </c>
      <c r="K1160" s="11">
        <v>8</v>
      </c>
      <c r="L1160" s="11"/>
      <c r="M1160" s="11">
        <f t="shared" si="36"/>
        <v>44.199999999999996</v>
      </c>
      <c r="N1160" s="11">
        <f>IF(Table1[[#This Row],[Transaction Type]]="Sale",ABS(E1160)*K1160,0)</f>
        <v>104</v>
      </c>
      <c r="O1160" s="29">
        <f>IF(Table1[[#This Row],[Transaction Type]]="Purchase",E1160*J1160,0)</f>
        <v>0</v>
      </c>
    </row>
    <row r="1161" spans="1:15" x14ac:dyDescent="0.35">
      <c r="A1161" s="27" t="s">
        <v>1617</v>
      </c>
      <c r="B1161" s="12">
        <v>46012</v>
      </c>
      <c r="C1161" s="11" t="s">
        <v>12</v>
      </c>
      <c r="D1161" s="11" t="s">
        <v>13</v>
      </c>
      <c r="E1161" s="11">
        <v>-7</v>
      </c>
      <c r="F1161" s="11">
        <f t="shared" si="37"/>
        <v>-7</v>
      </c>
      <c r="G1161" s="11" t="s">
        <v>14</v>
      </c>
      <c r="H1161" s="11" t="s">
        <v>15</v>
      </c>
      <c r="I1161" s="11" t="s">
        <v>16</v>
      </c>
      <c r="J1161" s="11">
        <v>13.5</v>
      </c>
      <c r="K1161" s="11">
        <v>24</v>
      </c>
      <c r="L1161" s="11"/>
      <c r="M1161" s="11">
        <f t="shared" si="36"/>
        <v>94.5</v>
      </c>
      <c r="N1161" s="11">
        <f>IF(Table1[[#This Row],[Transaction Type]]="Sale",ABS(E1161)*K1161,0)</f>
        <v>168</v>
      </c>
      <c r="O1161" s="29">
        <f>IF(Table1[[#This Row],[Transaction Type]]="Purchase",E1161*J1161,0)</f>
        <v>0</v>
      </c>
    </row>
    <row r="1162" spans="1:15" x14ac:dyDescent="0.35">
      <c r="A1162" s="27" t="s">
        <v>1618</v>
      </c>
      <c r="B1162" s="12">
        <v>46012</v>
      </c>
      <c r="C1162" s="11" t="s">
        <v>185</v>
      </c>
      <c r="D1162" s="11" t="s">
        <v>13</v>
      </c>
      <c r="E1162" s="11">
        <v>-12</v>
      </c>
      <c r="F1162" s="11">
        <f t="shared" si="37"/>
        <v>-12</v>
      </c>
      <c r="G1162" s="11" t="s">
        <v>14</v>
      </c>
      <c r="H1162" s="11" t="s">
        <v>44</v>
      </c>
      <c r="I1162" s="11" t="s">
        <v>45</v>
      </c>
      <c r="J1162" s="11">
        <v>63</v>
      </c>
      <c r="K1162" s="11">
        <v>95</v>
      </c>
      <c r="L1162" s="11"/>
      <c r="M1162" s="11">
        <f t="shared" si="36"/>
        <v>756</v>
      </c>
      <c r="N1162" s="11">
        <f>IF(Table1[[#This Row],[Transaction Type]]="Sale",ABS(E1162)*K1162,0)</f>
        <v>1140</v>
      </c>
      <c r="O1162" s="29">
        <f>IF(Table1[[#This Row],[Transaction Type]]="Purchase",E1162*J1162,0)</f>
        <v>0</v>
      </c>
    </row>
    <row r="1163" spans="1:15" x14ac:dyDescent="0.35">
      <c r="A1163" s="27" t="s">
        <v>1619</v>
      </c>
      <c r="B1163" s="12">
        <v>46012</v>
      </c>
      <c r="C1163" s="11" t="s">
        <v>141</v>
      </c>
      <c r="D1163" s="11" t="s">
        <v>40</v>
      </c>
      <c r="E1163" s="11">
        <v>99</v>
      </c>
      <c r="F1163" s="11">
        <f t="shared" si="37"/>
        <v>99</v>
      </c>
      <c r="G1163" s="11" t="s">
        <v>14</v>
      </c>
      <c r="H1163" s="11" t="s">
        <v>25</v>
      </c>
      <c r="I1163" s="11" t="s">
        <v>26</v>
      </c>
      <c r="J1163" s="11">
        <v>4</v>
      </c>
      <c r="K1163" s="11">
        <v>9</v>
      </c>
      <c r="L1163" s="11" t="s">
        <v>1620</v>
      </c>
      <c r="M1163" s="11">
        <f t="shared" si="36"/>
        <v>396</v>
      </c>
      <c r="N1163" s="11">
        <f>IF(Table1[[#This Row],[Transaction Type]]="Sale",ABS(E1163)*K1163,0)</f>
        <v>0</v>
      </c>
      <c r="O1163" s="29">
        <f>IF(Table1[[#This Row],[Transaction Type]]="Purchase",E1163*J1163,0)</f>
        <v>396</v>
      </c>
    </row>
    <row r="1164" spans="1:15" x14ac:dyDescent="0.35">
      <c r="A1164" s="27" t="s">
        <v>1621</v>
      </c>
      <c r="B1164" s="12">
        <v>46013</v>
      </c>
      <c r="C1164" s="11" t="s">
        <v>43</v>
      </c>
      <c r="D1164" s="11" t="s">
        <v>13</v>
      </c>
      <c r="E1164" s="11">
        <v>-5</v>
      </c>
      <c r="F1164" s="11">
        <f t="shared" si="37"/>
        <v>-5</v>
      </c>
      <c r="G1164" s="11" t="s">
        <v>24</v>
      </c>
      <c r="H1164" s="11" t="s">
        <v>44</v>
      </c>
      <c r="I1164" s="11" t="s">
        <v>45</v>
      </c>
      <c r="J1164" s="11">
        <v>5.2</v>
      </c>
      <c r="K1164" s="11">
        <v>11</v>
      </c>
      <c r="L1164" s="11"/>
      <c r="M1164" s="11">
        <f t="shared" si="36"/>
        <v>26</v>
      </c>
      <c r="N1164" s="11">
        <f>IF(Table1[[#This Row],[Transaction Type]]="Sale",ABS(E1164)*K1164,0)</f>
        <v>55</v>
      </c>
      <c r="O1164" s="29">
        <f>IF(Table1[[#This Row],[Transaction Type]]="Purchase",E1164*J1164,0)</f>
        <v>0</v>
      </c>
    </row>
    <row r="1165" spans="1:15" x14ac:dyDescent="0.35">
      <c r="A1165" s="27" t="s">
        <v>1622</v>
      </c>
      <c r="B1165" s="12">
        <v>46013</v>
      </c>
      <c r="C1165" s="11" t="s">
        <v>52</v>
      </c>
      <c r="D1165" s="11" t="s">
        <v>40</v>
      </c>
      <c r="E1165" s="11">
        <v>86</v>
      </c>
      <c r="F1165" s="11">
        <f t="shared" si="37"/>
        <v>86</v>
      </c>
      <c r="G1165" s="11" t="s">
        <v>14</v>
      </c>
      <c r="H1165" s="11" t="s">
        <v>20</v>
      </c>
      <c r="I1165" s="11" t="s">
        <v>21</v>
      </c>
      <c r="J1165" s="11">
        <v>5.5</v>
      </c>
      <c r="K1165" s="11">
        <v>12</v>
      </c>
      <c r="L1165" s="11" t="s">
        <v>1623</v>
      </c>
      <c r="M1165" s="11">
        <f t="shared" si="36"/>
        <v>473</v>
      </c>
      <c r="N1165" s="11">
        <f>IF(Table1[[#This Row],[Transaction Type]]="Sale",ABS(E1165)*K1165,0)</f>
        <v>0</v>
      </c>
      <c r="O1165" s="29">
        <f>IF(Table1[[#This Row],[Transaction Type]]="Purchase",E1165*J1165,0)</f>
        <v>473</v>
      </c>
    </row>
    <row r="1166" spans="1:15" x14ac:dyDescent="0.35">
      <c r="A1166" s="27" t="s">
        <v>1624</v>
      </c>
      <c r="B1166" s="12">
        <v>46013</v>
      </c>
      <c r="C1166" s="11" t="s">
        <v>23</v>
      </c>
      <c r="D1166" s="11" t="s">
        <v>40</v>
      </c>
      <c r="E1166" s="11">
        <v>57</v>
      </c>
      <c r="F1166" s="11">
        <f t="shared" si="37"/>
        <v>57</v>
      </c>
      <c r="G1166" s="11" t="s">
        <v>24</v>
      </c>
      <c r="H1166" s="11" t="s">
        <v>25</v>
      </c>
      <c r="I1166" s="11" t="s">
        <v>26</v>
      </c>
      <c r="J1166" s="11">
        <v>3</v>
      </c>
      <c r="K1166" s="11">
        <v>7</v>
      </c>
      <c r="L1166" s="11" t="s">
        <v>1625</v>
      </c>
      <c r="M1166" s="11">
        <f t="shared" si="36"/>
        <v>171</v>
      </c>
      <c r="N1166" s="11">
        <f>IF(Table1[[#This Row],[Transaction Type]]="Sale",ABS(E1166)*K1166,0)</f>
        <v>0</v>
      </c>
      <c r="O1166" s="29">
        <f>IF(Table1[[#This Row],[Transaction Type]]="Purchase",E1166*J1166,0)</f>
        <v>171</v>
      </c>
    </row>
    <row r="1167" spans="1:15" x14ac:dyDescent="0.35">
      <c r="A1167" s="27" t="s">
        <v>1626</v>
      </c>
      <c r="B1167" s="12">
        <v>46013</v>
      </c>
      <c r="C1167" s="11" t="s">
        <v>94</v>
      </c>
      <c r="D1167" s="11" t="s">
        <v>40</v>
      </c>
      <c r="E1167" s="11">
        <v>42</v>
      </c>
      <c r="F1167" s="11">
        <f t="shared" si="37"/>
        <v>42</v>
      </c>
      <c r="G1167" s="11" t="s">
        <v>14</v>
      </c>
      <c r="H1167" s="11" t="s">
        <v>95</v>
      </c>
      <c r="I1167" s="11" t="s">
        <v>16</v>
      </c>
      <c r="J1167" s="11">
        <v>18.5</v>
      </c>
      <c r="K1167" s="11">
        <v>31</v>
      </c>
      <c r="L1167" s="11" t="s">
        <v>1627</v>
      </c>
      <c r="M1167" s="11">
        <f t="shared" si="36"/>
        <v>777</v>
      </c>
      <c r="N1167" s="11">
        <f>IF(Table1[[#This Row],[Transaction Type]]="Sale",ABS(E1167)*K1167,0)</f>
        <v>0</v>
      </c>
      <c r="O1167" s="29">
        <f>IF(Table1[[#This Row],[Transaction Type]]="Purchase",E1167*J1167,0)</f>
        <v>777</v>
      </c>
    </row>
    <row r="1168" spans="1:15" x14ac:dyDescent="0.35">
      <c r="A1168" s="27" t="s">
        <v>1628</v>
      </c>
      <c r="B1168" s="12">
        <v>46014</v>
      </c>
      <c r="C1168" s="11" t="s">
        <v>227</v>
      </c>
      <c r="D1168" s="11" t="s">
        <v>66</v>
      </c>
      <c r="E1168" s="11">
        <v>2</v>
      </c>
      <c r="F1168" s="11">
        <f t="shared" si="37"/>
        <v>2</v>
      </c>
      <c r="G1168" s="11" t="s">
        <v>14</v>
      </c>
      <c r="H1168" s="11" t="s">
        <v>228</v>
      </c>
      <c r="I1168" s="11" t="s">
        <v>16</v>
      </c>
      <c r="J1168" s="11">
        <v>78</v>
      </c>
      <c r="K1168" s="11">
        <v>125</v>
      </c>
      <c r="L1168" s="11"/>
      <c r="M1168" s="11">
        <f t="shared" si="36"/>
        <v>156</v>
      </c>
      <c r="N1168" s="11">
        <f>IF(Table1[[#This Row],[Transaction Type]]="Sale",ABS(E1168)*K1168,0)</f>
        <v>0</v>
      </c>
      <c r="O1168" s="29">
        <f>IF(Table1[[#This Row],[Transaction Type]]="Purchase",E1168*J1168,0)</f>
        <v>0</v>
      </c>
    </row>
    <row r="1169" spans="1:15" x14ac:dyDescent="0.35">
      <c r="A1169" s="27" t="s">
        <v>1629</v>
      </c>
      <c r="B1169" s="12">
        <v>46014</v>
      </c>
      <c r="C1169" s="11" t="s">
        <v>52</v>
      </c>
      <c r="D1169" s="11" t="s">
        <v>13</v>
      </c>
      <c r="E1169" s="11">
        <v>-5</v>
      </c>
      <c r="F1169" s="11">
        <f t="shared" si="37"/>
        <v>-5</v>
      </c>
      <c r="G1169" s="11" t="s">
        <v>14</v>
      </c>
      <c r="H1169" s="11" t="s">
        <v>20</v>
      </c>
      <c r="I1169" s="11" t="s">
        <v>21</v>
      </c>
      <c r="J1169" s="11">
        <v>5.5</v>
      </c>
      <c r="K1169" s="11">
        <v>12</v>
      </c>
      <c r="L1169" s="11"/>
      <c r="M1169" s="11">
        <f t="shared" si="36"/>
        <v>27.5</v>
      </c>
      <c r="N1169" s="11">
        <f>IF(Table1[[#This Row],[Transaction Type]]="Sale",ABS(E1169)*K1169,0)</f>
        <v>60</v>
      </c>
      <c r="O1169" s="29">
        <f>IF(Table1[[#This Row],[Transaction Type]]="Purchase",E1169*J1169,0)</f>
        <v>0</v>
      </c>
    </row>
    <row r="1170" spans="1:15" x14ac:dyDescent="0.35">
      <c r="A1170" s="27" t="s">
        <v>1630</v>
      </c>
      <c r="B1170" s="12">
        <v>46014</v>
      </c>
      <c r="C1170" s="11" t="s">
        <v>98</v>
      </c>
      <c r="D1170" s="11" t="s">
        <v>13</v>
      </c>
      <c r="E1170" s="11">
        <v>-12</v>
      </c>
      <c r="F1170" s="11">
        <f t="shared" si="37"/>
        <v>-12</v>
      </c>
      <c r="G1170" s="11" t="s">
        <v>19</v>
      </c>
      <c r="H1170" s="11" t="s">
        <v>30</v>
      </c>
      <c r="I1170" s="11" t="s">
        <v>16</v>
      </c>
      <c r="J1170" s="11">
        <v>16</v>
      </c>
      <c r="K1170" s="11">
        <v>29</v>
      </c>
      <c r="L1170" s="11"/>
      <c r="M1170" s="11">
        <f t="shared" si="36"/>
        <v>192</v>
      </c>
      <c r="N1170" s="11">
        <f>IF(Table1[[#This Row],[Transaction Type]]="Sale",ABS(E1170)*K1170,0)</f>
        <v>348</v>
      </c>
      <c r="O1170" s="29">
        <f>IF(Table1[[#This Row],[Transaction Type]]="Purchase",E1170*J1170,0)</f>
        <v>0</v>
      </c>
    </row>
    <row r="1171" spans="1:15" x14ac:dyDescent="0.35">
      <c r="A1171" s="27" t="s">
        <v>1631</v>
      </c>
      <c r="B1171" s="12">
        <v>46014</v>
      </c>
      <c r="C1171" s="11" t="s">
        <v>55</v>
      </c>
      <c r="D1171" s="11" t="s">
        <v>40</v>
      </c>
      <c r="E1171" s="11">
        <v>66</v>
      </c>
      <c r="F1171" s="11">
        <f t="shared" si="37"/>
        <v>66</v>
      </c>
      <c r="G1171" s="11" t="s">
        <v>14</v>
      </c>
      <c r="H1171" s="11" t="s">
        <v>56</v>
      </c>
      <c r="I1171" s="11" t="s">
        <v>16</v>
      </c>
      <c r="J1171" s="11">
        <v>4.2</v>
      </c>
      <c r="K1171" s="11">
        <v>10</v>
      </c>
      <c r="L1171" s="11" t="s">
        <v>1632</v>
      </c>
      <c r="M1171" s="11">
        <f t="shared" si="36"/>
        <v>277.2</v>
      </c>
      <c r="N1171" s="11">
        <f>IF(Table1[[#This Row],[Transaction Type]]="Sale",ABS(E1171)*K1171,0)</f>
        <v>0</v>
      </c>
      <c r="O1171" s="29">
        <f>IF(Table1[[#This Row],[Transaction Type]]="Purchase",E1171*J1171,0)</f>
        <v>277.2</v>
      </c>
    </row>
    <row r="1172" spans="1:15" x14ac:dyDescent="0.35">
      <c r="A1172" s="27" t="s">
        <v>1633</v>
      </c>
      <c r="B1172" s="12">
        <v>46014</v>
      </c>
      <c r="C1172" s="11" t="s">
        <v>36</v>
      </c>
      <c r="D1172" s="11" t="s">
        <v>13</v>
      </c>
      <c r="E1172" s="11">
        <v>-8</v>
      </c>
      <c r="F1172" s="11">
        <f t="shared" si="37"/>
        <v>-8</v>
      </c>
      <c r="G1172" s="11" t="s">
        <v>14</v>
      </c>
      <c r="H1172" s="11" t="s">
        <v>37</v>
      </c>
      <c r="I1172" s="11" t="s">
        <v>16</v>
      </c>
      <c r="J1172" s="11">
        <v>7.2</v>
      </c>
      <c r="K1172" s="11">
        <v>12.5</v>
      </c>
      <c r="L1172" s="11"/>
      <c r="M1172" s="11">
        <f t="shared" si="36"/>
        <v>57.6</v>
      </c>
      <c r="N1172" s="11">
        <f>IF(Table1[[#This Row],[Transaction Type]]="Sale",ABS(E1172)*K1172,0)</f>
        <v>100</v>
      </c>
      <c r="O1172" s="29">
        <f>IF(Table1[[#This Row],[Transaction Type]]="Purchase",E1172*J1172,0)</f>
        <v>0</v>
      </c>
    </row>
    <row r="1173" spans="1:15" x14ac:dyDescent="0.35">
      <c r="A1173" s="27" t="s">
        <v>1634</v>
      </c>
      <c r="B1173" s="12">
        <v>46015</v>
      </c>
      <c r="C1173" s="11" t="s">
        <v>136</v>
      </c>
      <c r="D1173" s="11" t="s">
        <v>13</v>
      </c>
      <c r="E1173" s="11">
        <v>-10</v>
      </c>
      <c r="F1173" s="11">
        <f t="shared" si="37"/>
        <v>-10</v>
      </c>
      <c r="G1173" s="11" t="s">
        <v>24</v>
      </c>
      <c r="H1173" s="11" t="s">
        <v>33</v>
      </c>
      <c r="I1173" s="11" t="s">
        <v>34</v>
      </c>
      <c r="J1173" s="11">
        <v>34</v>
      </c>
      <c r="K1173" s="11">
        <v>55</v>
      </c>
      <c r="L1173" s="11"/>
      <c r="M1173" s="11">
        <f t="shared" si="36"/>
        <v>340</v>
      </c>
      <c r="N1173" s="11">
        <f>IF(Table1[[#This Row],[Transaction Type]]="Sale",ABS(E1173)*K1173,0)</f>
        <v>550</v>
      </c>
      <c r="O1173" s="29">
        <f>IF(Table1[[#This Row],[Transaction Type]]="Purchase",E1173*J1173,0)</f>
        <v>0</v>
      </c>
    </row>
    <row r="1174" spans="1:15" x14ac:dyDescent="0.35">
      <c r="A1174" s="27" t="s">
        <v>1635</v>
      </c>
      <c r="B1174" s="12">
        <v>46015</v>
      </c>
      <c r="C1174" s="11" t="s">
        <v>60</v>
      </c>
      <c r="D1174" s="11" t="s">
        <v>40</v>
      </c>
      <c r="E1174" s="11">
        <v>78</v>
      </c>
      <c r="F1174" s="11">
        <f t="shared" si="37"/>
        <v>78</v>
      </c>
      <c r="G1174" s="11" t="s">
        <v>14</v>
      </c>
      <c r="H1174" s="11" t="s">
        <v>189</v>
      </c>
      <c r="I1174" s="11" t="s">
        <v>62</v>
      </c>
      <c r="J1174" s="11">
        <v>3.4</v>
      </c>
      <c r="K1174" s="11">
        <v>8</v>
      </c>
      <c r="L1174" s="11" t="s">
        <v>1636</v>
      </c>
      <c r="M1174" s="11">
        <f t="shared" si="36"/>
        <v>265.2</v>
      </c>
      <c r="N1174" s="11">
        <f>IF(Table1[[#This Row],[Transaction Type]]="Sale",ABS(E1174)*K1174,0)</f>
        <v>0</v>
      </c>
      <c r="O1174" s="29">
        <f>IF(Table1[[#This Row],[Transaction Type]]="Purchase",E1174*J1174,0)</f>
        <v>265.2</v>
      </c>
    </row>
    <row r="1175" spans="1:15" x14ac:dyDescent="0.35">
      <c r="A1175" s="27" t="s">
        <v>1637</v>
      </c>
      <c r="B1175" s="12">
        <v>46015</v>
      </c>
      <c r="C1175" s="11" t="s">
        <v>87</v>
      </c>
      <c r="D1175" s="11" t="s">
        <v>40</v>
      </c>
      <c r="E1175" s="11">
        <v>85</v>
      </c>
      <c r="F1175" s="11">
        <f t="shared" si="37"/>
        <v>85</v>
      </c>
      <c r="G1175" s="11" t="s">
        <v>14</v>
      </c>
      <c r="H1175" s="11" t="s">
        <v>88</v>
      </c>
      <c r="I1175" s="11" t="s">
        <v>16</v>
      </c>
      <c r="J1175" s="11">
        <v>6</v>
      </c>
      <c r="K1175" s="11">
        <v>14</v>
      </c>
      <c r="L1175" s="11" t="s">
        <v>1638</v>
      </c>
      <c r="M1175" s="11">
        <f t="shared" si="36"/>
        <v>510</v>
      </c>
      <c r="N1175" s="11">
        <f>IF(Table1[[#This Row],[Transaction Type]]="Sale",ABS(E1175)*K1175,0)</f>
        <v>0</v>
      </c>
      <c r="O1175" s="29">
        <f>IF(Table1[[#This Row],[Transaction Type]]="Purchase",E1175*J1175,0)</f>
        <v>510</v>
      </c>
    </row>
    <row r="1176" spans="1:15" x14ac:dyDescent="0.35">
      <c r="A1176" s="27" t="s">
        <v>1639</v>
      </c>
      <c r="B1176" s="12">
        <v>46015</v>
      </c>
      <c r="C1176" s="11" t="s">
        <v>109</v>
      </c>
      <c r="D1176" s="11" t="s">
        <v>13</v>
      </c>
      <c r="E1176" s="11">
        <v>-7</v>
      </c>
      <c r="F1176" s="11">
        <f t="shared" si="37"/>
        <v>-7</v>
      </c>
      <c r="G1176" s="11" t="s">
        <v>24</v>
      </c>
      <c r="H1176" s="11" t="s">
        <v>110</v>
      </c>
      <c r="I1176" s="11" t="s">
        <v>26</v>
      </c>
      <c r="J1176" s="11">
        <v>105</v>
      </c>
      <c r="K1176" s="11">
        <v>165</v>
      </c>
      <c r="L1176" s="11"/>
      <c r="M1176" s="11">
        <f t="shared" si="36"/>
        <v>735</v>
      </c>
      <c r="N1176" s="11">
        <f>IF(Table1[[#This Row],[Transaction Type]]="Sale",ABS(E1176)*K1176,0)</f>
        <v>1155</v>
      </c>
      <c r="O1176" s="29">
        <f>IF(Table1[[#This Row],[Transaction Type]]="Purchase",E1176*J1176,0)</f>
        <v>0</v>
      </c>
    </row>
    <row r="1177" spans="1:15" x14ac:dyDescent="0.35">
      <c r="A1177" s="27" t="s">
        <v>1640</v>
      </c>
      <c r="B1177" s="12">
        <v>46016</v>
      </c>
      <c r="C1177" s="11" t="s">
        <v>69</v>
      </c>
      <c r="D1177" s="11" t="s">
        <v>13</v>
      </c>
      <c r="E1177" s="11">
        <v>-12</v>
      </c>
      <c r="F1177" s="11">
        <f t="shared" si="37"/>
        <v>-12</v>
      </c>
      <c r="G1177" s="11" t="s">
        <v>14</v>
      </c>
      <c r="H1177" s="11" t="s">
        <v>70</v>
      </c>
      <c r="I1177" s="11" t="s">
        <v>16</v>
      </c>
      <c r="J1177" s="11">
        <v>23</v>
      </c>
      <c r="K1177" s="11">
        <v>38</v>
      </c>
      <c r="L1177" s="11"/>
      <c r="M1177" s="11">
        <f t="shared" si="36"/>
        <v>276</v>
      </c>
      <c r="N1177" s="11">
        <f>IF(Table1[[#This Row],[Transaction Type]]="Sale",ABS(E1177)*K1177,0)</f>
        <v>456</v>
      </c>
      <c r="O1177" s="29">
        <f>IF(Table1[[#This Row],[Transaction Type]]="Purchase",E1177*J1177,0)</f>
        <v>0</v>
      </c>
    </row>
    <row r="1178" spans="1:15" x14ac:dyDescent="0.35">
      <c r="A1178" s="27" t="s">
        <v>1641</v>
      </c>
      <c r="B1178" s="12">
        <v>46017</v>
      </c>
      <c r="C1178" s="11" t="s">
        <v>65</v>
      </c>
      <c r="D1178" s="11" t="s">
        <v>66</v>
      </c>
      <c r="E1178" s="11">
        <v>3</v>
      </c>
      <c r="F1178" s="11">
        <f t="shared" si="37"/>
        <v>3</v>
      </c>
      <c r="G1178" s="11" t="s">
        <v>19</v>
      </c>
      <c r="H1178" s="11" t="s">
        <v>67</v>
      </c>
      <c r="I1178" s="11" t="s">
        <v>21</v>
      </c>
      <c r="J1178" s="11">
        <v>11</v>
      </c>
      <c r="K1178" s="11">
        <v>22</v>
      </c>
      <c r="L1178" s="11"/>
      <c r="M1178" s="11">
        <f t="shared" si="36"/>
        <v>33</v>
      </c>
      <c r="N1178" s="11">
        <f>IF(Table1[[#This Row],[Transaction Type]]="Sale",ABS(E1178)*K1178,0)</f>
        <v>0</v>
      </c>
      <c r="O1178" s="29">
        <f>IF(Table1[[#This Row],[Transaction Type]]="Purchase",E1178*J1178,0)</f>
        <v>0</v>
      </c>
    </row>
    <row r="1179" spans="1:15" x14ac:dyDescent="0.35">
      <c r="A1179" s="27" t="s">
        <v>1642</v>
      </c>
      <c r="B1179" s="12">
        <v>46019</v>
      </c>
      <c r="C1179" s="11" t="s">
        <v>170</v>
      </c>
      <c r="D1179" s="11" t="s">
        <v>13</v>
      </c>
      <c r="E1179" s="11">
        <v>-2</v>
      </c>
      <c r="F1179" s="11">
        <f t="shared" si="37"/>
        <v>-2</v>
      </c>
      <c r="G1179" s="11" t="s">
        <v>14</v>
      </c>
      <c r="H1179" s="11" t="s">
        <v>171</v>
      </c>
      <c r="I1179" s="11" t="s">
        <v>34</v>
      </c>
      <c r="J1179" s="11">
        <v>25</v>
      </c>
      <c r="K1179" s="11">
        <v>45</v>
      </c>
      <c r="L1179" s="11"/>
      <c r="M1179" s="11">
        <f t="shared" si="36"/>
        <v>50</v>
      </c>
      <c r="N1179" s="11">
        <f>IF(Table1[[#This Row],[Transaction Type]]="Sale",ABS(E1179)*K1179,0)</f>
        <v>90</v>
      </c>
      <c r="O1179" s="29">
        <f>IF(Table1[[#This Row],[Transaction Type]]="Purchase",E1179*J1179,0)</f>
        <v>0</v>
      </c>
    </row>
    <row r="1180" spans="1:15" x14ac:dyDescent="0.35">
      <c r="A1180" s="27" t="s">
        <v>1643</v>
      </c>
      <c r="B1180" s="12">
        <v>46019</v>
      </c>
      <c r="C1180" s="11" t="s">
        <v>48</v>
      </c>
      <c r="D1180" s="11" t="s">
        <v>13</v>
      </c>
      <c r="E1180" s="11">
        <v>-6</v>
      </c>
      <c r="F1180" s="11">
        <f t="shared" si="37"/>
        <v>-6</v>
      </c>
      <c r="G1180" s="11" t="s">
        <v>24</v>
      </c>
      <c r="H1180" s="11" t="s">
        <v>49</v>
      </c>
      <c r="I1180" s="11" t="s">
        <v>21</v>
      </c>
      <c r="J1180" s="11">
        <v>8.5</v>
      </c>
      <c r="K1180" s="11">
        <v>18</v>
      </c>
      <c r="L1180" s="11"/>
      <c r="M1180" s="11">
        <f t="shared" si="36"/>
        <v>51</v>
      </c>
      <c r="N1180" s="11">
        <f>IF(Table1[[#This Row],[Transaction Type]]="Sale",ABS(E1180)*K1180,0)</f>
        <v>108</v>
      </c>
      <c r="O1180" s="29">
        <f>IF(Table1[[#This Row],[Transaction Type]]="Purchase",E1180*J1180,0)</f>
        <v>0</v>
      </c>
    </row>
    <row r="1181" spans="1:15" x14ac:dyDescent="0.35">
      <c r="A1181" s="27" t="s">
        <v>1644</v>
      </c>
      <c r="B1181" s="12">
        <v>46019</v>
      </c>
      <c r="C1181" s="11" t="s">
        <v>139</v>
      </c>
      <c r="D1181" s="11" t="s">
        <v>40</v>
      </c>
      <c r="E1181" s="11">
        <v>87</v>
      </c>
      <c r="F1181" s="11">
        <f t="shared" si="37"/>
        <v>87</v>
      </c>
      <c r="G1181" s="11" t="s">
        <v>19</v>
      </c>
      <c r="H1181" s="11" t="s">
        <v>56</v>
      </c>
      <c r="I1181" s="11" t="s">
        <v>16</v>
      </c>
      <c r="J1181" s="11">
        <v>16.5</v>
      </c>
      <c r="K1181" s="11">
        <v>28</v>
      </c>
      <c r="L1181" s="11" t="s">
        <v>1645</v>
      </c>
      <c r="M1181" s="11">
        <f t="shared" si="36"/>
        <v>1435.5</v>
      </c>
      <c r="N1181" s="11">
        <f>IF(Table1[[#This Row],[Transaction Type]]="Sale",ABS(E1181)*K1181,0)</f>
        <v>0</v>
      </c>
      <c r="O1181" s="29">
        <f>IF(Table1[[#This Row],[Transaction Type]]="Purchase",E1181*J1181,0)</f>
        <v>1435.5</v>
      </c>
    </row>
    <row r="1182" spans="1:15" x14ac:dyDescent="0.35">
      <c r="A1182" s="27" t="s">
        <v>1646</v>
      </c>
      <c r="B1182" s="12">
        <v>46019</v>
      </c>
      <c r="C1182" s="11" t="s">
        <v>77</v>
      </c>
      <c r="D1182" s="11" t="s">
        <v>40</v>
      </c>
      <c r="E1182" s="11">
        <v>97</v>
      </c>
      <c r="F1182" s="11">
        <f t="shared" si="37"/>
        <v>97</v>
      </c>
      <c r="G1182" s="11" t="s">
        <v>14</v>
      </c>
      <c r="H1182" s="11" t="s">
        <v>78</v>
      </c>
      <c r="I1182" s="11" t="s">
        <v>16</v>
      </c>
      <c r="J1182" s="11">
        <v>25</v>
      </c>
      <c r="K1182" s="11">
        <v>42</v>
      </c>
      <c r="L1182" s="11" t="s">
        <v>1647</v>
      </c>
      <c r="M1182" s="11">
        <f t="shared" si="36"/>
        <v>2425</v>
      </c>
      <c r="N1182" s="11">
        <f>IF(Table1[[#This Row],[Transaction Type]]="Sale",ABS(E1182)*K1182,0)</f>
        <v>0</v>
      </c>
      <c r="O1182" s="29">
        <f>IF(Table1[[#This Row],[Transaction Type]]="Purchase",E1182*J1182,0)</f>
        <v>2425</v>
      </c>
    </row>
    <row r="1183" spans="1:15" x14ac:dyDescent="0.35">
      <c r="A1183" s="27" t="s">
        <v>1648</v>
      </c>
      <c r="B1183" s="12">
        <v>46020</v>
      </c>
      <c r="C1183" s="11" t="s">
        <v>139</v>
      </c>
      <c r="D1183" s="11" t="s">
        <v>40</v>
      </c>
      <c r="E1183" s="11">
        <v>67</v>
      </c>
      <c r="F1183" s="11">
        <f t="shared" si="37"/>
        <v>67</v>
      </c>
      <c r="G1183" s="11" t="s">
        <v>19</v>
      </c>
      <c r="H1183" s="11" t="s">
        <v>56</v>
      </c>
      <c r="I1183" s="11" t="s">
        <v>16</v>
      </c>
      <c r="J1183" s="11">
        <v>16.5</v>
      </c>
      <c r="K1183" s="11">
        <v>28</v>
      </c>
      <c r="L1183" s="11" t="s">
        <v>1649</v>
      </c>
      <c r="M1183" s="11">
        <f t="shared" si="36"/>
        <v>1105.5</v>
      </c>
      <c r="N1183" s="11">
        <f>IF(Table1[[#This Row],[Transaction Type]]="Sale",ABS(E1183)*K1183,0)</f>
        <v>0</v>
      </c>
      <c r="O1183" s="29">
        <f>IF(Table1[[#This Row],[Transaction Type]]="Purchase",E1183*J1183,0)</f>
        <v>1105.5</v>
      </c>
    </row>
    <row r="1184" spans="1:15" x14ac:dyDescent="0.35">
      <c r="A1184" s="27" t="s">
        <v>1650</v>
      </c>
      <c r="B1184" s="12">
        <v>46020</v>
      </c>
      <c r="C1184" s="11" t="s">
        <v>55</v>
      </c>
      <c r="D1184" s="11" t="s">
        <v>58</v>
      </c>
      <c r="E1184" s="11">
        <v>20</v>
      </c>
      <c r="F1184" s="11">
        <f t="shared" si="37"/>
        <v>20</v>
      </c>
      <c r="G1184" s="11" t="s">
        <v>24</v>
      </c>
      <c r="H1184" s="11" t="s">
        <v>56</v>
      </c>
      <c r="I1184" s="11" t="s">
        <v>16</v>
      </c>
      <c r="J1184" s="11">
        <v>4.2</v>
      </c>
      <c r="K1184" s="11">
        <v>10</v>
      </c>
      <c r="L1184" s="11"/>
      <c r="M1184" s="11">
        <f t="shared" si="36"/>
        <v>84</v>
      </c>
      <c r="N1184" s="11">
        <f>IF(Table1[[#This Row],[Transaction Type]]="Sale",ABS(E1184)*K1184,0)</f>
        <v>0</v>
      </c>
      <c r="O1184" s="29">
        <f>IF(Table1[[#This Row],[Transaction Type]]="Purchase",E1184*J1184,0)</f>
        <v>0</v>
      </c>
    </row>
    <row r="1185" spans="1:15" x14ac:dyDescent="0.35">
      <c r="A1185" s="27" t="s">
        <v>1651</v>
      </c>
      <c r="B1185" s="12">
        <v>46020</v>
      </c>
      <c r="C1185" s="11" t="s">
        <v>48</v>
      </c>
      <c r="D1185" s="11" t="s">
        <v>40</v>
      </c>
      <c r="E1185" s="11">
        <v>28</v>
      </c>
      <c r="F1185" s="11">
        <f t="shared" si="37"/>
        <v>28</v>
      </c>
      <c r="G1185" s="11" t="s">
        <v>14</v>
      </c>
      <c r="H1185" s="11" t="s">
        <v>49</v>
      </c>
      <c r="I1185" s="11" t="s">
        <v>21</v>
      </c>
      <c r="J1185" s="11">
        <v>8.5</v>
      </c>
      <c r="K1185" s="11">
        <v>18</v>
      </c>
      <c r="L1185" s="11" t="s">
        <v>1652</v>
      </c>
      <c r="M1185" s="11">
        <f t="shared" si="36"/>
        <v>238</v>
      </c>
      <c r="N1185" s="11">
        <f>IF(Table1[[#This Row],[Transaction Type]]="Sale",ABS(E1185)*K1185,0)</f>
        <v>0</v>
      </c>
      <c r="O1185" s="29">
        <f>IF(Table1[[#This Row],[Transaction Type]]="Purchase",E1185*J1185,0)</f>
        <v>238</v>
      </c>
    </row>
    <row r="1186" spans="1:15" x14ac:dyDescent="0.35">
      <c r="A1186" s="27" t="s">
        <v>1653</v>
      </c>
      <c r="B1186" s="12">
        <v>46021</v>
      </c>
      <c r="C1186" s="11" t="s">
        <v>69</v>
      </c>
      <c r="D1186" s="11" t="s">
        <v>40</v>
      </c>
      <c r="E1186" s="11">
        <v>75</v>
      </c>
      <c r="F1186" s="11">
        <f t="shared" si="37"/>
        <v>75</v>
      </c>
      <c r="G1186" s="11" t="s">
        <v>24</v>
      </c>
      <c r="H1186" s="11" t="s">
        <v>70</v>
      </c>
      <c r="I1186" s="11" t="s">
        <v>16</v>
      </c>
      <c r="J1186" s="11">
        <v>23</v>
      </c>
      <c r="K1186" s="11">
        <v>38</v>
      </c>
      <c r="L1186" s="11" t="s">
        <v>1654</v>
      </c>
      <c r="M1186" s="11">
        <f t="shared" si="36"/>
        <v>1725</v>
      </c>
      <c r="N1186" s="11">
        <f>IF(Table1[[#This Row],[Transaction Type]]="Sale",ABS(E1186)*K1186,0)</f>
        <v>0</v>
      </c>
      <c r="O1186" s="29">
        <f>IF(Table1[[#This Row],[Transaction Type]]="Purchase",E1186*J1186,0)</f>
        <v>1725</v>
      </c>
    </row>
    <row r="1187" spans="1:15" x14ac:dyDescent="0.35">
      <c r="A1187" s="27" t="s">
        <v>1655</v>
      </c>
      <c r="B1187" s="12">
        <v>46021</v>
      </c>
      <c r="C1187" s="11" t="s">
        <v>350</v>
      </c>
      <c r="D1187" s="11" t="s">
        <v>58</v>
      </c>
      <c r="E1187" s="11">
        <v>-6</v>
      </c>
      <c r="F1187" s="11">
        <f t="shared" si="37"/>
        <v>-6</v>
      </c>
      <c r="G1187" s="11" t="s">
        <v>14</v>
      </c>
      <c r="H1187" s="11" t="s">
        <v>74</v>
      </c>
      <c r="I1187" s="11" t="s">
        <v>75</v>
      </c>
      <c r="J1187" s="11">
        <v>145</v>
      </c>
      <c r="K1187" s="11">
        <v>210</v>
      </c>
      <c r="L1187" s="11"/>
      <c r="M1187" s="11">
        <f t="shared" si="36"/>
        <v>870</v>
      </c>
      <c r="N1187" s="11">
        <f>IF(Table1[[#This Row],[Transaction Type]]="Sale",ABS(E1187)*K1187,0)</f>
        <v>0</v>
      </c>
      <c r="O1187" s="29">
        <f>IF(Table1[[#This Row],[Transaction Type]]="Purchase",E1187*J1187,0)</f>
        <v>0</v>
      </c>
    </row>
    <row r="1188" spans="1:15" x14ac:dyDescent="0.35">
      <c r="A1188" s="27" t="s">
        <v>1656</v>
      </c>
      <c r="B1188" s="12">
        <v>46021</v>
      </c>
      <c r="C1188" s="11" t="s">
        <v>83</v>
      </c>
      <c r="D1188" s="11" t="s">
        <v>40</v>
      </c>
      <c r="E1188" s="11">
        <v>55</v>
      </c>
      <c r="F1188" s="11">
        <f t="shared" si="37"/>
        <v>55</v>
      </c>
      <c r="G1188" s="11" t="s">
        <v>14</v>
      </c>
      <c r="H1188" s="11" t="s">
        <v>84</v>
      </c>
      <c r="I1188" s="11" t="s">
        <v>45</v>
      </c>
      <c r="J1188" s="11">
        <v>130</v>
      </c>
      <c r="K1188" s="11">
        <v>185</v>
      </c>
      <c r="L1188" s="11" t="s">
        <v>1657</v>
      </c>
      <c r="M1188" s="11">
        <f t="shared" si="36"/>
        <v>7150</v>
      </c>
      <c r="N1188" s="11">
        <f>IF(Table1[[#This Row],[Transaction Type]]="Sale",ABS(E1188)*K1188,0)</f>
        <v>0</v>
      </c>
      <c r="O1188" s="29">
        <f>IF(Table1[[#This Row],[Transaction Type]]="Purchase",E1188*J1188,0)</f>
        <v>7150</v>
      </c>
    </row>
    <row r="1189" spans="1:15" x14ac:dyDescent="0.35">
      <c r="A1189" s="27" t="s">
        <v>1658</v>
      </c>
      <c r="B1189" s="12">
        <v>46022</v>
      </c>
      <c r="C1189" s="11" t="s">
        <v>18</v>
      </c>
      <c r="D1189" s="11" t="s">
        <v>40</v>
      </c>
      <c r="E1189" s="11">
        <v>38</v>
      </c>
      <c r="F1189" s="11">
        <f t="shared" si="37"/>
        <v>38</v>
      </c>
      <c r="G1189" s="11" t="s">
        <v>24</v>
      </c>
      <c r="H1189" s="11" t="s">
        <v>20</v>
      </c>
      <c r="I1189" s="11" t="s">
        <v>21</v>
      </c>
      <c r="J1189" s="11">
        <v>2.6</v>
      </c>
      <c r="K1189" s="11">
        <v>5.5</v>
      </c>
      <c r="L1189" s="11" t="s">
        <v>1659</v>
      </c>
      <c r="M1189" s="11">
        <f t="shared" si="36"/>
        <v>98.8</v>
      </c>
      <c r="N1189" s="11">
        <f>IF(Table1[[#This Row],[Transaction Type]]="Sale",ABS(E1189)*K1189,0)</f>
        <v>0</v>
      </c>
      <c r="O1189" s="29">
        <f>IF(Table1[[#This Row],[Transaction Type]]="Purchase",E1189*J1189,0)</f>
        <v>98.8</v>
      </c>
    </row>
    <row r="1190" spans="1:15" x14ac:dyDescent="0.35">
      <c r="A1190" s="27" t="s">
        <v>1660</v>
      </c>
      <c r="B1190" s="12">
        <v>46022</v>
      </c>
      <c r="C1190" s="11" t="s">
        <v>73</v>
      </c>
      <c r="D1190" s="11" t="s">
        <v>40</v>
      </c>
      <c r="E1190" s="11">
        <v>93</v>
      </c>
      <c r="F1190" s="11">
        <f t="shared" si="37"/>
        <v>93</v>
      </c>
      <c r="G1190" s="11" t="s">
        <v>14</v>
      </c>
      <c r="H1190" s="11" t="s">
        <v>74</v>
      </c>
      <c r="I1190" s="11" t="s">
        <v>75</v>
      </c>
      <c r="J1190" s="11">
        <v>30</v>
      </c>
      <c r="K1190" s="11">
        <v>48</v>
      </c>
      <c r="L1190" s="11" t="s">
        <v>1661</v>
      </c>
      <c r="M1190" s="11">
        <f t="shared" si="36"/>
        <v>2790</v>
      </c>
      <c r="N1190" s="11">
        <f>IF(Table1[[#This Row],[Transaction Type]]="Sale",ABS(E1190)*K1190,0)</f>
        <v>0</v>
      </c>
      <c r="O1190" s="29">
        <f>IF(Table1[[#This Row],[Transaction Type]]="Purchase",E1190*J1190,0)</f>
        <v>2790</v>
      </c>
    </row>
    <row r="1191" spans="1:15" x14ac:dyDescent="0.35">
      <c r="A1191" s="27" t="s">
        <v>1662</v>
      </c>
      <c r="B1191" s="12">
        <v>46022</v>
      </c>
      <c r="C1191" s="11" t="s">
        <v>73</v>
      </c>
      <c r="D1191" s="11" t="s">
        <v>13</v>
      </c>
      <c r="E1191" s="11">
        <v>-9</v>
      </c>
      <c r="F1191" s="11">
        <f t="shared" si="37"/>
        <v>-9</v>
      </c>
      <c r="G1191" s="11" t="s">
        <v>24</v>
      </c>
      <c r="H1191" s="11" t="s">
        <v>74</v>
      </c>
      <c r="I1191" s="11" t="s">
        <v>75</v>
      </c>
      <c r="J1191" s="11">
        <v>30</v>
      </c>
      <c r="K1191" s="11">
        <v>48</v>
      </c>
      <c r="L1191" s="11"/>
      <c r="M1191" s="11">
        <f t="shared" si="36"/>
        <v>270</v>
      </c>
      <c r="N1191" s="11">
        <f>IF(Table1[[#This Row],[Transaction Type]]="Sale",ABS(E1191)*K1191,0)</f>
        <v>432</v>
      </c>
      <c r="O1191" s="29">
        <f>IF(Table1[[#This Row],[Transaction Type]]="Purchase",E1191*J1191,0)</f>
        <v>0</v>
      </c>
    </row>
    <row r="1192" spans="1:15" x14ac:dyDescent="0.35">
      <c r="A1192" s="27" t="s">
        <v>1663</v>
      </c>
      <c r="B1192" s="12">
        <v>46022</v>
      </c>
      <c r="C1192" s="11" t="s">
        <v>55</v>
      </c>
      <c r="D1192" s="11" t="s">
        <v>13</v>
      </c>
      <c r="E1192" s="11">
        <v>-1</v>
      </c>
      <c r="F1192" s="11">
        <f t="shared" si="37"/>
        <v>-1</v>
      </c>
      <c r="G1192" s="11" t="s">
        <v>19</v>
      </c>
      <c r="H1192" s="11" t="s">
        <v>56</v>
      </c>
      <c r="I1192" s="11" t="s">
        <v>16</v>
      </c>
      <c r="J1192" s="11">
        <v>4.2</v>
      </c>
      <c r="K1192" s="11">
        <v>10</v>
      </c>
      <c r="L1192" s="11"/>
      <c r="M1192" s="11">
        <f t="shared" si="36"/>
        <v>4.2</v>
      </c>
      <c r="N1192" s="11">
        <f>IF(Table1[[#This Row],[Transaction Type]]="Sale",ABS(E1192)*K1192,0)</f>
        <v>10</v>
      </c>
      <c r="O1192" s="29">
        <f>IF(Table1[[#This Row],[Transaction Type]]="Purchase",E1192*J1192,0)</f>
        <v>0</v>
      </c>
    </row>
    <row r="1193" spans="1:15" x14ac:dyDescent="0.35">
      <c r="A1193" s="27" t="s">
        <v>1664</v>
      </c>
      <c r="B1193" s="12">
        <v>46023</v>
      </c>
      <c r="C1193" s="11" t="s">
        <v>43</v>
      </c>
      <c r="D1193" s="11" t="s">
        <v>40</v>
      </c>
      <c r="E1193" s="11">
        <v>25</v>
      </c>
      <c r="F1193" s="11">
        <f t="shared" si="37"/>
        <v>25</v>
      </c>
      <c r="G1193" s="11" t="s">
        <v>19</v>
      </c>
      <c r="H1193" s="11" t="s">
        <v>44</v>
      </c>
      <c r="I1193" s="11" t="s">
        <v>45</v>
      </c>
      <c r="J1193" s="11">
        <v>5.2</v>
      </c>
      <c r="K1193" s="11">
        <v>11</v>
      </c>
      <c r="L1193" s="11" t="s">
        <v>1665</v>
      </c>
      <c r="M1193" s="11">
        <f t="shared" si="36"/>
        <v>130</v>
      </c>
      <c r="N1193" s="11">
        <f>IF(Table1[[#This Row],[Transaction Type]]="Sale",ABS(E1193)*K1193,0)</f>
        <v>0</v>
      </c>
      <c r="O1193" s="29">
        <f>IF(Table1[[#This Row],[Transaction Type]]="Purchase",E1193*J1193,0)</f>
        <v>130</v>
      </c>
    </row>
    <row r="1194" spans="1:15" x14ac:dyDescent="0.35">
      <c r="A1194" s="27" t="s">
        <v>1666</v>
      </c>
      <c r="B1194" s="12">
        <v>46023</v>
      </c>
      <c r="C1194" s="11" t="s">
        <v>170</v>
      </c>
      <c r="D1194" s="11" t="s">
        <v>40</v>
      </c>
      <c r="E1194" s="11">
        <v>75</v>
      </c>
      <c r="F1194" s="11">
        <f t="shared" si="37"/>
        <v>75</v>
      </c>
      <c r="G1194" s="11" t="s">
        <v>14</v>
      </c>
      <c r="H1194" s="11" t="s">
        <v>171</v>
      </c>
      <c r="I1194" s="11" t="s">
        <v>34</v>
      </c>
      <c r="J1194" s="11">
        <v>25</v>
      </c>
      <c r="K1194" s="11">
        <v>45</v>
      </c>
      <c r="L1194" s="11" t="s">
        <v>1667</v>
      </c>
      <c r="M1194" s="11">
        <f t="shared" si="36"/>
        <v>1875</v>
      </c>
      <c r="N1194" s="11">
        <f>IF(Table1[[#This Row],[Transaction Type]]="Sale",ABS(E1194)*K1194,0)</f>
        <v>0</v>
      </c>
      <c r="O1194" s="29">
        <f>IF(Table1[[#This Row],[Transaction Type]]="Purchase",E1194*J1194,0)</f>
        <v>1875</v>
      </c>
    </row>
    <row r="1195" spans="1:15" x14ac:dyDescent="0.35">
      <c r="A1195" s="27" t="s">
        <v>1668</v>
      </c>
      <c r="B1195" s="12">
        <v>46023</v>
      </c>
      <c r="C1195" s="11" t="s">
        <v>87</v>
      </c>
      <c r="D1195" s="11" t="s">
        <v>13</v>
      </c>
      <c r="E1195" s="11">
        <v>-5</v>
      </c>
      <c r="F1195" s="11">
        <f t="shared" si="37"/>
        <v>-5</v>
      </c>
      <c r="G1195" s="11" t="s">
        <v>14</v>
      </c>
      <c r="H1195" s="11" t="s">
        <v>88</v>
      </c>
      <c r="I1195" s="11" t="s">
        <v>16</v>
      </c>
      <c r="J1195" s="11">
        <v>6</v>
      </c>
      <c r="K1195" s="11">
        <v>14</v>
      </c>
      <c r="L1195" s="11"/>
      <c r="M1195" s="11">
        <f t="shared" si="36"/>
        <v>30</v>
      </c>
      <c r="N1195" s="11">
        <f>IF(Table1[[#This Row],[Transaction Type]]="Sale",ABS(E1195)*K1195,0)</f>
        <v>70</v>
      </c>
      <c r="O1195" s="29">
        <f>IF(Table1[[#This Row],[Transaction Type]]="Purchase",E1195*J1195,0)</f>
        <v>0</v>
      </c>
    </row>
    <row r="1196" spans="1:15" x14ac:dyDescent="0.35">
      <c r="A1196" s="27" t="s">
        <v>1669</v>
      </c>
      <c r="B1196" s="12">
        <v>46024</v>
      </c>
      <c r="C1196" s="11" t="s">
        <v>141</v>
      </c>
      <c r="D1196" s="11" t="s">
        <v>13</v>
      </c>
      <c r="E1196" s="11">
        <v>-9</v>
      </c>
      <c r="F1196" s="11">
        <f t="shared" si="37"/>
        <v>-9</v>
      </c>
      <c r="G1196" s="11" t="s">
        <v>19</v>
      </c>
      <c r="H1196" s="11" t="s">
        <v>25</v>
      </c>
      <c r="I1196" s="11" t="s">
        <v>26</v>
      </c>
      <c r="J1196" s="11">
        <v>4</v>
      </c>
      <c r="K1196" s="11">
        <v>9</v>
      </c>
      <c r="L1196" s="11"/>
      <c r="M1196" s="11">
        <f t="shared" si="36"/>
        <v>36</v>
      </c>
      <c r="N1196" s="11">
        <f>IF(Table1[[#This Row],[Transaction Type]]="Sale",ABS(E1196)*K1196,0)</f>
        <v>81</v>
      </c>
      <c r="O1196" s="29">
        <f>IF(Table1[[#This Row],[Transaction Type]]="Purchase",E1196*J1196,0)</f>
        <v>0</v>
      </c>
    </row>
    <row r="1197" spans="1:15" x14ac:dyDescent="0.35">
      <c r="A1197" s="27" t="s">
        <v>1670</v>
      </c>
      <c r="B1197" s="12">
        <v>46024</v>
      </c>
      <c r="C1197" s="11" t="s">
        <v>136</v>
      </c>
      <c r="D1197" s="11" t="s">
        <v>13</v>
      </c>
      <c r="E1197" s="11">
        <v>-12</v>
      </c>
      <c r="F1197" s="11">
        <f t="shared" si="37"/>
        <v>-12</v>
      </c>
      <c r="G1197" s="11" t="s">
        <v>14</v>
      </c>
      <c r="H1197" s="11" t="s">
        <v>33</v>
      </c>
      <c r="I1197" s="11" t="s">
        <v>34</v>
      </c>
      <c r="J1197" s="11">
        <v>34</v>
      </c>
      <c r="K1197" s="11">
        <v>55</v>
      </c>
      <c r="L1197" s="11"/>
      <c r="M1197" s="11">
        <f t="shared" si="36"/>
        <v>408</v>
      </c>
      <c r="N1197" s="11">
        <f>IF(Table1[[#This Row],[Transaction Type]]="Sale",ABS(E1197)*K1197,0)</f>
        <v>660</v>
      </c>
      <c r="O1197" s="29">
        <f>IF(Table1[[#This Row],[Transaction Type]]="Purchase",E1197*J1197,0)</f>
        <v>0</v>
      </c>
    </row>
    <row r="1198" spans="1:15" x14ac:dyDescent="0.35">
      <c r="A1198" s="27" t="s">
        <v>1671</v>
      </c>
      <c r="B1198" s="12">
        <v>46024</v>
      </c>
      <c r="C1198" s="11" t="s">
        <v>32</v>
      </c>
      <c r="D1198" s="11" t="s">
        <v>13</v>
      </c>
      <c r="E1198" s="11">
        <v>-14</v>
      </c>
      <c r="F1198" s="11">
        <f t="shared" si="37"/>
        <v>-14</v>
      </c>
      <c r="G1198" s="11" t="s">
        <v>19</v>
      </c>
      <c r="H1198" s="11" t="s">
        <v>33</v>
      </c>
      <c r="I1198" s="11" t="s">
        <v>34</v>
      </c>
      <c r="J1198" s="11">
        <v>20</v>
      </c>
      <c r="K1198" s="11">
        <v>35</v>
      </c>
      <c r="L1198" s="11"/>
      <c r="M1198" s="11">
        <f t="shared" si="36"/>
        <v>280</v>
      </c>
      <c r="N1198" s="11">
        <f>IF(Table1[[#This Row],[Transaction Type]]="Sale",ABS(E1198)*K1198,0)</f>
        <v>490</v>
      </c>
      <c r="O1198" s="29">
        <f>IF(Table1[[#This Row],[Transaction Type]]="Purchase",E1198*J1198,0)</f>
        <v>0</v>
      </c>
    </row>
    <row r="1199" spans="1:15" x14ac:dyDescent="0.35">
      <c r="A1199" s="27" t="s">
        <v>1672</v>
      </c>
      <c r="B1199" s="12">
        <v>46024</v>
      </c>
      <c r="C1199" s="11" t="s">
        <v>87</v>
      </c>
      <c r="D1199" s="11" t="s">
        <v>13</v>
      </c>
      <c r="E1199" s="11">
        <v>-2</v>
      </c>
      <c r="F1199" s="11">
        <f t="shared" si="37"/>
        <v>-2</v>
      </c>
      <c r="G1199" s="11" t="s">
        <v>24</v>
      </c>
      <c r="H1199" s="11" t="s">
        <v>88</v>
      </c>
      <c r="I1199" s="11" t="s">
        <v>16</v>
      </c>
      <c r="J1199" s="11">
        <v>6</v>
      </c>
      <c r="K1199" s="11">
        <v>14</v>
      </c>
      <c r="L1199" s="11"/>
      <c r="M1199" s="11">
        <f t="shared" si="36"/>
        <v>12</v>
      </c>
      <c r="N1199" s="11">
        <f>IF(Table1[[#This Row],[Transaction Type]]="Sale",ABS(E1199)*K1199,0)</f>
        <v>28</v>
      </c>
      <c r="O1199" s="29">
        <f>IF(Table1[[#This Row],[Transaction Type]]="Purchase",E1199*J1199,0)</f>
        <v>0</v>
      </c>
    </row>
    <row r="1200" spans="1:15" x14ac:dyDescent="0.35">
      <c r="A1200" s="27" t="s">
        <v>1673</v>
      </c>
      <c r="B1200" s="12">
        <v>46024</v>
      </c>
      <c r="C1200" s="11" t="s">
        <v>170</v>
      </c>
      <c r="D1200" s="11" t="s">
        <v>13</v>
      </c>
      <c r="E1200" s="11">
        <v>-8</v>
      </c>
      <c r="F1200" s="11">
        <f t="shared" si="37"/>
        <v>-8</v>
      </c>
      <c r="G1200" s="11" t="s">
        <v>14</v>
      </c>
      <c r="H1200" s="11" t="s">
        <v>171</v>
      </c>
      <c r="I1200" s="11" t="s">
        <v>34</v>
      </c>
      <c r="J1200" s="11">
        <v>25</v>
      </c>
      <c r="K1200" s="11">
        <v>45</v>
      </c>
      <c r="L1200" s="11"/>
      <c r="M1200" s="11">
        <f t="shared" si="36"/>
        <v>200</v>
      </c>
      <c r="N1200" s="11">
        <f>IF(Table1[[#This Row],[Transaction Type]]="Sale",ABS(E1200)*K1200,0)</f>
        <v>360</v>
      </c>
      <c r="O1200" s="29">
        <f>IF(Table1[[#This Row],[Transaction Type]]="Purchase",E1200*J1200,0)</f>
        <v>0</v>
      </c>
    </row>
    <row r="1201" spans="1:15" x14ac:dyDescent="0.35">
      <c r="A1201" s="27" t="s">
        <v>1674</v>
      </c>
      <c r="B1201" s="12">
        <v>46024</v>
      </c>
      <c r="C1201" s="11" t="s">
        <v>60</v>
      </c>
      <c r="D1201" s="11" t="s">
        <v>13</v>
      </c>
      <c r="E1201" s="11">
        <v>-3</v>
      </c>
      <c r="F1201" s="11">
        <f t="shared" si="37"/>
        <v>-3</v>
      </c>
      <c r="G1201" s="11" t="s">
        <v>14</v>
      </c>
      <c r="H1201" s="11" t="s">
        <v>61</v>
      </c>
      <c r="I1201" s="11" t="s">
        <v>62</v>
      </c>
      <c r="J1201" s="11">
        <v>3.4</v>
      </c>
      <c r="K1201" s="11">
        <v>8</v>
      </c>
      <c r="L1201" s="11"/>
      <c r="M1201" s="11">
        <f t="shared" si="36"/>
        <v>10.199999999999999</v>
      </c>
      <c r="N1201" s="11">
        <f>IF(Table1[[#This Row],[Transaction Type]]="Sale",ABS(E1201)*K1201,0)</f>
        <v>24</v>
      </c>
      <c r="O1201" s="29">
        <f>IF(Table1[[#This Row],[Transaction Type]]="Purchase",E1201*J1201,0)</f>
        <v>0</v>
      </c>
    </row>
    <row r="1202" spans="1:15" x14ac:dyDescent="0.35">
      <c r="A1202" s="27" t="s">
        <v>1675</v>
      </c>
      <c r="B1202" s="12">
        <v>46025</v>
      </c>
      <c r="C1202" s="11" t="s">
        <v>141</v>
      </c>
      <c r="D1202" s="11" t="s">
        <v>13</v>
      </c>
      <c r="E1202" s="11">
        <v>-10</v>
      </c>
      <c r="F1202" s="11">
        <f t="shared" si="37"/>
        <v>-10</v>
      </c>
      <c r="G1202" s="11" t="s">
        <v>14</v>
      </c>
      <c r="H1202" s="11" t="s">
        <v>25</v>
      </c>
      <c r="I1202" s="11" t="s">
        <v>26</v>
      </c>
      <c r="J1202" s="11">
        <v>4</v>
      </c>
      <c r="K1202" s="11">
        <v>9</v>
      </c>
      <c r="L1202" s="11"/>
      <c r="M1202" s="11">
        <f t="shared" si="36"/>
        <v>40</v>
      </c>
      <c r="N1202" s="11">
        <f>IF(Table1[[#This Row],[Transaction Type]]="Sale",ABS(E1202)*K1202,0)</f>
        <v>90</v>
      </c>
      <c r="O1202" s="29">
        <f>IF(Table1[[#This Row],[Transaction Type]]="Purchase",E1202*J1202,0)</f>
        <v>0</v>
      </c>
    </row>
    <row r="1203" spans="1:15" x14ac:dyDescent="0.35">
      <c r="A1203" s="27" t="s">
        <v>1676</v>
      </c>
      <c r="B1203" s="12">
        <v>46025</v>
      </c>
      <c r="C1203" s="11" t="s">
        <v>36</v>
      </c>
      <c r="D1203" s="11" t="s">
        <v>13</v>
      </c>
      <c r="E1203" s="11">
        <v>-3</v>
      </c>
      <c r="F1203" s="11">
        <f t="shared" si="37"/>
        <v>-3</v>
      </c>
      <c r="G1203" s="11" t="s">
        <v>14</v>
      </c>
      <c r="H1203" s="11" t="s">
        <v>37</v>
      </c>
      <c r="I1203" s="11" t="s">
        <v>16</v>
      </c>
      <c r="J1203" s="11">
        <v>7.2</v>
      </c>
      <c r="K1203" s="11">
        <v>12.5</v>
      </c>
      <c r="L1203" s="11"/>
      <c r="M1203" s="11">
        <f t="shared" si="36"/>
        <v>21.6</v>
      </c>
      <c r="N1203" s="11">
        <f>IF(Table1[[#This Row],[Transaction Type]]="Sale",ABS(E1203)*K1203,0)</f>
        <v>37.5</v>
      </c>
      <c r="O1203" s="29">
        <f>IF(Table1[[#This Row],[Transaction Type]]="Purchase",E1203*J1203,0)</f>
        <v>0</v>
      </c>
    </row>
    <row r="1204" spans="1:15" x14ac:dyDescent="0.35">
      <c r="A1204" s="27" t="s">
        <v>1677</v>
      </c>
      <c r="B1204" s="12">
        <v>46025</v>
      </c>
      <c r="C1204" s="11" t="s">
        <v>52</v>
      </c>
      <c r="D1204" s="11" t="s">
        <v>40</v>
      </c>
      <c r="E1204" s="11">
        <v>119</v>
      </c>
      <c r="F1204" s="11">
        <f t="shared" si="37"/>
        <v>119</v>
      </c>
      <c r="G1204" s="11" t="s">
        <v>14</v>
      </c>
      <c r="H1204" s="11" t="s">
        <v>20</v>
      </c>
      <c r="I1204" s="11" t="s">
        <v>21</v>
      </c>
      <c r="J1204" s="11">
        <v>5.5</v>
      </c>
      <c r="K1204" s="11">
        <v>12</v>
      </c>
      <c r="L1204" s="11" t="s">
        <v>1678</v>
      </c>
      <c r="M1204" s="11">
        <f t="shared" si="36"/>
        <v>654.5</v>
      </c>
      <c r="N1204" s="11">
        <f>IF(Table1[[#This Row],[Transaction Type]]="Sale",ABS(E1204)*K1204,0)</f>
        <v>0</v>
      </c>
      <c r="O1204" s="29">
        <f>IF(Table1[[#This Row],[Transaction Type]]="Purchase",E1204*J1204,0)</f>
        <v>654.5</v>
      </c>
    </row>
    <row r="1205" spans="1:15" x14ac:dyDescent="0.35">
      <c r="A1205" s="27" t="s">
        <v>1679</v>
      </c>
      <c r="B1205" s="12">
        <v>46025</v>
      </c>
      <c r="C1205" s="11" t="s">
        <v>794</v>
      </c>
      <c r="D1205" s="11" t="s">
        <v>40</v>
      </c>
      <c r="E1205" s="11">
        <v>102</v>
      </c>
      <c r="F1205" s="11">
        <f t="shared" si="37"/>
        <v>102</v>
      </c>
      <c r="G1205" s="11" t="s">
        <v>14</v>
      </c>
      <c r="H1205" s="11" t="s">
        <v>74</v>
      </c>
      <c r="I1205" s="11" t="s">
        <v>75</v>
      </c>
      <c r="J1205" s="11">
        <v>82</v>
      </c>
      <c r="K1205" s="11">
        <v>135</v>
      </c>
      <c r="L1205" s="11" t="s">
        <v>1680</v>
      </c>
      <c r="M1205" s="11">
        <f t="shared" si="36"/>
        <v>8364</v>
      </c>
      <c r="N1205" s="11">
        <f>IF(Table1[[#This Row],[Transaction Type]]="Sale",ABS(E1205)*K1205,0)</f>
        <v>0</v>
      </c>
      <c r="O1205" s="29">
        <f>IF(Table1[[#This Row],[Transaction Type]]="Purchase",E1205*J1205,0)</f>
        <v>8364</v>
      </c>
    </row>
    <row r="1206" spans="1:15" x14ac:dyDescent="0.35">
      <c r="A1206" s="27" t="s">
        <v>1681</v>
      </c>
      <c r="B1206" s="12">
        <v>46025</v>
      </c>
      <c r="C1206" s="11" t="s">
        <v>43</v>
      </c>
      <c r="D1206" s="11" t="s">
        <v>40</v>
      </c>
      <c r="E1206" s="11">
        <v>37</v>
      </c>
      <c r="F1206" s="11">
        <f t="shared" si="37"/>
        <v>37</v>
      </c>
      <c r="G1206" s="11" t="s">
        <v>14</v>
      </c>
      <c r="H1206" s="11" t="s">
        <v>44</v>
      </c>
      <c r="I1206" s="11" t="s">
        <v>45</v>
      </c>
      <c r="J1206" s="11">
        <v>5.2</v>
      </c>
      <c r="K1206" s="11">
        <v>11</v>
      </c>
      <c r="L1206" s="11" t="s">
        <v>1682</v>
      </c>
      <c r="M1206" s="11">
        <f t="shared" si="36"/>
        <v>192.4</v>
      </c>
      <c r="N1206" s="11">
        <f>IF(Table1[[#This Row],[Transaction Type]]="Sale",ABS(E1206)*K1206,0)</f>
        <v>0</v>
      </c>
      <c r="O1206" s="29">
        <f>IF(Table1[[#This Row],[Transaction Type]]="Purchase",E1206*J1206,0)</f>
        <v>192.4</v>
      </c>
    </row>
    <row r="1207" spans="1:15" x14ac:dyDescent="0.35">
      <c r="A1207" s="27" t="s">
        <v>1683</v>
      </c>
      <c r="B1207" s="12">
        <v>46026</v>
      </c>
      <c r="C1207" s="11" t="s">
        <v>43</v>
      </c>
      <c r="D1207" s="11" t="s">
        <v>13</v>
      </c>
      <c r="E1207" s="11">
        <v>-2</v>
      </c>
      <c r="F1207" s="11">
        <f t="shared" si="37"/>
        <v>-2</v>
      </c>
      <c r="G1207" s="11" t="s">
        <v>24</v>
      </c>
      <c r="H1207" s="11" t="s">
        <v>44</v>
      </c>
      <c r="I1207" s="11" t="s">
        <v>45</v>
      </c>
      <c r="J1207" s="11">
        <v>5.2</v>
      </c>
      <c r="K1207" s="11">
        <v>11</v>
      </c>
      <c r="L1207" s="11"/>
      <c r="M1207" s="11">
        <f t="shared" si="36"/>
        <v>10.4</v>
      </c>
      <c r="N1207" s="11">
        <f>IF(Table1[[#This Row],[Transaction Type]]="Sale",ABS(E1207)*K1207,0)</f>
        <v>22</v>
      </c>
      <c r="O1207" s="29">
        <f>IF(Table1[[#This Row],[Transaction Type]]="Purchase",E1207*J1207,0)</f>
        <v>0</v>
      </c>
    </row>
    <row r="1208" spans="1:15" x14ac:dyDescent="0.35">
      <c r="A1208" s="27" t="s">
        <v>1684</v>
      </c>
      <c r="B1208" s="12">
        <v>46026</v>
      </c>
      <c r="C1208" s="11" t="s">
        <v>69</v>
      </c>
      <c r="D1208" s="11" t="s">
        <v>40</v>
      </c>
      <c r="E1208" s="11">
        <v>68</v>
      </c>
      <c r="F1208" s="11">
        <f t="shared" si="37"/>
        <v>68</v>
      </c>
      <c r="G1208" s="11" t="s">
        <v>14</v>
      </c>
      <c r="H1208" s="11" t="s">
        <v>70</v>
      </c>
      <c r="I1208" s="11" t="s">
        <v>16</v>
      </c>
      <c r="J1208" s="11">
        <v>23</v>
      </c>
      <c r="K1208" s="11">
        <v>38</v>
      </c>
      <c r="L1208" s="11" t="s">
        <v>1685</v>
      </c>
      <c r="M1208" s="11">
        <f t="shared" si="36"/>
        <v>1564</v>
      </c>
      <c r="N1208" s="11">
        <f>IF(Table1[[#This Row],[Transaction Type]]="Sale",ABS(E1208)*K1208,0)</f>
        <v>0</v>
      </c>
      <c r="O1208" s="29">
        <f>IF(Table1[[#This Row],[Transaction Type]]="Purchase",E1208*J1208,0)</f>
        <v>1564</v>
      </c>
    </row>
    <row r="1209" spans="1:15" x14ac:dyDescent="0.35">
      <c r="A1209" s="27" t="s">
        <v>1686</v>
      </c>
      <c r="B1209" s="12">
        <v>46026</v>
      </c>
      <c r="C1209" s="11" t="s">
        <v>69</v>
      </c>
      <c r="D1209" s="11" t="s">
        <v>66</v>
      </c>
      <c r="E1209" s="11">
        <v>3</v>
      </c>
      <c r="F1209" s="11">
        <f t="shared" si="37"/>
        <v>3</v>
      </c>
      <c r="G1209" s="11" t="s">
        <v>14</v>
      </c>
      <c r="H1209" s="11" t="s">
        <v>70</v>
      </c>
      <c r="I1209" s="11" t="s">
        <v>16</v>
      </c>
      <c r="J1209" s="11">
        <v>23</v>
      </c>
      <c r="K1209" s="11">
        <v>38</v>
      </c>
      <c r="L1209" s="11"/>
      <c r="M1209" s="11">
        <f t="shared" si="36"/>
        <v>69</v>
      </c>
      <c r="N1209" s="11">
        <f>IF(Table1[[#This Row],[Transaction Type]]="Sale",ABS(E1209)*K1209,0)</f>
        <v>0</v>
      </c>
      <c r="O1209" s="29">
        <f>IF(Table1[[#This Row],[Transaction Type]]="Purchase",E1209*J1209,0)</f>
        <v>0</v>
      </c>
    </row>
    <row r="1210" spans="1:15" x14ac:dyDescent="0.35">
      <c r="A1210" s="27" t="s">
        <v>1687</v>
      </c>
      <c r="B1210" s="12">
        <v>46026</v>
      </c>
      <c r="C1210" s="11" t="s">
        <v>23</v>
      </c>
      <c r="D1210" s="11" t="s">
        <v>40</v>
      </c>
      <c r="E1210" s="11">
        <v>58</v>
      </c>
      <c r="F1210" s="11">
        <f t="shared" si="37"/>
        <v>58</v>
      </c>
      <c r="G1210" s="11" t="s">
        <v>24</v>
      </c>
      <c r="H1210" s="11" t="s">
        <v>25</v>
      </c>
      <c r="I1210" s="11" t="s">
        <v>26</v>
      </c>
      <c r="J1210" s="11">
        <v>3</v>
      </c>
      <c r="K1210" s="11">
        <v>7</v>
      </c>
      <c r="L1210" s="11" t="s">
        <v>1688</v>
      </c>
      <c r="M1210" s="11">
        <f t="shared" si="36"/>
        <v>174</v>
      </c>
      <c r="N1210" s="11">
        <f>IF(Table1[[#This Row],[Transaction Type]]="Sale",ABS(E1210)*K1210,0)</f>
        <v>0</v>
      </c>
      <c r="O1210" s="29">
        <f>IF(Table1[[#This Row],[Transaction Type]]="Purchase",E1210*J1210,0)</f>
        <v>174</v>
      </c>
    </row>
    <row r="1211" spans="1:15" x14ac:dyDescent="0.35">
      <c r="A1211" s="27" t="s">
        <v>1689</v>
      </c>
      <c r="B1211" s="12">
        <v>46026</v>
      </c>
      <c r="C1211" s="11" t="s">
        <v>83</v>
      </c>
      <c r="D1211" s="11" t="s">
        <v>13</v>
      </c>
      <c r="E1211" s="11">
        <v>-13</v>
      </c>
      <c r="F1211" s="11">
        <f t="shared" si="37"/>
        <v>-13</v>
      </c>
      <c r="G1211" s="11" t="s">
        <v>14</v>
      </c>
      <c r="H1211" s="11" t="s">
        <v>84</v>
      </c>
      <c r="I1211" s="11" t="s">
        <v>45</v>
      </c>
      <c r="J1211" s="11">
        <v>130</v>
      </c>
      <c r="K1211" s="11">
        <v>185</v>
      </c>
      <c r="L1211" s="11"/>
      <c r="M1211" s="11">
        <f t="shared" si="36"/>
        <v>1690</v>
      </c>
      <c r="N1211" s="11">
        <f>IF(Table1[[#This Row],[Transaction Type]]="Sale",ABS(E1211)*K1211,0)</f>
        <v>2405</v>
      </c>
      <c r="O1211" s="29">
        <f>IF(Table1[[#This Row],[Transaction Type]]="Purchase",E1211*J1211,0)</f>
        <v>0</v>
      </c>
    </row>
    <row r="1212" spans="1:15" x14ac:dyDescent="0.35">
      <c r="A1212" s="27" t="s">
        <v>1690</v>
      </c>
      <c r="B1212" s="12">
        <v>46028</v>
      </c>
      <c r="C1212" s="11" t="s">
        <v>18</v>
      </c>
      <c r="D1212" s="11" t="s">
        <v>40</v>
      </c>
      <c r="E1212" s="11">
        <v>52</v>
      </c>
      <c r="F1212" s="11">
        <f t="shared" si="37"/>
        <v>52</v>
      </c>
      <c r="G1212" s="11" t="s">
        <v>24</v>
      </c>
      <c r="H1212" s="11" t="s">
        <v>20</v>
      </c>
      <c r="I1212" s="11" t="s">
        <v>21</v>
      </c>
      <c r="J1212" s="11">
        <v>2.6</v>
      </c>
      <c r="K1212" s="11">
        <v>5.5</v>
      </c>
      <c r="L1212" s="11" t="s">
        <v>1691</v>
      </c>
      <c r="M1212" s="11">
        <f t="shared" si="36"/>
        <v>135.20000000000002</v>
      </c>
      <c r="N1212" s="11">
        <f>IF(Table1[[#This Row],[Transaction Type]]="Sale",ABS(E1212)*K1212,0)</f>
        <v>0</v>
      </c>
      <c r="O1212" s="29">
        <f>IF(Table1[[#This Row],[Transaction Type]]="Purchase",E1212*J1212,0)</f>
        <v>135.20000000000002</v>
      </c>
    </row>
    <row r="1213" spans="1:15" x14ac:dyDescent="0.35">
      <c r="A1213" s="27" t="s">
        <v>1692</v>
      </c>
      <c r="B1213" s="12">
        <v>46028</v>
      </c>
      <c r="C1213" s="11" t="s">
        <v>139</v>
      </c>
      <c r="D1213" s="11" t="s">
        <v>40</v>
      </c>
      <c r="E1213" s="11">
        <v>65</v>
      </c>
      <c r="F1213" s="11">
        <f t="shared" si="37"/>
        <v>65</v>
      </c>
      <c r="G1213" s="11" t="s">
        <v>14</v>
      </c>
      <c r="H1213" s="11" t="s">
        <v>56</v>
      </c>
      <c r="I1213" s="11" t="s">
        <v>16</v>
      </c>
      <c r="J1213" s="11">
        <v>16.5</v>
      </c>
      <c r="K1213" s="11">
        <v>28</v>
      </c>
      <c r="L1213" s="11" t="s">
        <v>1693</v>
      </c>
      <c r="M1213" s="11">
        <f t="shared" si="36"/>
        <v>1072.5</v>
      </c>
      <c r="N1213" s="11">
        <f>IF(Table1[[#This Row],[Transaction Type]]="Sale",ABS(E1213)*K1213,0)</f>
        <v>0</v>
      </c>
      <c r="O1213" s="29">
        <f>IF(Table1[[#This Row],[Transaction Type]]="Purchase",E1213*J1213,0)</f>
        <v>1072.5</v>
      </c>
    </row>
    <row r="1214" spans="1:15" x14ac:dyDescent="0.35">
      <c r="A1214" s="27" t="s">
        <v>1694</v>
      </c>
      <c r="B1214" s="12">
        <v>46028</v>
      </c>
      <c r="C1214" s="11" t="s">
        <v>29</v>
      </c>
      <c r="D1214" s="11" t="s">
        <v>66</v>
      </c>
      <c r="E1214" s="11">
        <v>5</v>
      </c>
      <c r="F1214" s="11">
        <f t="shared" si="37"/>
        <v>5</v>
      </c>
      <c r="G1214" s="11" t="s">
        <v>14</v>
      </c>
      <c r="H1214" s="11" t="s">
        <v>30</v>
      </c>
      <c r="I1214" s="11" t="s">
        <v>16</v>
      </c>
      <c r="J1214" s="11">
        <v>8.8000000000000007</v>
      </c>
      <c r="K1214" s="11">
        <v>17</v>
      </c>
      <c r="L1214" s="11"/>
      <c r="M1214" s="11">
        <f t="shared" si="36"/>
        <v>44</v>
      </c>
      <c r="N1214" s="11">
        <f>IF(Table1[[#This Row],[Transaction Type]]="Sale",ABS(E1214)*K1214,0)</f>
        <v>0</v>
      </c>
      <c r="O1214" s="29">
        <f>IF(Table1[[#This Row],[Transaction Type]]="Purchase",E1214*J1214,0)</f>
        <v>0</v>
      </c>
    </row>
    <row r="1215" spans="1:15" x14ac:dyDescent="0.35">
      <c r="A1215" s="27" t="s">
        <v>1695</v>
      </c>
      <c r="B1215" s="12">
        <v>46028</v>
      </c>
      <c r="C1215" s="11" t="s">
        <v>18</v>
      </c>
      <c r="D1215" s="11" t="s">
        <v>13</v>
      </c>
      <c r="E1215" s="11">
        <v>-15</v>
      </c>
      <c r="F1215" s="11">
        <f t="shared" si="37"/>
        <v>-15</v>
      </c>
      <c r="G1215" s="11" t="s">
        <v>14</v>
      </c>
      <c r="H1215" s="11" t="s">
        <v>20</v>
      </c>
      <c r="I1215" s="11" t="s">
        <v>21</v>
      </c>
      <c r="J1215" s="11">
        <v>2.6</v>
      </c>
      <c r="K1215" s="11">
        <v>5.5</v>
      </c>
      <c r="L1215" s="11"/>
      <c r="M1215" s="11">
        <f t="shared" si="36"/>
        <v>39</v>
      </c>
      <c r="N1215" s="11">
        <f>IF(Table1[[#This Row],[Transaction Type]]="Sale",ABS(E1215)*K1215,0)</f>
        <v>82.5</v>
      </c>
      <c r="O1215" s="29">
        <f>IF(Table1[[#This Row],[Transaction Type]]="Purchase",E1215*J1215,0)</f>
        <v>0</v>
      </c>
    </row>
    <row r="1216" spans="1:15" x14ac:dyDescent="0.35">
      <c r="A1216" s="27" t="s">
        <v>1696</v>
      </c>
      <c r="B1216" s="12">
        <v>46028</v>
      </c>
      <c r="C1216" s="11" t="s">
        <v>23</v>
      </c>
      <c r="D1216" s="11" t="s">
        <v>13</v>
      </c>
      <c r="E1216" s="11">
        <v>-14</v>
      </c>
      <c r="F1216" s="11">
        <f t="shared" si="37"/>
        <v>-14</v>
      </c>
      <c r="G1216" s="11" t="s">
        <v>14</v>
      </c>
      <c r="H1216" s="11" t="s">
        <v>25</v>
      </c>
      <c r="I1216" s="11" t="s">
        <v>26</v>
      </c>
      <c r="J1216" s="11">
        <v>3</v>
      </c>
      <c r="K1216" s="11">
        <v>7</v>
      </c>
      <c r="L1216" s="11"/>
      <c r="M1216" s="11">
        <f t="shared" si="36"/>
        <v>42</v>
      </c>
      <c r="N1216" s="11">
        <f>IF(Table1[[#This Row],[Transaction Type]]="Sale",ABS(E1216)*K1216,0)</f>
        <v>98</v>
      </c>
      <c r="O1216" s="29">
        <f>IF(Table1[[#This Row],[Transaction Type]]="Purchase",E1216*J1216,0)</f>
        <v>0</v>
      </c>
    </row>
    <row r="1217" spans="1:15" x14ac:dyDescent="0.35">
      <c r="A1217" s="27" t="s">
        <v>1697</v>
      </c>
      <c r="B1217" s="12">
        <v>46028</v>
      </c>
      <c r="C1217" s="11" t="s">
        <v>73</v>
      </c>
      <c r="D1217" s="11" t="s">
        <v>13</v>
      </c>
      <c r="E1217" s="11">
        <v>-9</v>
      </c>
      <c r="F1217" s="11">
        <f t="shared" si="37"/>
        <v>-9</v>
      </c>
      <c r="G1217" s="11" t="s">
        <v>14</v>
      </c>
      <c r="H1217" s="11" t="s">
        <v>74</v>
      </c>
      <c r="I1217" s="11" t="s">
        <v>75</v>
      </c>
      <c r="J1217" s="11">
        <v>30</v>
      </c>
      <c r="K1217" s="11">
        <v>48</v>
      </c>
      <c r="L1217" s="11"/>
      <c r="M1217" s="11">
        <f t="shared" si="36"/>
        <v>270</v>
      </c>
      <c r="N1217" s="11">
        <f>IF(Table1[[#This Row],[Transaction Type]]="Sale",ABS(E1217)*K1217,0)</f>
        <v>432</v>
      </c>
      <c r="O1217" s="29">
        <f>IF(Table1[[#This Row],[Transaction Type]]="Purchase",E1217*J1217,0)</f>
        <v>0</v>
      </c>
    </row>
    <row r="1218" spans="1:15" x14ac:dyDescent="0.35">
      <c r="A1218" s="27" t="s">
        <v>1698</v>
      </c>
      <c r="B1218" s="12">
        <v>46029</v>
      </c>
      <c r="C1218" s="11" t="s">
        <v>98</v>
      </c>
      <c r="D1218" s="11" t="s">
        <v>13</v>
      </c>
      <c r="E1218" s="11">
        <v>-13</v>
      </c>
      <c r="F1218" s="11">
        <f t="shared" si="37"/>
        <v>-13</v>
      </c>
      <c r="G1218" s="11" t="s">
        <v>14</v>
      </c>
      <c r="H1218" s="11" t="s">
        <v>30</v>
      </c>
      <c r="I1218" s="11" t="s">
        <v>16</v>
      </c>
      <c r="J1218" s="11">
        <v>16</v>
      </c>
      <c r="K1218" s="11">
        <v>29</v>
      </c>
      <c r="L1218" s="11"/>
      <c r="M1218" s="11">
        <f t="shared" ref="M1218:M1281" si="38">ABS(E1218)*J1218</f>
        <v>208</v>
      </c>
      <c r="N1218" s="11">
        <f>IF(Table1[[#This Row],[Transaction Type]]="Sale",ABS(E1218)*K1218,0)</f>
        <v>377</v>
      </c>
      <c r="O1218" s="29">
        <f>IF(Table1[[#This Row],[Transaction Type]]="Purchase",E1218*J1218,0)</f>
        <v>0</v>
      </c>
    </row>
    <row r="1219" spans="1:15" x14ac:dyDescent="0.35">
      <c r="A1219" s="27" t="s">
        <v>1699</v>
      </c>
      <c r="B1219" s="12">
        <v>46029</v>
      </c>
      <c r="C1219" s="11" t="s">
        <v>48</v>
      </c>
      <c r="D1219" s="11" t="s">
        <v>40</v>
      </c>
      <c r="E1219" s="11">
        <v>49</v>
      </c>
      <c r="F1219" s="11">
        <f t="shared" ref="F1219:F1282" si="39">E1219</f>
        <v>49</v>
      </c>
      <c r="G1219" s="11" t="s">
        <v>19</v>
      </c>
      <c r="H1219" s="11" t="s">
        <v>49</v>
      </c>
      <c r="I1219" s="11" t="s">
        <v>21</v>
      </c>
      <c r="J1219" s="11">
        <v>8.5</v>
      </c>
      <c r="K1219" s="11">
        <v>18</v>
      </c>
      <c r="L1219" s="11" t="s">
        <v>1700</v>
      </c>
      <c r="M1219" s="11">
        <f t="shared" si="38"/>
        <v>416.5</v>
      </c>
      <c r="N1219" s="11">
        <f>IF(Table1[[#This Row],[Transaction Type]]="Sale",ABS(E1219)*K1219,0)</f>
        <v>0</v>
      </c>
      <c r="O1219" s="29">
        <f>IF(Table1[[#This Row],[Transaction Type]]="Purchase",E1219*J1219,0)</f>
        <v>416.5</v>
      </c>
    </row>
    <row r="1220" spans="1:15" x14ac:dyDescent="0.35">
      <c r="A1220" s="27" t="s">
        <v>1701</v>
      </c>
      <c r="B1220" s="12">
        <v>46029</v>
      </c>
      <c r="C1220" s="11" t="s">
        <v>55</v>
      </c>
      <c r="D1220" s="11" t="s">
        <v>13</v>
      </c>
      <c r="E1220" s="11">
        <v>-13</v>
      </c>
      <c r="F1220" s="11">
        <f t="shared" si="39"/>
        <v>-13</v>
      </c>
      <c r="G1220" s="11" t="s">
        <v>14</v>
      </c>
      <c r="H1220" s="11" t="s">
        <v>56</v>
      </c>
      <c r="I1220" s="11" t="s">
        <v>16</v>
      </c>
      <c r="J1220" s="11">
        <v>4.2</v>
      </c>
      <c r="K1220" s="11">
        <v>10</v>
      </c>
      <c r="L1220" s="11"/>
      <c r="M1220" s="11">
        <f t="shared" si="38"/>
        <v>54.6</v>
      </c>
      <c r="N1220" s="11">
        <f>IF(Table1[[#This Row],[Transaction Type]]="Sale",ABS(E1220)*K1220,0)</f>
        <v>130</v>
      </c>
      <c r="O1220" s="29">
        <f>IF(Table1[[#This Row],[Transaction Type]]="Purchase",E1220*J1220,0)</f>
        <v>0</v>
      </c>
    </row>
    <row r="1221" spans="1:15" x14ac:dyDescent="0.35">
      <c r="A1221" s="27" t="s">
        <v>1702</v>
      </c>
      <c r="B1221" s="12">
        <v>46029</v>
      </c>
      <c r="C1221" s="11" t="s">
        <v>55</v>
      </c>
      <c r="D1221" s="11" t="s">
        <v>40</v>
      </c>
      <c r="E1221" s="11">
        <v>104</v>
      </c>
      <c r="F1221" s="11">
        <f t="shared" si="39"/>
        <v>104</v>
      </c>
      <c r="G1221" s="11" t="s">
        <v>19</v>
      </c>
      <c r="H1221" s="11" t="s">
        <v>56</v>
      </c>
      <c r="I1221" s="11" t="s">
        <v>16</v>
      </c>
      <c r="J1221" s="11">
        <v>4.2</v>
      </c>
      <c r="K1221" s="11">
        <v>10</v>
      </c>
      <c r="L1221" s="11" t="s">
        <v>1703</v>
      </c>
      <c r="M1221" s="11">
        <f t="shared" si="38"/>
        <v>436.8</v>
      </c>
      <c r="N1221" s="11">
        <f>IF(Table1[[#This Row],[Transaction Type]]="Sale",ABS(E1221)*K1221,0)</f>
        <v>0</v>
      </c>
      <c r="O1221" s="29">
        <f>IF(Table1[[#This Row],[Transaction Type]]="Purchase",E1221*J1221,0)</f>
        <v>436.8</v>
      </c>
    </row>
    <row r="1222" spans="1:15" x14ac:dyDescent="0.35">
      <c r="A1222" s="27" t="s">
        <v>1704</v>
      </c>
      <c r="B1222" s="12">
        <v>46029</v>
      </c>
      <c r="C1222" s="11" t="s">
        <v>139</v>
      </c>
      <c r="D1222" s="11" t="s">
        <v>13</v>
      </c>
      <c r="E1222" s="11">
        <v>-8</v>
      </c>
      <c r="F1222" s="11">
        <f t="shared" si="39"/>
        <v>-8</v>
      </c>
      <c r="G1222" s="11" t="s">
        <v>24</v>
      </c>
      <c r="H1222" s="11" t="s">
        <v>56</v>
      </c>
      <c r="I1222" s="11" t="s">
        <v>16</v>
      </c>
      <c r="J1222" s="11">
        <v>16.5</v>
      </c>
      <c r="K1222" s="11">
        <v>28</v>
      </c>
      <c r="L1222" s="11"/>
      <c r="M1222" s="11">
        <f t="shared" si="38"/>
        <v>132</v>
      </c>
      <c r="N1222" s="11">
        <f>IF(Table1[[#This Row],[Transaction Type]]="Sale",ABS(E1222)*K1222,0)</f>
        <v>224</v>
      </c>
      <c r="O1222" s="29">
        <f>IF(Table1[[#This Row],[Transaction Type]]="Purchase",E1222*J1222,0)</f>
        <v>0</v>
      </c>
    </row>
    <row r="1223" spans="1:15" x14ac:dyDescent="0.35">
      <c r="A1223" s="27" t="s">
        <v>1705</v>
      </c>
      <c r="B1223" s="12">
        <v>46030</v>
      </c>
      <c r="C1223" s="11" t="s">
        <v>52</v>
      </c>
      <c r="D1223" s="11" t="s">
        <v>13</v>
      </c>
      <c r="E1223" s="11">
        <v>-9</v>
      </c>
      <c r="F1223" s="11">
        <f t="shared" si="39"/>
        <v>-9</v>
      </c>
      <c r="G1223" s="11" t="s">
        <v>14</v>
      </c>
      <c r="H1223" s="11" t="s">
        <v>20</v>
      </c>
      <c r="I1223" s="11" t="s">
        <v>21</v>
      </c>
      <c r="J1223" s="11">
        <v>5.5</v>
      </c>
      <c r="K1223" s="11">
        <v>12</v>
      </c>
      <c r="L1223" s="11"/>
      <c r="M1223" s="11">
        <f t="shared" si="38"/>
        <v>49.5</v>
      </c>
      <c r="N1223" s="11">
        <f>IF(Table1[[#This Row],[Transaction Type]]="Sale",ABS(E1223)*K1223,0)</f>
        <v>108</v>
      </c>
      <c r="O1223" s="29">
        <f>IF(Table1[[#This Row],[Transaction Type]]="Purchase",E1223*J1223,0)</f>
        <v>0</v>
      </c>
    </row>
    <row r="1224" spans="1:15" x14ac:dyDescent="0.35">
      <c r="A1224" s="27" t="s">
        <v>1706</v>
      </c>
      <c r="B1224" s="12">
        <v>46030</v>
      </c>
      <c r="C1224" s="11" t="s">
        <v>52</v>
      </c>
      <c r="D1224" s="11" t="s">
        <v>58</v>
      </c>
      <c r="E1224" s="11">
        <v>-11</v>
      </c>
      <c r="F1224" s="11">
        <f t="shared" si="39"/>
        <v>-11</v>
      </c>
      <c r="G1224" s="11" t="s">
        <v>14</v>
      </c>
      <c r="H1224" s="11" t="s">
        <v>20</v>
      </c>
      <c r="I1224" s="11" t="s">
        <v>21</v>
      </c>
      <c r="J1224" s="11">
        <v>5.5</v>
      </c>
      <c r="K1224" s="11">
        <v>12</v>
      </c>
      <c r="L1224" s="11"/>
      <c r="M1224" s="11">
        <f t="shared" si="38"/>
        <v>60.5</v>
      </c>
      <c r="N1224" s="11">
        <f>IF(Table1[[#This Row],[Transaction Type]]="Sale",ABS(E1224)*K1224,0)</f>
        <v>0</v>
      </c>
      <c r="O1224" s="29">
        <f>IF(Table1[[#This Row],[Transaction Type]]="Purchase",E1224*J1224,0)</f>
        <v>0</v>
      </c>
    </row>
    <row r="1225" spans="1:15" x14ac:dyDescent="0.35">
      <c r="A1225" s="27" t="s">
        <v>1707</v>
      </c>
      <c r="B1225" s="12">
        <v>46030</v>
      </c>
      <c r="C1225" s="11" t="s">
        <v>69</v>
      </c>
      <c r="D1225" s="11" t="s">
        <v>13</v>
      </c>
      <c r="E1225" s="11">
        <v>-9</v>
      </c>
      <c r="F1225" s="11">
        <f t="shared" si="39"/>
        <v>-9</v>
      </c>
      <c r="G1225" s="11" t="s">
        <v>24</v>
      </c>
      <c r="H1225" s="11" t="s">
        <v>70</v>
      </c>
      <c r="I1225" s="11" t="s">
        <v>16</v>
      </c>
      <c r="J1225" s="11">
        <v>23</v>
      </c>
      <c r="K1225" s="11">
        <v>38</v>
      </c>
      <c r="L1225" s="11"/>
      <c r="M1225" s="11">
        <f t="shared" si="38"/>
        <v>207</v>
      </c>
      <c r="N1225" s="11">
        <f>IF(Table1[[#This Row],[Transaction Type]]="Sale",ABS(E1225)*K1225,0)</f>
        <v>342</v>
      </c>
      <c r="O1225" s="29">
        <f>IF(Table1[[#This Row],[Transaction Type]]="Purchase",E1225*J1225,0)</f>
        <v>0</v>
      </c>
    </row>
    <row r="1226" spans="1:15" x14ac:dyDescent="0.35">
      <c r="A1226" s="27" t="s">
        <v>1708</v>
      </c>
      <c r="B1226" s="12">
        <v>46030</v>
      </c>
      <c r="C1226" s="11" t="s">
        <v>136</v>
      </c>
      <c r="D1226" s="11" t="s">
        <v>58</v>
      </c>
      <c r="E1226" s="11">
        <v>20</v>
      </c>
      <c r="F1226" s="11">
        <f t="shared" si="39"/>
        <v>20</v>
      </c>
      <c r="G1226" s="11" t="s">
        <v>24</v>
      </c>
      <c r="H1226" s="11" t="s">
        <v>33</v>
      </c>
      <c r="I1226" s="11" t="s">
        <v>34</v>
      </c>
      <c r="J1226" s="11">
        <v>34</v>
      </c>
      <c r="K1226" s="11">
        <v>55</v>
      </c>
      <c r="L1226" s="11"/>
      <c r="M1226" s="11">
        <f t="shared" si="38"/>
        <v>680</v>
      </c>
      <c r="N1226" s="11">
        <f>IF(Table1[[#This Row],[Transaction Type]]="Sale",ABS(E1226)*K1226,0)</f>
        <v>0</v>
      </c>
      <c r="O1226" s="29">
        <f>IF(Table1[[#This Row],[Transaction Type]]="Purchase",E1226*J1226,0)</f>
        <v>0</v>
      </c>
    </row>
    <row r="1227" spans="1:15" x14ac:dyDescent="0.35">
      <c r="A1227" s="27" t="s">
        <v>1709</v>
      </c>
      <c r="B1227" s="12">
        <v>46030</v>
      </c>
      <c r="C1227" s="11" t="s">
        <v>94</v>
      </c>
      <c r="D1227" s="11" t="s">
        <v>40</v>
      </c>
      <c r="E1227" s="11">
        <v>73</v>
      </c>
      <c r="F1227" s="11">
        <f t="shared" si="39"/>
        <v>73</v>
      </c>
      <c r="G1227" s="11" t="s">
        <v>14</v>
      </c>
      <c r="H1227" s="11" t="s">
        <v>95</v>
      </c>
      <c r="I1227" s="11" t="s">
        <v>16</v>
      </c>
      <c r="J1227" s="11">
        <v>18.5</v>
      </c>
      <c r="K1227" s="11">
        <v>31</v>
      </c>
      <c r="L1227" s="11" t="s">
        <v>1710</v>
      </c>
      <c r="M1227" s="11">
        <f t="shared" si="38"/>
        <v>1350.5</v>
      </c>
      <c r="N1227" s="11">
        <f>IF(Table1[[#This Row],[Transaction Type]]="Sale",ABS(E1227)*K1227,0)</f>
        <v>0</v>
      </c>
      <c r="O1227" s="29">
        <f>IF(Table1[[#This Row],[Transaction Type]]="Purchase",E1227*J1227,0)</f>
        <v>1350.5</v>
      </c>
    </row>
    <row r="1228" spans="1:15" x14ac:dyDescent="0.35">
      <c r="A1228" s="27" t="s">
        <v>1711</v>
      </c>
      <c r="B1228" s="12">
        <v>46031</v>
      </c>
      <c r="C1228" s="11" t="s">
        <v>136</v>
      </c>
      <c r="D1228" s="11" t="s">
        <v>40</v>
      </c>
      <c r="E1228" s="11">
        <v>75</v>
      </c>
      <c r="F1228" s="11">
        <f t="shared" si="39"/>
        <v>75</v>
      </c>
      <c r="G1228" s="11" t="s">
        <v>14</v>
      </c>
      <c r="H1228" s="11" t="s">
        <v>33</v>
      </c>
      <c r="I1228" s="11" t="s">
        <v>34</v>
      </c>
      <c r="J1228" s="11">
        <v>34</v>
      </c>
      <c r="K1228" s="11">
        <v>55</v>
      </c>
      <c r="L1228" s="11" t="s">
        <v>1712</v>
      </c>
      <c r="M1228" s="11">
        <f t="shared" si="38"/>
        <v>2550</v>
      </c>
      <c r="N1228" s="11">
        <f>IF(Table1[[#This Row],[Transaction Type]]="Sale",ABS(E1228)*K1228,0)</f>
        <v>0</v>
      </c>
      <c r="O1228" s="29">
        <f>IF(Table1[[#This Row],[Transaction Type]]="Purchase",E1228*J1228,0)</f>
        <v>2550</v>
      </c>
    </row>
    <row r="1229" spans="1:15" x14ac:dyDescent="0.35">
      <c r="A1229" s="27" t="s">
        <v>1713</v>
      </c>
      <c r="B1229" s="12">
        <v>46031</v>
      </c>
      <c r="C1229" s="11" t="s">
        <v>23</v>
      </c>
      <c r="D1229" s="11" t="s">
        <v>13</v>
      </c>
      <c r="E1229" s="11">
        <v>-12</v>
      </c>
      <c r="F1229" s="11">
        <f t="shared" si="39"/>
        <v>-12</v>
      </c>
      <c r="G1229" s="11" t="s">
        <v>14</v>
      </c>
      <c r="H1229" s="11" t="s">
        <v>25</v>
      </c>
      <c r="I1229" s="11" t="s">
        <v>26</v>
      </c>
      <c r="J1229" s="11">
        <v>3</v>
      </c>
      <c r="K1229" s="11">
        <v>7</v>
      </c>
      <c r="L1229" s="11"/>
      <c r="M1229" s="11">
        <f t="shared" si="38"/>
        <v>36</v>
      </c>
      <c r="N1229" s="11">
        <f>IF(Table1[[#This Row],[Transaction Type]]="Sale",ABS(E1229)*K1229,0)</f>
        <v>84</v>
      </c>
      <c r="O1229" s="29">
        <f>IF(Table1[[#This Row],[Transaction Type]]="Purchase",E1229*J1229,0)</f>
        <v>0</v>
      </c>
    </row>
    <row r="1230" spans="1:15" x14ac:dyDescent="0.35">
      <c r="A1230" s="27" t="s">
        <v>1714</v>
      </c>
      <c r="B1230" s="12">
        <v>46031</v>
      </c>
      <c r="C1230" s="11" t="s">
        <v>87</v>
      </c>
      <c r="D1230" s="11" t="s">
        <v>13</v>
      </c>
      <c r="E1230" s="11">
        <v>-11</v>
      </c>
      <c r="F1230" s="11">
        <f t="shared" si="39"/>
        <v>-11</v>
      </c>
      <c r="G1230" s="11" t="s">
        <v>24</v>
      </c>
      <c r="H1230" s="11" t="s">
        <v>88</v>
      </c>
      <c r="I1230" s="11" t="s">
        <v>16</v>
      </c>
      <c r="J1230" s="11">
        <v>6</v>
      </c>
      <c r="K1230" s="11">
        <v>14</v>
      </c>
      <c r="L1230" s="11"/>
      <c r="M1230" s="11">
        <f t="shared" si="38"/>
        <v>66</v>
      </c>
      <c r="N1230" s="11">
        <f>IF(Table1[[#This Row],[Transaction Type]]="Sale",ABS(E1230)*K1230,0)</f>
        <v>154</v>
      </c>
      <c r="O1230" s="29">
        <f>IF(Table1[[#This Row],[Transaction Type]]="Purchase",E1230*J1230,0)</f>
        <v>0</v>
      </c>
    </row>
    <row r="1231" spans="1:15" x14ac:dyDescent="0.35">
      <c r="A1231" s="27" t="s">
        <v>1715</v>
      </c>
      <c r="B1231" s="12">
        <v>46032</v>
      </c>
      <c r="C1231" s="11" t="s">
        <v>29</v>
      </c>
      <c r="D1231" s="11" t="s">
        <v>13</v>
      </c>
      <c r="E1231" s="11">
        <v>-4</v>
      </c>
      <c r="F1231" s="11">
        <f t="shared" si="39"/>
        <v>-4</v>
      </c>
      <c r="G1231" s="11" t="s">
        <v>24</v>
      </c>
      <c r="H1231" s="11" t="s">
        <v>30</v>
      </c>
      <c r="I1231" s="11" t="s">
        <v>16</v>
      </c>
      <c r="J1231" s="11">
        <v>8.8000000000000007</v>
      </c>
      <c r="K1231" s="11">
        <v>17</v>
      </c>
      <c r="L1231" s="11"/>
      <c r="M1231" s="11">
        <f t="shared" si="38"/>
        <v>35.200000000000003</v>
      </c>
      <c r="N1231" s="11">
        <f>IF(Table1[[#This Row],[Transaction Type]]="Sale",ABS(E1231)*K1231,0)</f>
        <v>68</v>
      </c>
      <c r="O1231" s="29">
        <f>IF(Table1[[#This Row],[Transaction Type]]="Purchase",E1231*J1231,0)</f>
        <v>0</v>
      </c>
    </row>
    <row r="1232" spans="1:15" x14ac:dyDescent="0.35">
      <c r="A1232" s="27" t="s">
        <v>1716</v>
      </c>
      <c r="B1232" s="12">
        <v>46296</v>
      </c>
      <c r="C1232" s="11" t="s">
        <v>141</v>
      </c>
      <c r="D1232" s="11" t="s">
        <v>13</v>
      </c>
      <c r="E1232" s="11">
        <v>-1</v>
      </c>
      <c r="F1232" s="11">
        <f t="shared" si="39"/>
        <v>-1</v>
      </c>
      <c r="G1232" s="11" t="s">
        <v>24</v>
      </c>
      <c r="H1232" s="11" t="s">
        <v>25</v>
      </c>
      <c r="I1232" s="11" t="s">
        <v>26</v>
      </c>
      <c r="J1232" s="11">
        <v>4</v>
      </c>
      <c r="K1232" s="11">
        <v>9</v>
      </c>
      <c r="L1232" s="11"/>
      <c r="M1232" s="11">
        <f t="shared" si="38"/>
        <v>4</v>
      </c>
      <c r="N1232" s="11">
        <f>IF(Table1[[#This Row],[Transaction Type]]="Sale",ABS(E1232)*K1232,0)</f>
        <v>9</v>
      </c>
      <c r="O1232" s="29">
        <f>IF(Table1[[#This Row],[Transaction Type]]="Purchase",E1232*J1232,0)</f>
        <v>0</v>
      </c>
    </row>
    <row r="1233" spans="1:15" x14ac:dyDescent="0.35">
      <c r="A1233" s="27" t="s">
        <v>1717</v>
      </c>
      <c r="B1233" s="12">
        <v>46032</v>
      </c>
      <c r="C1233" s="11" t="s">
        <v>87</v>
      </c>
      <c r="D1233" s="11" t="s">
        <v>13</v>
      </c>
      <c r="E1233" s="11">
        <v>-1</v>
      </c>
      <c r="F1233" s="11">
        <f t="shared" si="39"/>
        <v>-1</v>
      </c>
      <c r="G1233" s="11" t="s">
        <v>14</v>
      </c>
      <c r="H1233" s="11" t="s">
        <v>88</v>
      </c>
      <c r="I1233" s="11" t="s">
        <v>16</v>
      </c>
      <c r="J1233" s="11">
        <v>6</v>
      </c>
      <c r="K1233" s="11">
        <v>14</v>
      </c>
      <c r="L1233" s="11"/>
      <c r="M1233" s="11">
        <f t="shared" si="38"/>
        <v>6</v>
      </c>
      <c r="N1233" s="11">
        <f>IF(Table1[[#This Row],[Transaction Type]]="Sale",ABS(E1233)*K1233,0)</f>
        <v>14</v>
      </c>
      <c r="O1233" s="29">
        <f>IF(Table1[[#This Row],[Transaction Type]]="Purchase",E1233*J1233,0)</f>
        <v>0</v>
      </c>
    </row>
    <row r="1234" spans="1:15" x14ac:dyDescent="0.35">
      <c r="A1234" s="27" t="s">
        <v>1718</v>
      </c>
      <c r="B1234" s="12">
        <v>46033</v>
      </c>
      <c r="C1234" s="11" t="s">
        <v>60</v>
      </c>
      <c r="D1234" s="11" t="s">
        <v>13</v>
      </c>
      <c r="E1234" s="11">
        <v>-8</v>
      </c>
      <c r="F1234" s="11">
        <f t="shared" si="39"/>
        <v>-8</v>
      </c>
      <c r="G1234" s="11" t="s">
        <v>19</v>
      </c>
      <c r="H1234" s="11" t="s">
        <v>61</v>
      </c>
      <c r="I1234" s="11" t="s">
        <v>62</v>
      </c>
      <c r="J1234" s="11">
        <v>3.4</v>
      </c>
      <c r="K1234" s="11">
        <v>8</v>
      </c>
      <c r="L1234" s="11"/>
      <c r="M1234" s="11">
        <f t="shared" si="38"/>
        <v>27.2</v>
      </c>
      <c r="N1234" s="11">
        <f>IF(Table1[[#This Row],[Transaction Type]]="Sale",ABS(E1234)*K1234,0)</f>
        <v>64</v>
      </c>
      <c r="O1234" s="29">
        <f>IF(Table1[[#This Row],[Transaction Type]]="Purchase",E1234*J1234,0)</f>
        <v>0</v>
      </c>
    </row>
    <row r="1235" spans="1:15" x14ac:dyDescent="0.35">
      <c r="A1235" s="27" t="s">
        <v>1719</v>
      </c>
      <c r="B1235" s="12">
        <v>46033</v>
      </c>
      <c r="C1235" s="11" t="s">
        <v>170</v>
      </c>
      <c r="D1235" s="11" t="s">
        <v>13</v>
      </c>
      <c r="E1235" s="11">
        <v>-1</v>
      </c>
      <c r="F1235" s="11">
        <f t="shared" si="39"/>
        <v>-1</v>
      </c>
      <c r="G1235" s="11" t="s">
        <v>24</v>
      </c>
      <c r="H1235" s="11" t="s">
        <v>171</v>
      </c>
      <c r="I1235" s="11" t="s">
        <v>34</v>
      </c>
      <c r="J1235" s="11">
        <v>25</v>
      </c>
      <c r="K1235" s="11">
        <v>45</v>
      </c>
      <c r="L1235" s="11"/>
      <c r="M1235" s="11">
        <f t="shared" si="38"/>
        <v>25</v>
      </c>
      <c r="N1235" s="11">
        <f>IF(Table1[[#This Row],[Transaction Type]]="Sale",ABS(E1235)*K1235,0)</f>
        <v>45</v>
      </c>
      <c r="O1235" s="29">
        <f>IF(Table1[[#This Row],[Transaction Type]]="Purchase",E1235*J1235,0)</f>
        <v>0</v>
      </c>
    </row>
    <row r="1236" spans="1:15" x14ac:dyDescent="0.35">
      <c r="A1236" s="27" t="s">
        <v>1720</v>
      </c>
      <c r="B1236" s="12">
        <v>46033</v>
      </c>
      <c r="C1236" s="11" t="s">
        <v>65</v>
      </c>
      <c r="D1236" s="11" t="s">
        <v>40</v>
      </c>
      <c r="E1236" s="11">
        <v>33</v>
      </c>
      <c r="F1236" s="11">
        <f t="shared" si="39"/>
        <v>33</v>
      </c>
      <c r="G1236" s="11" t="s">
        <v>24</v>
      </c>
      <c r="H1236" s="11" t="s">
        <v>67</v>
      </c>
      <c r="I1236" s="11" t="s">
        <v>21</v>
      </c>
      <c r="J1236" s="11">
        <v>11</v>
      </c>
      <c r="K1236" s="11">
        <v>22</v>
      </c>
      <c r="L1236" s="11" t="s">
        <v>1721</v>
      </c>
      <c r="M1236" s="11">
        <f t="shared" si="38"/>
        <v>363</v>
      </c>
      <c r="N1236" s="11">
        <f>IF(Table1[[#This Row],[Transaction Type]]="Sale",ABS(E1236)*K1236,0)</f>
        <v>0</v>
      </c>
      <c r="O1236" s="29">
        <f>IF(Table1[[#This Row],[Transaction Type]]="Purchase",E1236*J1236,0)</f>
        <v>363</v>
      </c>
    </row>
    <row r="1237" spans="1:15" x14ac:dyDescent="0.35">
      <c r="A1237" s="27" t="s">
        <v>1722</v>
      </c>
      <c r="B1237" s="12">
        <v>46033</v>
      </c>
      <c r="C1237" s="11" t="s">
        <v>36</v>
      </c>
      <c r="D1237" s="11" t="s">
        <v>13</v>
      </c>
      <c r="E1237" s="11">
        <v>-13</v>
      </c>
      <c r="F1237" s="11">
        <f t="shared" si="39"/>
        <v>-13</v>
      </c>
      <c r="G1237" s="11" t="s">
        <v>19</v>
      </c>
      <c r="H1237" s="11" t="s">
        <v>37</v>
      </c>
      <c r="I1237" s="11" t="s">
        <v>16</v>
      </c>
      <c r="J1237" s="11">
        <v>7.2</v>
      </c>
      <c r="K1237" s="11">
        <v>12.5</v>
      </c>
      <c r="L1237" s="11"/>
      <c r="M1237" s="11">
        <f t="shared" si="38"/>
        <v>93.600000000000009</v>
      </c>
      <c r="N1237" s="11">
        <f>IF(Table1[[#This Row],[Transaction Type]]="Sale",ABS(E1237)*K1237,0)</f>
        <v>162.5</v>
      </c>
      <c r="O1237" s="29">
        <f>IF(Table1[[#This Row],[Transaction Type]]="Purchase",E1237*J1237,0)</f>
        <v>0</v>
      </c>
    </row>
    <row r="1238" spans="1:15" x14ac:dyDescent="0.35">
      <c r="A1238" s="27" t="s">
        <v>1723</v>
      </c>
      <c r="B1238" s="12">
        <v>46034</v>
      </c>
      <c r="C1238" s="11" t="s">
        <v>60</v>
      </c>
      <c r="D1238" s="11" t="s">
        <v>66</v>
      </c>
      <c r="E1238" s="11">
        <v>4</v>
      </c>
      <c r="F1238" s="11">
        <f t="shared" si="39"/>
        <v>4</v>
      </c>
      <c r="G1238" s="11" t="s">
        <v>24</v>
      </c>
      <c r="H1238" s="11" t="s">
        <v>61</v>
      </c>
      <c r="I1238" s="11" t="s">
        <v>62</v>
      </c>
      <c r="J1238" s="11">
        <v>3.4</v>
      </c>
      <c r="K1238" s="11">
        <v>8</v>
      </c>
      <c r="L1238" s="11"/>
      <c r="M1238" s="11">
        <f t="shared" si="38"/>
        <v>13.6</v>
      </c>
      <c r="N1238" s="11">
        <f>IF(Table1[[#This Row],[Transaction Type]]="Sale",ABS(E1238)*K1238,0)</f>
        <v>0</v>
      </c>
      <c r="O1238" s="29">
        <f>IF(Table1[[#This Row],[Transaction Type]]="Purchase",E1238*J1238,0)</f>
        <v>0</v>
      </c>
    </row>
    <row r="1239" spans="1:15" x14ac:dyDescent="0.35">
      <c r="A1239" s="27" t="s">
        <v>1724</v>
      </c>
      <c r="B1239" s="12">
        <v>46034</v>
      </c>
      <c r="C1239" s="11" t="s">
        <v>60</v>
      </c>
      <c r="D1239" s="11" t="s">
        <v>40</v>
      </c>
      <c r="E1239" s="11">
        <v>25</v>
      </c>
      <c r="F1239" s="11">
        <f t="shared" si="39"/>
        <v>25</v>
      </c>
      <c r="G1239" s="11" t="s">
        <v>19</v>
      </c>
      <c r="H1239" s="11" t="s">
        <v>61</v>
      </c>
      <c r="I1239" s="11" t="s">
        <v>62</v>
      </c>
      <c r="J1239" s="11">
        <v>3.4</v>
      </c>
      <c r="K1239" s="11">
        <v>8</v>
      </c>
      <c r="L1239" s="11" t="s">
        <v>1725</v>
      </c>
      <c r="M1239" s="11">
        <f t="shared" si="38"/>
        <v>85</v>
      </c>
      <c r="N1239" s="11">
        <f>IF(Table1[[#This Row],[Transaction Type]]="Sale",ABS(E1239)*K1239,0)</f>
        <v>0</v>
      </c>
      <c r="O1239" s="29">
        <f>IF(Table1[[#This Row],[Transaction Type]]="Purchase",E1239*J1239,0)</f>
        <v>85</v>
      </c>
    </row>
    <row r="1240" spans="1:15" x14ac:dyDescent="0.35">
      <c r="A1240" s="27" t="s">
        <v>1726</v>
      </c>
      <c r="B1240" s="12">
        <v>46035</v>
      </c>
      <c r="C1240" s="11" t="s">
        <v>81</v>
      </c>
      <c r="D1240" s="11" t="s">
        <v>13</v>
      </c>
      <c r="E1240" s="11">
        <v>-6</v>
      </c>
      <c r="F1240" s="11">
        <f t="shared" si="39"/>
        <v>-6</v>
      </c>
      <c r="G1240" s="11" t="s">
        <v>14</v>
      </c>
      <c r="H1240" s="11" t="s">
        <v>30</v>
      </c>
      <c r="I1240" s="11" t="s">
        <v>16</v>
      </c>
      <c r="J1240" s="11">
        <v>8</v>
      </c>
      <c r="K1240" s="11">
        <v>15</v>
      </c>
      <c r="L1240" s="11"/>
      <c r="M1240" s="11">
        <f t="shared" si="38"/>
        <v>48</v>
      </c>
      <c r="N1240" s="11">
        <f>IF(Table1[[#This Row],[Transaction Type]]="Sale",ABS(E1240)*K1240,0)</f>
        <v>90</v>
      </c>
      <c r="O1240" s="29">
        <f>IF(Table1[[#This Row],[Transaction Type]]="Purchase",E1240*J1240,0)</f>
        <v>0</v>
      </c>
    </row>
    <row r="1241" spans="1:15" x14ac:dyDescent="0.35">
      <c r="A1241" s="27" t="s">
        <v>1727</v>
      </c>
      <c r="B1241" s="12">
        <v>46035</v>
      </c>
      <c r="C1241" s="11" t="s">
        <v>141</v>
      </c>
      <c r="D1241" s="11" t="s">
        <v>58</v>
      </c>
      <c r="E1241" s="11">
        <v>-8</v>
      </c>
      <c r="F1241" s="11">
        <f t="shared" si="39"/>
        <v>-8</v>
      </c>
      <c r="G1241" s="11" t="s">
        <v>24</v>
      </c>
      <c r="H1241" s="11" t="s">
        <v>25</v>
      </c>
      <c r="I1241" s="11" t="s">
        <v>26</v>
      </c>
      <c r="J1241" s="11">
        <v>4</v>
      </c>
      <c r="K1241" s="11">
        <v>9</v>
      </c>
      <c r="L1241" s="11"/>
      <c r="M1241" s="11">
        <f t="shared" si="38"/>
        <v>32</v>
      </c>
      <c r="N1241" s="11">
        <f>IF(Table1[[#This Row],[Transaction Type]]="Sale",ABS(E1241)*K1241,0)</f>
        <v>0</v>
      </c>
      <c r="O1241" s="29">
        <f>IF(Table1[[#This Row],[Transaction Type]]="Purchase",E1241*J1241,0)</f>
        <v>0</v>
      </c>
    </row>
    <row r="1242" spans="1:15" x14ac:dyDescent="0.35">
      <c r="A1242" s="27" t="s">
        <v>1728</v>
      </c>
      <c r="B1242" s="12">
        <v>46035</v>
      </c>
      <c r="C1242" s="11" t="s">
        <v>60</v>
      </c>
      <c r="D1242" s="11" t="s">
        <v>13</v>
      </c>
      <c r="E1242" s="11">
        <v>-8</v>
      </c>
      <c r="F1242" s="11">
        <f t="shared" si="39"/>
        <v>-8</v>
      </c>
      <c r="G1242" s="11" t="s">
        <v>24</v>
      </c>
      <c r="H1242" s="11" t="s">
        <v>61</v>
      </c>
      <c r="I1242" s="11" t="s">
        <v>62</v>
      </c>
      <c r="J1242" s="11">
        <v>3.4</v>
      </c>
      <c r="K1242" s="11">
        <v>8</v>
      </c>
      <c r="L1242" s="11"/>
      <c r="M1242" s="11">
        <f t="shared" si="38"/>
        <v>27.2</v>
      </c>
      <c r="N1242" s="11">
        <f>IF(Table1[[#This Row],[Transaction Type]]="Sale",ABS(E1242)*K1242,0)</f>
        <v>64</v>
      </c>
      <c r="O1242" s="29">
        <f>IF(Table1[[#This Row],[Transaction Type]]="Purchase",E1242*J1242,0)</f>
        <v>0</v>
      </c>
    </row>
    <row r="1243" spans="1:15" x14ac:dyDescent="0.35">
      <c r="A1243" s="27" t="s">
        <v>1729</v>
      </c>
      <c r="B1243" s="12">
        <v>46036</v>
      </c>
      <c r="C1243" s="11" t="s">
        <v>18</v>
      </c>
      <c r="D1243" s="11" t="s">
        <v>13</v>
      </c>
      <c r="E1243" s="11">
        <v>-5</v>
      </c>
      <c r="F1243" s="11">
        <f t="shared" si="39"/>
        <v>-5</v>
      </c>
      <c r="G1243" s="11" t="s">
        <v>24</v>
      </c>
      <c r="H1243" s="11" t="s">
        <v>20</v>
      </c>
      <c r="I1243" s="11" t="s">
        <v>21</v>
      </c>
      <c r="J1243" s="11">
        <v>2.6</v>
      </c>
      <c r="K1243" s="11">
        <v>5.5</v>
      </c>
      <c r="L1243" s="11"/>
      <c r="M1243" s="11">
        <f t="shared" si="38"/>
        <v>13</v>
      </c>
      <c r="N1243" s="11">
        <f>IF(Table1[[#This Row],[Transaction Type]]="Sale",ABS(E1243)*K1243,0)</f>
        <v>27.5</v>
      </c>
      <c r="O1243" s="29">
        <f>IF(Table1[[#This Row],[Transaction Type]]="Purchase",E1243*J1243,0)</f>
        <v>0</v>
      </c>
    </row>
    <row r="1244" spans="1:15" x14ac:dyDescent="0.35">
      <c r="A1244" s="27" t="s">
        <v>1730</v>
      </c>
      <c r="B1244" s="12">
        <v>46036</v>
      </c>
      <c r="C1244" s="11" t="s">
        <v>94</v>
      </c>
      <c r="D1244" s="11" t="s">
        <v>13</v>
      </c>
      <c r="E1244" s="11">
        <v>-15</v>
      </c>
      <c r="F1244" s="11">
        <f t="shared" si="39"/>
        <v>-15</v>
      </c>
      <c r="G1244" s="11" t="s">
        <v>14</v>
      </c>
      <c r="H1244" s="11" t="s">
        <v>95</v>
      </c>
      <c r="I1244" s="11" t="s">
        <v>16</v>
      </c>
      <c r="J1244" s="11">
        <v>18.5</v>
      </c>
      <c r="K1244" s="11">
        <v>31</v>
      </c>
      <c r="L1244" s="11"/>
      <c r="M1244" s="11">
        <f t="shared" si="38"/>
        <v>277.5</v>
      </c>
      <c r="N1244" s="11">
        <f>IF(Table1[[#This Row],[Transaction Type]]="Sale",ABS(E1244)*K1244,0)</f>
        <v>465</v>
      </c>
      <c r="O1244" s="29">
        <f>IF(Table1[[#This Row],[Transaction Type]]="Purchase",E1244*J1244,0)</f>
        <v>0</v>
      </c>
    </row>
    <row r="1245" spans="1:15" x14ac:dyDescent="0.35">
      <c r="A1245" s="27" t="s">
        <v>1731</v>
      </c>
      <c r="B1245" s="12">
        <v>46036</v>
      </c>
      <c r="C1245" s="11" t="s">
        <v>136</v>
      </c>
      <c r="D1245" s="11" t="s">
        <v>40</v>
      </c>
      <c r="E1245" s="11">
        <v>89</v>
      </c>
      <c r="F1245" s="11">
        <f t="shared" si="39"/>
        <v>89</v>
      </c>
      <c r="G1245" s="11" t="s">
        <v>24</v>
      </c>
      <c r="H1245" s="11" t="s">
        <v>33</v>
      </c>
      <c r="I1245" s="11" t="s">
        <v>34</v>
      </c>
      <c r="J1245" s="11">
        <v>34</v>
      </c>
      <c r="K1245" s="11">
        <v>55</v>
      </c>
      <c r="L1245" s="11" t="s">
        <v>1732</v>
      </c>
      <c r="M1245" s="11">
        <f t="shared" si="38"/>
        <v>3026</v>
      </c>
      <c r="N1245" s="11">
        <f>IF(Table1[[#This Row],[Transaction Type]]="Sale",ABS(E1245)*K1245,0)</f>
        <v>0</v>
      </c>
      <c r="O1245" s="29">
        <f>IF(Table1[[#This Row],[Transaction Type]]="Purchase",E1245*J1245,0)</f>
        <v>3026</v>
      </c>
    </row>
    <row r="1246" spans="1:15" x14ac:dyDescent="0.35">
      <c r="A1246" s="27" t="s">
        <v>1733</v>
      </c>
      <c r="B1246" s="12">
        <v>46036</v>
      </c>
      <c r="C1246" s="11" t="s">
        <v>77</v>
      </c>
      <c r="D1246" s="11" t="s">
        <v>40</v>
      </c>
      <c r="E1246" s="11">
        <v>60</v>
      </c>
      <c r="F1246" s="11">
        <f t="shared" si="39"/>
        <v>60</v>
      </c>
      <c r="G1246" s="11" t="s">
        <v>19</v>
      </c>
      <c r="H1246" s="11" t="s">
        <v>78</v>
      </c>
      <c r="I1246" s="11" t="s">
        <v>16</v>
      </c>
      <c r="J1246" s="11">
        <v>25</v>
      </c>
      <c r="K1246" s="11">
        <v>42</v>
      </c>
      <c r="L1246" s="11" t="s">
        <v>1734</v>
      </c>
      <c r="M1246" s="11">
        <f t="shared" si="38"/>
        <v>1500</v>
      </c>
      <c r="N1246" s="11">
        <f>IF(Table1[[#This Row],[Transaction Type]]="Sale",ABS(E1246)*K1246,0)</f>
        <v>0</v>
      </c>
      <c r="O1246" s="29">
        <f>IF(Table1[[#This Row],[Transaction Type]]="Purchase",E1246*J1246,0)</f>
        <v>1500</v>
      </c>
    </row>
    <row r="1247" spans="1:15" x14ac:dyDescent="0.35">
      <c r="A1247" s="27" t="s">
        <v>1735</v>
      </c>
      <c r="B1247" s="12">
        <v>46036</v>
      </c>
      <c r="C1247" s="11" t="s">
        <v>18</v>
      </c>
      <c r="D1247" s="11" t="s">
        <v>13</v>
      </c>
      <c r="E1247" s="11">
        <v>-4</v>
      </c>
      <c r="F1247" s="11">
        <f t="shared" si="39"/>
        <v>-4</v>
      </c>
      <c r="G1247" s="11" t="s">
        <v>24</v>
      </c>
      <c r="H1247" s="11" t="s">
        <v>20</v>
      </c>
      <c r="I1247" s="11" t="s">
        <v>21</v>
      </c>
      <c r="J1247" s="11">
        <v>2.6</v>
      </c>
      <c r="K1247" s="11">
        <v>5.5</v>
      </c>
      <c r="L1247" s="11"/>
      <c r="M1247" s="11">
        <f t="shared" si="38"/>
        <v>10.4</v>
      </c>
      <c r="N1247" s="11">
        <f>IF(Table1[[#This Row],[Transaction Type]]="Sale",ABS(E1247)*K1247,0)</f>
        <v>22</v>
      </c>
      <c r="O1247" s="29">
        <f>IF(Table1[[#This Row],[Transaction Type]]="Purchase",E1247*J1247,0)</f>
        <v>0</v>
      </c>
    </row>
    <row r="1248" spans="1:15" x14ac:dyDescent="0.35">
      <c r="A1248" s="27" t="s">
        <v>1736</v>
      </c>
      <c r="B1248" s="12">
        <v>46037</v>
      </c>
      <c r="C1248" s="11" t="s">
        <v>12</v>
      </c>
      <c r="D1248" s="11" t="s">
        <v>40</v>
      </c>
      <c r="E1248" s="11">
        <v>71</v>
      </c>
      <c r="F1248" s="11">
        <f t="shared" si="39"/>
        <v>71</v>
      </c>
      <c r="G1248" s="11" t="s">
        <v>14</v>
      </c>
      <c r="H1248" s="11" t="s">
        <v>15</v>
      </c>
      <c r="I1248" s="11" t="s">
        <v>16</v>
      </c>
      <c r="J1248" s="11">
        <v>13.5</v>
      </c>
      <c r="K1248" s="11">
        <v>24</v>
      </c>
      <c r="L1248" s="11" t="s">
        <v>1737</v>
      </c>
      <c r="M1248" s="11">
        <f t="shared" si="38"/>
        <v>958.5</v>
      </c>
      <c r="N1248" s="11">
        <f>IF(Table1[[#This Row],[Transaction Type]]="Sale",ABS(E1248)*K1248,0)</f>
        <v>0</v>
      </c>
      <c r="O1248" s="29">
        <f>IF(Table1[[#This Row],[Transaction Type]]="Purchase",E1248*J1248,0)</f>
        <v>958.5</v>
      </c>
    </row>
    <row r="1249" spans="1:15" x14ac:dyDescent="0.35">
      <c r="A1249" s="27" t="s">
        <v>1738</v>
      </c>
      <c r="B1249" s="12">
        <v>46037</v>
      </c>
      <c r="C1249" s="11" t="s">
        <v>23</v>
      </c>
      <c r="D1249" s="11" t="s">
        <v>13</v>
      </c>
      <c r="E1249" s="11">
        <v>-15</v>
      </c>
      <c r="F1249" s="11">
        <f t="shared" si="39"/>
        <v>-15</v>
      </c>
      <c r="G1249" s="11" t="s">
        <v>14</v>
      </c>
      <c r="H1249" s="11" t="s">
        <v>25</v>
      </c>
      <c r="I1249" s="11" t="s">
        <v>26</v>
      </c>
      <c r="J1249" s="11">
        <v>3</v>
      </c>
      <c r="K1249" s="11">
        <v>7</v>
      </c>
      <c r="L1249" s="11"/>
      <c r="M1249" s="11">
        <f t="shared" si="38"/>
        <v>45</v>
      </c>
      <c r="N1249" s="11">
        <f>IF(Table1[[#This Row],[Transaction Type]]="Sale",ABS(E1249)*K1249,0)</f>
        <v>105</v>
      </c>
      <c r="O1249" s="29">
        <f>IF(Table1[[#This Row],[Transaction Type]]="Purchase",E1249*J1249,0)</f>
        <v>0</v>
      </c>
    </row>
    <row r="1250" spans="1:15" x14ac:dyDescent="0.35">
      <c r="A1250" s="27" t="s">
        <v>1739</v>
      </c>
      <c r="B1250" s="12">
        <v>46037</v>
      </c>
      <c r="C1250" s="11" t="s">
        <v>139</v>
      </c>
      <c r="D1250" s="11" t="s">
        <v>40</v>
      </c>
      <c r="E1250" s="11">
        <v>45</v>
      </c>
      <c r="F1250" s="11">
        <f t="shared" si="39"/>
        <v>45</v>
      </c>
      <c r="G1250" s="11" t="s">
        <v>19</v>
      </c>
      <c r="H1250" s="11" t="s">
        <v>56</v>
      </c>
      <c r="I1250" s="11" t="s">
        <v>16</v>
      </c>
      <c r="J1250" s="11">
        <v>16.5</v>
      </c>
      <c r="K1250" s="11">
        <v>28</v>
      </c>
      <c r="L1250" s="11" t="s">
        <v>1740</v>
      </c>
      <c r="M1250" s="11">
        <f t="shared" si="38"/>
        <v>742.5</v>
      </c>
      <c r="N1250" s="11">
        <f>IF(Table1[[#This Row],[Transaction Type]]="Sale",ABS(E1250)*K1250,0)</f>
        <v>0</v>
      </c>
      <c r="O1250" s="29">
        <f>IF(Table1[[#This Row],[Transaction Type]]="Purchase",E1250*J1250,0)</f>
        <v>742.5</v>
      </c>
    </row>
    <row r="1251" spans="1:15" x14ac:dyDescent="0.35">
      <c r="A1251" s="27" t="s">
        <v>1741</v>
      </c>
      <c r="B1251" s="12">
        <v>46037</v>
      </c>
      <c r="C1251" s="11" t="s">
        <v>12</v>
      </c>
      <c r="D1251" s="11" t="s">
        <v>40</v>
      </c>
      <c r="E1251" s="11">
        <v>92</v>
      </c>
      <c r="F1251" s="11">
        <f t="shared" si="39"/>
        <v>92</v>
      </c>
      <c r="G1251" s="11" t="s">
        <v>19</v>
      </c>
      <c r="H1251" s="11" t="s">
        <v>15</v>
      </c>
      <c r="I1251" s="11" t="s">
        <v>16</v>
      </c>
      <c r="J1251" s="11">
        <v>13.5</v>
      </c>
      <c r="K1251" s="11">
        <v>24</v>
      </c>
      <c r="L1251" s="11" t="s">
        <v>1742</v>
      </c>
      <c r="M1251" s="11">
        <f t="shared" si="38"/>
        <v>1242</v>
      </c>
      <c r="N1251" s="11">
        <f>IF(Table1[[#This Row],[Transaction Type]]="Sale",ABS(E1251)*K1251,0)</f>
        <v>0</v>
      </c>
      <c r="O1251" s="29">
        <f>IF(Table1[[#This Row],[Transaction Type]]="Purchase",E1251*J1251,0)</f>
        <v>1242</v>
      </c>
    </row>
    <row r="1252" spans="1:15" x14ac:dyDescent="0.35">
      <c r="A1252" s="27" t="s">
        <v>1743</v>
      </c>
      <c r="B1252" s="12">
        <v>46037</v>
      </c>
      <c r="C1252" s="11" t="s">
        <v>139</v>
      </c>
      <c r="D1252" s="11" t="s">
        <v>13</v>
      </c>
      <c r="E1252" s="11">
        <v>-2</v>
      </c>
      <c r="F1252" s="11">
        <f t="shared" si="39"/>
        <v>-2</v>
      </c>
      <c r="G1252" s="11" t="s">
        <v>19</v>
      </c>
      <c r="H1252" s="11" t="s">
        <v>56</v>
      </c>
      <c r="I1252" s="11" t="s">
        <v>16</v>
      </c>
      <c r="J1252" s="11">
        <v>16.5</v>
      </c>
      <c r="K1252" s="11">
        <v>28</v>
      </c>
      <c r="L1252" s="11"/>
      <c r="M1252" s="11">
        <f t="shared" si="38"/>
        <v>33</v>
      </c>
      <c r="N1252" s="11">
        <f>IF(Table1[[#This Row],[Transaction Type]]="Sale",ABS(E1252)*K1252,0)</f>
        <v>56</v>
      </c>
      <c r="O1252" s="29">
        <f>IF(Table1[[#This Row],[Transaction Type]]="Purchase",E1252*J1252,0)</f>
        <v>0</v>
      </c>
    </row>
    <row r="1253" spans="1:15" x14ac:dyDescent="0.35">
      <c r="A1253" s="27" t="s">
        <v>1744</v>
      </c>
      <c r="B1253" s="12">
        <v>46038</v>
      </c>
      <c r="C1253" s="11" t="s">
        <v>69</v>
      </c>
      <c r="D1253" s="11" t="s">
        <v>40</v>
      </c>
      <c r="E1253" s="11">
        <v>101</v>
      </c>
      <c r="F1253" s="11">
        <f t="shared" si="39"/>
        <v>101</v>
      </c>
      <c r="G1253" s="11" t="s">
        <v>14</v>
      </c>
      <c r="H1253" s="11" t="s">
        <v>70</v>
      </c>
      <c r="I1253" s="11" t="s">
        <v>16</v>
      </c>
      <c r="J1253" s="11">
        <v>23</v>
      </c>
      <c r="K1253" s="11">
        <v>38</v>
      </c>
      <c r="L1253" s="11" t="s">
        <v>1745</v>
      </c>
      <c r="M1253" s="11">
        <f t="shared" si="38"/>
        <v>2323</v>
      </c>
      <c r="N1253" s="11">
        <f>IF(Table1[[#This Row],[Transaction Type]]="Sale",ABS(E1253)*K1253,0)</f>
        <v>0</v>
      </c>
      <c r="O1253" s="29">
        <f>IF(Table1[[#This Row],[Transaction Type]]="Purchase",E1253*J1253,0)</f>
        <v>2323</v>
      </c>
    </row>
    <row r="1254" spans="1:15" x14ac:dyDescent="0.35">
      <c r="A1254" s="27" t="s">
        <v>1746</v>
      </c>
      <c r="B1254" s="12">
        <v>46038</v>
      </c>
      <c r="C1254" s="11" t="s">
        <v>23</v>
      </c>
      <c r="D1254" s="11" t="s">
        <v>40</v>
      </c>
      <c r="E1254" s="11">
        <v>46</v>
      </c>
      <c r="F1254" s="11">
        <f t="shared" si="39"/>
        <v>46</v>
      </c>
      <c r="G1254" s="11" t="s">
        <v>24</v>
      </c>
      <c r="H1254" s="11" t="s">
        <v>25</v>
      </c>
      <c r="I1254" s="11" t="s">
        <v>26</v>
      </c>
      <c r="J1254" s="11">
        <v>3</v>
      </c>
      <c r="K1254" s="11">
        <v>7</v>
      </c>
      <c r="L1254" s="11" t="s">
        <v>1747</v>
      </c>
      <c r="M1254" s="11">
        <f t="shared" si="38"/>
        <v>138</v>
      </c>
      <c r="N1254" s="11">
        <f>IF(Table1[[#This Row],[Transaction Type]]="Sale",ABS(E1254)*K1254,0)</f>
        <v>0</v>
      </c>
      <c r="O1254" s="29">
        <f>IF(Table1[[#This Row],[Transaction Type]]="Purchase",E1254*J1254,0)</f>
        <v>138</v>
      </c>
    </row>
    <row r="1255" spans="1:15" x14ac:dyDescent="0.35">
      <c r="A1255" s="27" t="s">
        <v>1748</v>
      </c>
      <c r="B1255" s="12">
        <v>46039</v>
      </c>
      <c r="C1255" s="11" t="s">
        <v>12</v>
      </c>
      <c r="D1255" s="11" t="s">
        <v>13</v>
      </c>
      <c r="E1255" s="11">
        <v>-12</v>
      </c>
      <c r="F1255" s="11">
        <f t="shared" si="39"/>
        <v>-12</v>
      </c>
      <c r="G1255" s="11" t="s">
        <v>24</v>
      </c>
      <c r="H1255" s="11" t="s">
        <v>15</v>
      </c>
      <c r="I1255" s="11" t="s">
        <v>16</v>
      </c>
      <c r="J1255" s="11">
        <v>13.5</v>
      </c>
      <c r="K1255" s="11">
        <v>24</v>
      </c>
      <c r="L1255" s="11"/>
      <c r="M1255" s="11">
        <f t="shared" si="38"/>
        <v>162</v>
      </c>
      <c r="N1255" s="11">
        <f>IF(Table1[[#This Row],[Transaction Type]]="Sale",ABS(E1255)*K1255,0)</f>
        <v>288</v>
      </c>
      <c r="O1255" s="29">
        <f>IF(Table1[[#This Row],[Transaction Type]]="Purchase",E1255*J1255,0)</f>
        <v>0</v>
      </c>
    </row>
    <row r="1256" spans="1:15" x14ac:dyDescent="0.35">
      <c r="A1256" s="27" t="s">
        <v>1749</v>
      </c>
      <c r="B1256" s="12">
        <v>46039</v>
      </c>
      <c r="C1256" s="11" t="s">
        <v>36</v>
      </c>
      <c r="D1256" s="11" t="s">
        <v>13</v>
      </c>
      <c r="E1256" s="11">
        <v>-14</v>
      </c>
      <c r="F1256" s="11">
        <f t="shared" si="39"/>
        <v>-14</v>
      </c>
      <c r="G1256" s="11" t="s">
        <v>14</v>
      </c>
      <c r="H1256" s="11" t="s">
        <v>37</v>
      </c>
      <c r="I1256" s="11" t="s">
        <v>16</v>
      </c>
      <c r="J1256" s="11">
        <v>7.2</v>
      </c>
      <c r="K1256" s="11">
        <v>12.5</v>
      </c>
      <c r="L1256" s="11"/>
      <c r="M1256" s="11">
        <f t="shared" si="38"/>
        <v>100.8</v>
      </c>
      <c r="N1256" s="11">
        <f>IF(Table1[[#This Row],[Transaction Type]]="Sale",ABS(E1256)*K1256,0)</f>
        <v>175</v>
      </c>
      <c r="O1256" s="29">
        <f>IF(Table1[[#This Row],[Transaction Type]]="Purchase",E1256*J1256,0)</f>
        <v>0</v>
      </c>
    </row>
    <row r="1257" spans="1:15" x14ac:dyDescent="0.35">
      <c r="A1257" s="27" t="s">
        <v>1750</v>
      </c>
      <c r="B1257" s="12">
        <v>46039</v>
      </c>
      <c r="C1257" s="11" t="s">
        <v>141</v>
      </c>
      <c r="D1257" s="11" t="s">
        <v>58</v>
      </c>
      <c r="E1257" s="11">
        <v>-17</v>
      </c>
      <c r="F1257" s="11">
        <f t="shared" si="39"/>
        <v>-17</v>
      </c>
      <c r="G1257" s="11" t="s">
        <v>24</v>
      </c>
      <c r="H1257" s="11" t="s">
        <v>25</v>
      </c>
      <c r="I1257" s="11" t="s">
        <v>26</v>
      </c>
      <c r="J1257" s="11">
        <v>4</v>
      </c>
      <c r="K1257" s="11">
        <v>9</v>
      </c>
      <c r="L1257" s="11"/>
      <c r="M1257" s="11">
        <f t="shared" si="38"/>
        <v>68</v>
      </c>
      <c r="N1257" s="11">
        <f>IF(Table1[[#This Row],[Transaction Type]]="Sale",ABS(E1257)*K1257,0)</f>
        <v>0</v>
      </c>
      <c r="O1257" s="29">
        <f>IF(Table1[[#This Row],[Transaction Type]]="Purchase",E1257*J1257,0)</f>
        <v>0</v>
      </c>
    </row>
    <row r="1258" spans="1:15" x14ac:dyDescent="0.35">
      <c r="A1258" s="27" t="s">
        <v>1751</v>
      </c>
      <c r="B1258" s="12">
        <v>46039</v>
      </c>
      <c r="C1258" s="11" t="s">
        <v>139</v>
      </c>
      <c r="D1258" s="11" t="s">
        <v>13</v>
      </c>
      <c r="E1258" s="11">
        <v>-13</v>
      </c>
      <c r="F1258" s="11">
        <f t="shared" si="39"/>
        <v>-13</v>
      </c>
      <c r="G1258" s="11" t="s">
        <v>24</v>
      </c>
      <c r="H1258" s="11" t="s">
        <v>56</v>
      </c>
      <c r="I1258" s="11" t="s">
        <v>16</v>
      </c>
      <c r="J1258" s="11">
        <v>16.5</v>
      </c>
      <c r="K1258" s="11">
        <v>28</v>
      </c>
      <c r="L1258" s="11"/>
      <c r="M1258" s="11">
        <f t="shared" si="38"/>
        <v>214.5</v>
      </c>
      <c r="N1258" s="11">
        <f>IF(Table1[[#This Row],[Transaction Type]]="Sale",ABS(E1258)*K1258,0)</f>
        <v>364</v>
      </c>
      <c r="O1258" s="29">
        <f>IF(Table1[[#This Row],[Transaction Type]]="Purchase",E1258*J1258,0)</f>
        <v>0</v>
      </c>
    </row>
    <row r="1259" spans="1:15" x14ac:dyDescent="0.35">
      <c r="A1259" s="27" t="s">
        <v>1752</v>
      </c>
      <c r="B1259" s="12">
        <v>46040</v>
      </c>
      <c r="C1259" s="11" t="s">
        <v>18</v>
      </c>
      <c r="D1259" s="11" t="s">
        <v>40</v>
      </c>
      <c r="E1259" s="11">
        <v>106</v>
      </c>
      <c r="F1259" s="11">
        <f t="shared" si="39"/>
        <v>106</v>
      </c>
      <c r="G1259" s="11" t="s">
        <v>2522</v>
      </c>
      <c r="H1259" s="11" t="s">
        <v>20</v>
      </c>
      <c r="I1259" s="11" t="s">
        <v>21</v>
      </c>
      <c r="J1259" s="11">
        <v>2.6</v>
      </c>
      <c r="K1259" s="11">
        <v>5.5</v>
      </c>
      <c r="L1259" s="11" t="s">
        <v>1753</v>
      </c>
      <c r="M1259" s="11">
        <f t="shared" si="38"/>
        <v>275.60000000000002</v>
      </c>
      <c r="N1259" s="11">
        <f>IF(Table1[[#This Row],[Transaction Type]]="Sale",ABS(E1259)*K1259,0)</f>
        <v>0</v>
      </c>
      <c r="O1259" s="29">
        <f>IF(Table1[[#This Row],[Transaction Type]]="Purchase",E1259*J1259,0)</f>
        <v>275.60000000000002</v>
      </c>
    </row>
    <row r="1260" spans="1:15" x14ac:dyDescent="0.35">
      <c r="A1260" s="27" t="s">
        <v>1754</v>
      </c>
      <c r="B1260" s="12">
        <v>46040</v>
      </c>
      <c r="C1260" s="11" t="s">
        <v>48</v>
      </c>
      <c r="D1260" s="11" t="s">
        <v>40</v>
      </c>
      <c r="E1260" s="11">
        <v>113</v>
      </c>
      <c r="F1260" s="11">
        <f t="shared" si="39"/>
        <v>113</v>
      </c>
      <c r="G1260" s="11" t="s">
        <v>24</v>
      </c>
      <c r="H1260" s="11" t="s">
        <v>49</v>
      </c>
      <c r="I1260" s="11" t="s">
        <v>21</v>
      </c>
      <c r="J1260" s="11">
        <v>8.5</v>
      </c>
      <c r="K1260" s="11">
        <v>18</v>
      </c>
      <c r="L1260" s="11" t="s">
        <v>1755</v>
      </c>
      <c r="M1260" s="11">
        <f t="shared" si="38"/>
        <v>960.5</v>
      </c>
      <c r="N1260" s="11">
        <f>IF(Table1[[#This Row],[Transaction Type]]="Sale",ABS(E1260)*K1260,0)</f>
        <v>0</v>
      </c>
      <c r="O1260" s="29">
        <f>IF(Table1[[#This Row],[Transaction Type]]="Purchase",E1260*J1260,0)</f>
        <v>960.5</v>
      </c>
    </row>
    <row r="1261" spans="1:15" x14ac:dyDescent="0.35">
      <c r="A1261" s="27" t="s">
        <v>1756</v>
      </c>
      <c r="B1261" s="12">
        <v>46041</v>
      </c>
      <c r="C1261" s="11" t="s">
        <v>69</v>
      </c>
      <c r="D1261" s="11" t="s">
        <v>13</v>
      </c>
      <c r="E1261" s="11">
        <v>-6</v>
      </c>
      <c r="F1261" s="11">
        <f t="shared" si="39"/>
        <v>-6</v>
      </c>
      <c r="G1261" s="11" t="s">
        <v>14</v>
      </c>
      <c r="H1261" s="11" t="s">
        <v>70</v>
      </c>
      <c r="I1261" s="11" t="s">
        <v>16</v>
      </c>
      <c r="J1261" s="11">
        <v>23</v>
      </c>
      <c r="K1261" s="11">
        <v>38</v>
      </c>
      <c r="L1261" s="11"/>
      <c r="M1261" s="11">
        <f t="shared" si="38"/>
        <v>138</v>
      </c>
      <c r="N1261" s="11">
        <f>IF(Table1[[#This Row],[Transaction Type]]="Sale",ABS(E1261)*K1261,0)</f>
        <v>228</v>
      </c>
      <c r="O1261" s="29">
        <f>IF(Table1[[#This Row],[Transaction Type]]="Purchase",E1261*J1261,0)</f>
        <v>0</v>
      </c>
    </row>
    <row r="1262" spans="1:15" x14ac:dyDescent="0.35">
      <c r="A1262" s="27" t="s">
        <v>1757</v>
      </c>
      <c r="B1262" s="12">
        <v>46041</v>
      </c>
      <c r="C1262" s="11" t="s">
        <v>139</v>
      </c>
      <c r="D1262" s="11" t="s">
        <v>58</v>
      </c>
      <c r="E1262" s="11">
        <v>5</v>
      </c>
      <c r="F1262" s="11">
        <f t="shared" si="39"/>
        <v>5</v>
      </c>
      <c r="G1262" s="11" t="s">
        <v>24</v>
      </c>
      <c r="H1262" s="11" t="s">
        <v>56</v>
      </c>
      <c r="I1262" s="11" t="s">
        <v>16</v>
      </c>
      <c r="J1262" s="11">
        <v>16.5</v>
      </c>
      <c r="K1262" s="11">
        <v>28</v>
      </c>
      <c r="L1262" s="11"/>
      <c r="M1262" s="11">
        <f t="shared" si="38"/>
        <v>82.5</v>
      </c>
      <c r="N1262" s="11">
        <f>IF(Table1[[#This Row],[Transaction Type]]="Sale",ABS(E1262)*K1262,0)</f>
        <v>0</v>
      </c>
      <c r="O1262" s="29">
        <f>IF(Table1[[#This Row],[Transaction Type]]="Purchase",E1262*J1262,0)</f>
        <v>0</v>
      </c>
    </row>
    <row r="1263" spans="1:15" x14ac:dyDescent="0.35">
      <c r="A1263" s="27" t="s">
        <v>1758</v>
      </c>
      <c r="B1263" s="12">
        <v>46041</v>
      </c>
      <c r="C1263" s="11" t="s">
        <v>141</v>
      </c>
      <c r="D1263" s="11" t="s">
        <v>40</v>
      </c>
      <c r="E1263" s="11">
        <v>66</v>
      </c>
      <c r="F1263" s="11">
        <f t="shared" si="39"/>
        <v>66</v>
      </c>
      <c r="G1263" s="11" t="s">
        <v>14</v>
      </c>
      <c r="H1263" s="11" t="s">
        <v>25</v>
      </c>
      <c r="I1263" s="11" t="s">
        <v>26</v>
      </c>
      <c r="J1263" s="11">
        <v>4</v>
      </c>
      <c r="K1263" s="11">
        <v>9</v>
      </c>
      <c r="L1263" s="11" t="s">
        <v>1759</v>
      </c>
      <c r="M1263" s="11">
        <f t="shared" si="38"/>
        <v>264</v>
      </c>
      <c r="N1263" s="11">
        <f>IF(Table1[[#This Row],[Transaction Type]]="Sale",ABS(E1263)*K1263,0)</f>
        <v>0</v>
      </c>
      <c r="O1263" s="29">
        <f>IF(Table1[[#This Row],[Transaction Type]]="Purchase",E1263*J1263,0)</f>
        <v>264</v>
      </c>
    </row>
    <row r="1264" spans="1:15" x14ac:dyDescent="0.35">
      <c r="A1264" s="27" t="s">
        <v>1760</v>
      </c>
      <c r="B1264" s="12">
        <v>46041</v>
      </c>
      <c r="C1264" s="11" t="s">
        <v>55</v>
      </c>
      <c r="D1264" s="11" t="s">
        <v>13</v>
      </c>
      <c r="E1264" s="11">
        <v>-4</v>
      </c>
      <c r="F1264" s="11">
        <f t="shared" si="39"/>
        <v>-4</v>
      </c>
      <c r="G1264" s="11" t="s">
        <v>14</v>
      </c>
      <c r="H1264" s="11" t="s">
        <v>56</v>
      </c>
      <c r="I1264" s="11" t="s">
        <v>16</v>
      </c>
      <c r="J1264" s="11">
        <v>4.2</v>
      </c>
      <c r="K1264" s="11">
        <v>10</v>
      </c>
      <c r="L1264" s="11"/>
      <c r="M1264" s="11">
        <f t="shared" si="38"/>
        <v>16.8</v>
      </c>
      <c r="N1264" s="11">
        <f>IF(Table1[[#This Row],[Transaction Type]]="Sale",ABS(E1264)*K1264,0)</f>
        <v>40</v>
      </c>
      <c r="O1264" s="29">
        <f>IF(Table1[[#This Row],[Transaction Type]]="Purchase",E1264*J1264,0)</f>
        <v>0</v>
      </c>
    </row>
    <row r="1265" spans="1:15" x14ac:dyDescent="0.35">
      <c r="A1265" s="27" t="s">
        <v>1761</v>
      </c>
      <c r="B1265" s="12">
        <v>46042</v>
      </c>
      <c r="C1265" s="11" t="s">
        <v>77</v>
      </c>
      <c r="D1265" s="11" t="s">
        <v>40</v>
      </c>
      <c r="E1265" s="11">
        <v>109</v>
      </c>
      <c r="F1265" s="11">
        <f t="shared" si="39"/>
        <v>109</v>
      </c>
      <c r="G1265" s="11" t="s">
        <v>14</v>
      </c>
      <c r="H1265" s="11" t="s">
        <v>78</v>
      </c>
      <c r="I1265" s="11" t="s">
        <v>16</v>
      </c>
      <c r="J1265" s="11">
        <v>25</v>
      </c>
      <c r="K1265" s="11">
        <v>42</v>
      </c>
      <c r="L1265" s="11" t="s">
        <v>1762</v>
      </c>
      <c r="M1265" s="11">
        <f t="shared" si="38"/>
        <v>2725</v>
      </c>
      <c r="N1265" s="11">
        <f>IF(Table1[[#This Row],[Transaction Type]]="Sale",ABS(E1265)*K1265,0)</f>
        <v>0</v>
      </c>
      <c r="O1265" s="29">
        <f>IF(Table1[[#This Row],[Transaction Type]]="Purchase",E1265*J1265,0)</f>
        <v>2725</v>
      </c>
    </row>
    <row r="1266" spans="1:15" x14ac:dyDescent="0.35">
      <c r="A1266" s="27" t="s">
        <v>1763</v>
      </c>
      <c r="B1266" s="12">
        <v>46043</v>
      </c>
      <c r="C1266" s="11" t="s">
        <v>141</v>
      </c>
      <c r="D1266" s="11" t="s">
        <v>13</v>
      </c>
      <c r="E1266" s="11">
        <v>-4</v>
      </c>
      <c r="F1266" s="11">
        <f t="shared" si="39"/>
        <v>-4</v>
      </c>
      <c r="G1266" s="11" t="s">
        <v>14</v>
      </c>
      <c r="H1266" s="11" t="s">
        <v>25</v>
      </c>
      <c r="I1266" s="11" t="s">
        <v>26</v>
      </c>
      <c r="J1266" s="11">
        <v>4</v>
      </c>
      <c r="K1266" s="11">
        <v>9</v>
      </c>
      <c r="L1266" s="11"/>
      <c r="M1266" s="11">
        <f t="shared" si="38"/>
        <v>16</v>
      </c>
      <c r="N1266" s="11">
        <f>IF(Table1[[#This Row],[Transaction Type]]="Sale",ABS(E1266)*K1266,0)</f>
        <v>36</v>
      </c>
      <c r="O1266" s="29">
        <f>IF(Table1[[#This Row],[Transaction Type]]="Purchase",E1266*J1266,0)</f>
        <v>0</v>
      </c>
    </row>
    <row r="1267" spans="1:15" x14ac:dyDescent="0.35">
      <c r="A1267" s="27" t="s">
        <v>1764</v>
      </c>
      <c r="B1267" s="12">
        <v>46043</v>
      </c>
      <c r="C1267" s="11" t="s">
        <v>55</v>
      </c>
      <c r="D1267" s="11" t="s">
        <v>13</v>
      </c>
      <c r="E1267" s="11">
        <v>-10</v>
      </c>
      <c r="F1267" s="11">
        <f t="shared" si="39"/>
        <v>-10</v>
      </c>
      <c r="G1267" s="11" t="s">
        <v>24</v>
      </c>
      <c r="H1267" s="11" t="s">
        <v>56</v>
      </c>
      <c r="I1267" s="11" t="s">
        <v>16</v>
      </c>
      <c r="J1267" s="11">
        <v>4.2</v>
      </c>
      <c r="K1267" s="11">
        <v>10</v>
      </c>
      <c r="L1267" s="11"/>
      <c r="M1267" s="11">
        <f t="shared" si="38"/>
        <v>42</v>
      </c>
      <c r="N1267" s="11">
        <f>IF(Table1[[#This Row],[Transaction Type]]="Sale",ABS(E1267)*K1267,0)</f>
        <v>100</v>
      </c>
      <c r="O1267" s="29">
        <f>IF(Table1[[#This Row],[Transaction Type]]="Purchase",E1267*J1267,0)</f>
        <v>0</v>
      </c>
    </row>
    <row r="1268" spans="1:15" x14ac:dyDescent="0.35">
      <c r="A1268" s="27" t="s">
        <v>1765</v>
      </c>
      <c r="B1268" s="12">
        <v>46044</v>
      </c>
      <c r="C1268" s="11" t="s">
        <v>73</v>
      </c>
      <c r="D1268" s="11" t="s">
        <v>13</v>
      </c>
      <c r="E1268" s="11">
        <v>-10</v>
      </c>
      <c r="F1268" s="11">
        <f t="shared" si="39"/>
        <v>-10</v>
      </c>
      <c r="G1268" s="11" t="s">
        <v>14</v>
      </c>
      <c r="H1268" s="11" t="s">
        <v>74</v>
      </c>
      <c r="I1268" s="11" t="s">
        <v>75</v>
      </c>
      <c r="J1268" s="11">
        <v>30</v>
      </c>
      <c r="K1268" s="11">
        <v>48</v>
      </c>
      <c r="L1268" s="11"/>
      <c r="M1268" s="11">
        <f t="shared" si="38"/>
        <v>300</v>
      </c>
      <c r="N1268" s="11">
        <f>IF(Table1[[#This Row],[Transaction Type]]="Sale",ABS(E1268)*K1268,0)</f>
        <v>480</v>
      </c>
      <c r="O1268" s="29">
        <f>IF(Table1[[#This Row],[Transaction Type]]="Purchase",E1268*J1268,0)</f>
        <v>0</v>
      </c>
    </row>
    <row r="1269" spans="1:15" x14ac:dyDescent="0.35">
      <c r="A1269" s="27" t="s">
        <v>1766</v>
      </c>
      <c r="B1269" s="12">
        <v>46044</v>
      </c>
      <c r="C1269" s="11" t="s">
        <v>227</v>
      </c>
      <c r="D1269" s="11" t="s">
        <v>40</v>
      </c>
      <c r="E1269" s="11">
        <v>105</v>
      </c>
      <c r="F1269" s="11">
        <f t="shared" si="39"/>
        <v>105</v>
      </c>
      <c r="G1269" s="11" t="s">
        <v>19</v>
      </c>
      <c r="H1269" s="11" t="s">
        <v>228</v>
      </c>
      <c r="I1269" s="11" t="s">
        <v>16</v>
      </c>
      <c r="J1269" s="11">
        <v>78</v>
      </c>
      <c r="K1269" s="11">
        <v>125</v>
      </c>
      <c r="L1269" s="11" t="s">
        <v>1767</v>
      </c>
      <c r="M1269" s="11">
        <f t="shared" si="38"/>
        <v>8190</v>
      </c>
      <c r="N1269" s="11">
        <f>IF(Table1[[#This Row],[Transaction Type]]="Sale",ABS(E1269)*K1269,0)</f>
        <v>0</v>
      </c>
      <c r="O1269" s="29">
        <f>IF(Table1[[#This Row],[Transaction Type]]="Purchase",E1269*J1269,0)</f>
        <v>8190</v>
      </c>
    </row>
    <row r="1270" spans="1:15" x14ac:dyDescent="0.35">
      <c r="A1270" s="27" t="s">
        <v>1768</v>
      </c>
      <c r="B1270" s="12">
        <v>46044</v>
      </c>
      <c r="C1270" s="11" t="s">
        <v>141</v>
      </c>
      <c r="D1270" s="11" t="s">
        <v>13</v>
      </c>
      <c r="E1270" s="11">
        <v>-7</v>
      </c>
      <c r="F1270" s="11">
        <f t="shared" si="39"/>
        <v>-7</v>
      </c>
      <c r="G1270" s="11" t="s">
        <v>24</v>
      </c>
      <c r="H1270" s="11" t="s">
        <v>25</v>
      </c>
      <c r="I1270" s="11" t="s">
        <v>26</v>
      </c>
      <c r="J1270" s="11">
        <v>4</v>
      </c>
      <c r="K1270" s="11">
        <v>9</v>
      </c>
      <c r="L1270" s="11"/>
      <c r="M1270" s="11">
        <f t="shared" si="38"/>
        <v>28</v>
      </c>
      <c r="N1270" s="11">
        <f>IF(Table1[[#This Row],[Transaction Type]]="Sale",ABS(E1270)*K1270,0)</f>
        <v>63</v>
      </c>
      <c r="O1270" s="29">
        <f>IF(Table1[[#This Row],[Transaction Type]]="Purchase",E1270*J1270,0)</f>
        <v>0</v>
      </c>
    </row>
    <row r="1271" spans="1:15" x14ac:dyDescent="0.35">
      <c r="A1271" s="27" t="s">
        <v>1769</v>
      </c>
      <c r="B1271" s="12">
        <v>46044</v>
      </c>
      <c r="C1271" s="11" t="s">
        <v>12</v>
      </c>
      <c r="D1271" s="11" t="s">
        <v>13</v>
      </c>
      <c r="E1271" s="11">
        <v>-14</v>
      </c>
      <c r="F1271" s="11">
        <f t="shared" si="39"/>
        <v>-14</v>
      </c>
      <c r="G1271" s="11" t="s">
        <v>14</v>
      </c>
      <c r="H1271" s="11" t="s">
        <v>15</v>
      </c>
      <c r="I1271" s="11" t="s">
        <v>16</v>
      </c>
      <c r="J1271" s="11">
        <v>13.5</v>
      </c>
      <c r="K1271" s="11">
        <v>24</v>
      </c>
      <c r="L1271" s="11"/>
      <c r="M1271" s="11">
        <f t="shared" si="38"/>
        <v>189</v>
      </c>
      <c r="N1271" s="11">
        <f>IF(Table1[[#This Row],[Transaction Type]]="Sale",ABS(E1271)*K1271,0)</f>
        <v>336</v>
      </c>
      <c r="O1271" s="29">
        <f>IF(Table1[[#This Row],[Transaction Type]]="Purchase",E1271*J1271,0)</f>
        <v>0</v>
      </c>
    </row>
    <row r="1272" spans="1:15" x14ac:dyDescent="0.35">
      <c r="A1272" s="27" t="s">
        <v>1770</v>
      </c>
      <c r="B1272" s="12">
        <v>46044</v>
      </c>
      <c r="C1272" s="11" t="s">
        <v>83</v>
      </c>
      <c r="D1272" s="11" t="s">
        <v>40</v>
      </c>
      <c r="E1272" s="11">
        <v>96</v>
      </c>
      <c r="F1272" s="11">
        <f t="shared" si="39"/>
        <v>96</v>
      </c>
      <c r="G1272" s="11" t="s">
        <v>14</v>
      </c>
      <c r="H1272" s="11" t="s">
        <v>84</v>
      </c>
      <c r="I1272" s="11" t="s">
        <v>45</v>
      </c>
      <c r="J1272" s="11">
        <v>130</v>
      </c>
      <c r="K1272" s="11">
        <v>185</v>
      </c>
      <c r="L1272" s="11" t="s">
        <v>1771</v>
      </c>
      <c r="M1272" s="11">
        <f t="shared" si="38"/>
        <v>12480</v>
      </c>
      <c r="N1272" s="11">
        <f>IF(Table1[[#This Row],[Transaction Type]]="Sale",ABS(E1272)*K1272,0)</f>
        <v>0</v>
      </c>
      <c r="O1272" s="29">
        <f>IF(Table1[[#This Row],[Transaction Type]]="Purchase",E1272*J1272,0)</f>
        <v>12480</v>
      </c>
    </row>
    <row r="1273" spans="1:15" x14ac:dyDescent="0.35">
      <c r="A1273" s="27" t="s">
        <v>1772</v>
      </c>
      <c r="B1273" s="12">
        <v>46045</v>
      </c>
      <c r="C1273" s="11" t="s">
        <v>23</v>
      </c>
      <c r="D1273" s="11" t="s">
        <v>13</v>
      </c>
      <c r="E1273" s="11">
        <v>-2</v>
      </c>
      <c r="F1273" s="11">
        <f t="shared" si="39"/>
        <v>-2</v>
      </c>
      <c r="G1273" s="11" t="s">
        <v>24</v>
      </c>
      <c r="H1273" s="11" t="s">
        <v>25</v>
      </c>
      <c r="I1273" s="11" t="s">
        <v>26</v>
      </c>
      <c r="J1273" s="11">
        <v>3</v>
      </c>
      <c r="K1273" s="11">
        <v>7</v>
      </c>
      <c r="L1273" s="11"/>
      <c r="M1273" s="11">
        <f t="shared" si="38"/>
        <v>6</v>
      </c>
      <c r="N1273" s="11">
        <f>IF(Table1[[#This Row],[Transaction Type]]="Sale",ABS(E1273)*K1273,0)</f>
        <v>14</v>
      </c>
      <c r="O1273" s="29">
        <f>IF(Table1[[#This Row],[Transaction Type]]="Purchase",E1273*J1273,0)</f>
        <v>0</v>
      </c>
    </row>
    <row r="1274" spans="1:15" x14ac:dyDescent="0.35">
      <c r="A1274" s="27" t="s">
        <v>1773</v>
      </c>
      <c r="B1274" s="12">
        <v>46045</v>
      </c>
      <c r="C1274" s="11" t="s">
        <v>81</v>
      </c>
      <c r="D1274" s="11" t="s">
        <v>13</v>
      </c>
      <c r="E1274" s="11">
        <v>-7</v>
      </c>
      <c r="F1274" s="11">
        <f t="shared" si="39"/>
        <v>-7</v>
      </c>
      <c r="G1274" s="11" t="s">
        <v>24</v>
      </c>
      <c r="H1274" s="11" t="s">
        <v>30</v>
      </c>
      <c r="I1274" s="11" t="s">
        <v>16</v>
      </c>
      <c r="J1274" s="11">
        <v>8</v>
      </c>
      <c r="K1274" s="11">
        <v>15</v>
      </c>
      <c r="L1274" s="11"/>
      <c r="M1274" s="11">
        <f t="shared" si="38"/>
        <v>56</v>
      </c>
      <c r="N1274" s="11">
        <f>IF(Table1[[#This Row],[Transaction Type]]="Sale",ABS(E1274)*K1274,0)</f>
        <v>105</v>
      </c>
      <c r="O1274" s="29">
        <f>IF(Table1[[#This Row],[Transaction Type]]="Purchase",E1274*J1274,0)</f>
        <v>0</v>
      </c>
    </row>
    <row r="1275" spans="1:15" x14ac:dyDescent="0.35">
      <c r="A1275" s="27" t="s">
        <v>1774</v>
      </c>
      <c r="B1275" s="12">
        <v>46045</v>
      </c>
      <c r="C1275" s="11" t="s">
        <v>52</v>
      </c>
      <c r="D1275" s="11" t="s">
        <v>40</v>
      </c>
      <c r="E1275" s="11">
        <v>52</v>
      </c>
      <c r="F1275" s="11">
        <f t="shared" si="39"/>
        <v>52</v>
      </c>
      <c r="G1275" s="11" t="s">
        <v>19</v>
      </c>
      <c r="H1275" s="11" t="s">
        <v>20</v>
      </c>
      <c r="I1275" s="11" t="s">
        <v>21</v>
      </c>
      <c r="J1275" s="11">
        <v>5.5</v>
      </c>
      <c r="K1275" s="11">
        <v>12</v>
      </c>
      <c r="L1275" s="11" t="s">
        <v>1775</v>
      </c>
      <c r="M1275" s="11">
        <f t="shared" si="38"/>
        <v>286</v>
      </c>
      <c r="N1275" s="11">
        <f>IF(Table1[[#This Row],[Transaction Type]]="Sale",ABS(E1275)*K1275,0)</f>
        <v>0</v>
      </c>
      <c r="O1275" s="29">
        <f>IF(Table1[[#This Row],[Transaction Type]]="Purchase",E1275*J1275,0)</f>
        <v>286</v>
      </c>
    </row>
    <row r="1276" spans="1:15" x14ac:dyDescent="0.35">
      <c r="A1276" s="27" t="s">
        <v>1776</v>
      </c>
      <c r="B1276" s="12">
        <v>46046</v>
      </c>
      <c r="C1276" s="11" t="s">
        <v>29</v>
      </c>
      <c r="D1276" s="11" t="s">
        <v>13</v>
      </c>
      <c r="E1276" s="11">
        <v>-10</v>
      </c>
      <c r="F1276" s="11">
        <f t="shared" si="39"/>
        <v>-10</v>
      </c>
      <c r="G1276" s="11" t="s">
        <v>24</v>
      </c>
      <c r="H1276" s="11" t="s">
        <v>30</v>
      </c>
      <c r="I1276" s="11" t="s">
        <v>16</v>
      </c>
      <c r="J1276" s="11">
        <v>8.8000000000000007</v>
      </c>
      <c r="K1276" s="11">
        <v>17</v>
      </c>
      <c r="L1276" s="11"/>
      <c r="M1276" s="11">
        <f t="shared" si="38"/>
        <v>88</v>
      </c>
      <c r="N1276" s="11">
        <f>IF(Table1[[#This Row],[Transaction Type]]="Sale",ABS(E1276)*K1276,0)</f>
        <v>170</v>
      </c>
      <c r="O1276" s="29">
        <f>IF(Table1[[#This Row],[Transaction Type]]="Purchase",E1276*J1276,0)</f>
        <v>0</v>
      </c>
    </row>
    <row r="1277" spans="1:15" x14ac:dyDescent="0.35">
      <c r="A1277" s="27" t="s">
        <v>1777</v>
      </c>
      <c r="B1277" s="12">
        <v>46046</v>
      </c>
      <c r="C1277" s="11" t="s">
        <v>83</v>
      </c>
      <c r="D1277" s="11" t="s">
        <v>40</v>
      </c>
      <c r="E1277" s="11">
        <v>76</v>
      </c>
      <c r="F1277" s="11">
        <f t="shared" si="39"/>
        <v>76</v>
      </c>
      <c r="G1277" s="11" t="s">
        <v>24</v>
      </c>
      <c r="H1277" s="11" t="s">
        <v>84</v>
      </c>
      <c r="I1277" s="11" t="s">
        <v>45</v>
      </c>
      <c r="J1277" s="11">
        <v>130</v>
      </c>
      <c r="K1277" s="11">
        <v>185</v>
      </c>
      <c r="L1277" s="11" t="s">
        <v>1778</v>
      </c>
      <c r="M1277" s="11">
        <f t="shared" si="38"/>
        <v>9880</v>
      </c>
      <c r="N1277" s="11">
        <f>IF(Table1[[#This Row],[Transaction Type]]="Sale",ABS(E1277)*K1277,0)</f>
        <v>0</v>
      </c>
      <c r="O1277" s="29">
        <f>IF(Table1[[#This Row],[Transaction Type]]="Purchase",E1277*J1277,0)</f>
        <v>9880</v>
      </c>
    </row>
    <row r="1278" spans="1:15" x14ac:dyDescent="0.35">
      <c r="A1278" s="27" t="s">
        <v>1779</v>
      </c>
      <c r="B1278" s="12">
        <v>46046</v>
      </c>
      <c r="C1278" s="11" t="s">
        <v>139</v>
      </c>
      <c r="D1278" s="11" t="s">
        <v>13</v>
      </c>
      <c r="E1278" s="11">
        <v>-4</v>
      </c>
      <c r="F1278" s="11">
        <f t="shared" si="39"/>
        <v>-4</v>
      </c>
      <c r="G1278" s="11" t="s">
        <v>14</v>
      </c>
      <c r="H1278" s="11" t="s">
        <v>56</v>
      </c>
      <c r="I1278" s="11" t="s">
        <v>16</v>
      </c>
      <c r="J1278" s="11">
        <v>16.5</v>
      </c>
      <c r="K1278" s="11">
        <v>28</v>
      </c>
      <c r="L1278" s="11"/>
      <c r="M1278" s="11">
        <f t="shared" si="38"/>
        <v>66</v>
      </c>
      <c r="N1278" s="11">
        <f>IF(Table1[[#This Row],[Transaction Type]]="Sale",ABS(E1278)*K1278,0)</f>
        <v>112</v>
      </c>
      <c r="O1278" s="29">
        <f>IF(Table1[[#This Row],[Transaction Type]]="Purchase",E1278*J1278,0)</f>
        <v>0</v>
      </c>
    </row>
    <row r="1279" spans="1:15" x14ac:dyDescent="0.35">
      <c r="A1279" s="27" t="s">
        <v>1780</v>
      </c>
      <c r="B1279" s="12">
        <v>46046</v>
      </c>
      <c r="C1279" s="11" t="s">
        <v>69</v>
      </c>
      <c r="D1279" s="11" t="s">
        <v>40</v>
      </c>
      <c r="E1279" s="11">
        <v>96</v>
      </c>
      <c r="F1279" s="11">
        <f t="shared" si="39"/>
        <v>96</v>
      </c>
      <c r="G1279" s="11" t="s">
        <v>14</v>
      </c>
      <c r="H1279" s="11" t="s">
        <v>70</v>
      </c>
      <c r="I1279" s="11" t="s">
        <v>16</v>
      </c>
      <c r="J1279" s="11">
        <v>23</v>
      </c>
      <c r="K1279" s="11">
        <v>38</v>
      </c>
      <c r="L1279" s="11" t="s">
        <v>1781</v>
      </c>
      <c r="M1279" s="11">
        <f t="shared" si="38"/>
        <v>2208</v>
      </c>
      <c r="N1279" s="11">
        <f>IF(Table1[[#This Row],[Transaction Type]]="Sale",ABS(E1279)*K1279,0)</f>
        <v>0</v>
      </c>
      <c r="O1279" s="29">
        <f>IF(Table1[[#This Row],[Transaction Type]]="Purchase",E1279*J1279,0)</f>
        <v>2208</v>
      </c>
    </row>
    <row r="1280" spans="1:15" x14ac:dyDescent="0.35">
      <c r="A1280" s="27" t="s">
        <v>1782</v>
      </c>
      <c r="B1280" s="12">
        <v>46046</v>
      </c>
      <c r="C1280" s="11" t="s">
        <v>55</v>
      </c>
      <c r="D1280" s="11" t="s">
        <v>13</v>
      </c>
      <c r="E1280" s="11">
        <v>-3</v>
      </c>
      <c r="F1280" s="11">
        <f t="shared" si="39"/>
        <v>-3</v>
      </c>
      <c r="G1280" s="11" t="s">
        <v>19</v>
      </c>
      <c r="H1280" s="11" t="s">
        <v>56</v>
      </c>
      <c r="I1280" s="11" t="s">
        <v>16</v>
      </c>
      <c r="J1280" s="11">
        <v>4.2</v>
      </c>
      <c r="K1280" s="11">
        <v>10</v>
      </c>
      <c r="L1280" s="11"/>
      <c r="M1280" s="11">
        <f t="shared" si="38"/>
        <v>12.600000000000001</v>
      </c>
      <c r="N1280" s="11">
        <f>IF(Table1[[#This Row],[Transaction Type]]="Sale",ABS(E1280)*K1280,0)</f>
        <v>30</v>
      </c>
      <c r="O1280" s="29">
        <f>IF(Table1[[#This Row],[Transaction Type]]="Purchase",E1280*J1280,0)</f>
        <v>0</v>
      </c>
    </row>
    <row r="1281" spans="1:15" x14ac:dyDescent="0.35">
      <c r="A1281" s="27" t="s">
        <v>1783</v>
      </c>
      <c r="B1281" s="12">
        <v>46046</v>
      </c>
      <c r="C1281" s="11" t="s">
        <v>32</v>
      </c>
      <c r="D1281" s="11" t="s">
        <v>58</v>
      </c>
      <c r="E1281" s="11">
        <v>-11</v>
      </c>
      <c r="F1281" s="11">
        <f t="shared" si="39"/>
        <v>-11</v>
      </c>
      <c r="G1281" s="11" t="s">
        <v>24</v>
      </c>
      <c r="H1281" s="11" t="s">
        <v>33</v>
      </c>
      <c r="I1281" s="11" t="s">
        <v>34</v>
      </c>
      <c r="J1281" s="11">
        <v>20</v>
      </c>
      <c r="K1281" s="11">
        <v>35</v>
      </c>
      <c r="L1281" s="11"/>
      <c r="M1281" s="11">
        <f t="shared" si="38"/>
        <v>220</v>
      </c>
      <c r="N1281" s="11">
        <f>IF(Table1[[#This Row],[Transaction Type]]="Sale",ABS(E1281)*K1281,0)</f>
        <v>0</v>
      </c>
      <c r="O1281" s="29">
        <f>IF(Table1[[#This Row],[Transaction Type]]="Purchase",E1281*J1281,0)</f>
        <v>0</v>
      </c>
    </row>
    <row r="1282" spans="1:15" x14ac:dyDescent="0.35">
      <c r="A1282" s="27" t="s">
        <v>1784</v>
      </c>
      <c r="B1282" s="12">
        <v>46047</v>
      </c>
      <c r="C1282" s="11" t="s">
        <v>170</v>
      </c>
      <c r="D1282" s="11" t="s">
        <v>13</v>
      </c>
      <c r="E1282" s="11">
        <v>-3</v>
      </c>
      <c r="F1282" s="11">
        <f t="shared" si="39"/>
        <v>-3</v>
      </c>
      <c r="G1282" s="11" t="s">
        <v>24</v>
      </c>
      <c r="H1282" s="11" t="s">
        <v>171</v>
      </c>
      <c r="I1282" s="11" t="s">
        <v>34</v>
      </c>
      <c r="J1282" s="11">
        <v>25</v>
      </c>
      <c r="K1282" s="11">
        <v>45</v>
      </c>
      <c r="L1282" s="11"/>
      <c r="M1282" s="11">
        <f t="shared" ref="M1282:M1345" si="40">ABS(E1282)*J1282</f>
        <v>75</v>
      </c>
      <c r="N1282" s="11">
        <f>IF(Table1[[#This Row],[Transaction Type]]="Sale",ABS(E1282)*K1282,0)</f>
        <v>135</v>
      </c>
      <c r="O1282" s="29">
        <f>IF(Table1[[#This Row],[Transaction Type]]="Purchase",E1282*J1282,0)</f>
        <v>0</v>
      </c>
    </row>
    <row r="1283" spans="1:15" x14ac:dyDescent="0.35">
      <c r="A1283" s="27" t="s">
        <v>1785</v>
      </c>
      <c r="B1283" s="12">
        <v>46047</v>
      </c>
      <c r="C1283" s="11" t="s">
        <v>77</v>
      </c>
      <c r="D1283" s="11" t="s">
        <v>40</v>
      </c>
      <c r="E1283" s="11">
        <v>55</v>
      </c>
      <c r="F1283" s="11">
        <f t="shared" ref="F1283:F1346" si="41">E1283</f>
        <v>55</v>
      </c>
      <c r="G1283" s="11" t="s">
        <v>19</v>
      </c>
      <c r="H1283" s="11" t="s">
        <v>78</v>
      </c>
      <c r="I1283" s="11" t="s">
        <v>16</v>
      </c>
      <c r="J1283" s="11">
        <v>25</v>
      </c>
      <c r="K1283" s="11">
        <v>42</v>
      </c>
      <c r="L1283" s="11" t="s">
        <v>1786</v>
      </c>
      <c r="M1283" s="11">
        <f t="shared" si="40"/>
        <v>1375</v>
      </c>
      <c r="N1283" s="11">
        <f>IF(Table1[[#This Row],[Transaction Type]]="Sale",ABS(E1283)*K1283,0)</f>
        <v>0</v>
      </c>
      <c r="O1283" s="29">
        <f>IF(Table1[[#This Row],[Transaction Type]]="Purchase",E1283*J1283,0)</f>
        <v>1375</v>
      </c>
    </row>
    <row r="1284" spans="1:15" x14ac:dyDescent="0.35">
      <c r="A1284" s="27" t="s">
        <v>1787</v>
      </c>
      <c r="B1284" s="12">
        <v>46048</v>
      </c>
      <c r="C1284" s="11" t="s">
        <v>136</v>
      </c>
      <c r="D1284" s="11" t="s">
        <v>58</v>
      </c>
      <c r="E1284" s="11">
        <v>-2</v>
      </c>
      <c r="F1284" s="11">
        <f t="shared" si="41"/>
        <v>-2</v>
      </c>
      <c r="G1284" s="11" t="s">
        <v>24</v>
      </c>
      <c r="H1284" s="11" t="s">
        <v>33</v>
      </c>
      <c r="I1284" s="11" t="s">
        <v>34</v>
      </c>
      <c r="J1284" s="11">
        <v>34</v>
      </c>
      <c r="K1284" s="11">
        <v>55</v>
      </c>
      <c r="L1284" s="11"/>
      <c r="M1284" s="11">
        <f t="shared" si="40"/>
        <v>68</v>
      </c>
      <c r="N1284" s="11">
        <f>IF(Table1[[#This Row],[Transaction Type]]="Sale",ABS(E1284)*K1284,0)</f>
        <v>0</v>
      </c>
      <c r="O1284" s="29">
        <f>IF(Table1[[#This Row],[Transaction Type]]="Purchase",E1284*J1284,0)</f>
        <v>0</v>
      </c>
    </row>
    <row r="1285" spans="1:15" x14ac:dyDescent="0.35">
      <c r="A1285" s="27" t="s">
        <v>1788</v>
      </c>
      <c r="B1285" s="12">
        <v>46048</v>
      </c>
      <c r="C1285" s="11" t="s">
        <v>23</v>
      </c>
      <c r="D1285" s="11" t="s">
        <v>13</v>
      </c>
      <c r="E1285" s="11">
        <v>-14</v>
      </c>
      <c r="F1285" s="11">
        <f t="shared" si="41"/>
        <v>-14</v>
      </c>
      <c r="G1285" s="11" t="s">
        <v>14</v>
      </c>
      <c r="H1285" s="11" t="s">
        <v>25</v>
      </c>
      <c r="I1285" s="11" t="s">
        <v>26</v>
      </c>
      <c r="J1285" s="11">
        <v>3</v>
      </c>
      <c r="K1285" s="11">
        <v>7</v>
      </c>
      <c r="L1285" s="11"/>
      <c r="M1285" s="11">
        <f t="shared" si="40"/>
        <v>42</v>
      </c>
      <c r="N1285" s="11">
        <f>IF(Table1[[#This Row],[Transaction Type]]="Sale",ABS(E1285)*K1285,0)</f>
        <v>98</v>
      </c>
      <c r="O1285" s="29">
        <f>IF(Table1[[#This Row],[Transaction Type]]="Purchase",E1285*J1285,0)</f>
        <v>0</v>
      </c>
    </row>
    <row r="1286" spans="1:15" x14ac:dyDescent="0.35">
      <c r="A1286" s="27" t="s">
        <v>1789</v>
      </c>
      <c r="B1286" s="12">
        <v>46048</v>
      </c>
      <c r="C1286" s="11" t="s">
        <v>12</v>
      </c>
      <c r="D1286" s="11" t="s">
        <v>40</v>
      </c>
      <c r="E1286" s="11">
        <v>63</v>
      </c>
      <c r="F1286" s="11">
        <f t="shared" si="41"/>
        <v>63</v>
      </c>
      <c r="G1286" s="11" t="s">
        <v>24</v>
      </c>
      <c r="H1286" s="11" t="s">
        <v>15</v>
      </c>
      <c r="I1286" s="11" t="s">
        <v>16</v>
      </c>
      <c r="J1286" s="11">
        <v>13.5</v>
      </c>
      <c r="K1286" s="11">
        <v>24</v>
      </c>
      <c r="L1286" s="11" t="s">
        <v>1790</v>
      </c>
      <c r="M1286" s="11">
        <f t="shared" si="40"/>
        <v>850.5</v>
      </c>
      <c r="N1286" s="11">
        <f>IF(Table1[[#This Row],[Transaction Type]]="Sale",ABS(E1286)*K1286,0)</f>
        <v>0</v>
      </c>
      <c r="O1286" s="29">
        <f>IF(Table1[[#This Row],[Transaction Type]]="Purchase",E1286*J1286,0)</f>
        <v>850.5</v>
      </c>
    </row>
    <row r="1287" spans="1:15" x14ac:dyDescent="0.35">
      <c r="A1287" s="27" t="s">
        <v>1791</v>
      </c>
      <c r="B1287" s="12">
        <v>46049</v>
      </c>
      <c r="C1287" s="11" t="s">
        <v>18</v>
      </c>
      <c r="D1287" s="11" t="s">
        <v>58</v>
      </c>
      <c r="E1287" s="11">
        <v>-17</v>
      </c>
      <c r="F1287" s="11">
        <f t="shared" si="41"/>
        <v>-17</v>
      </c>
      <c r="G1287" s="11" t="s">
        <v>14</v>
      </c>
      <c r="H1287" s="11" t="s">
        <v>20</v>
      </c>
      <c r="I1287" s="11" t="s">
        <v>21</v>
      </c>
      <c r="J1287" s="11">
        <v>2.6</v>
      </c>
      <c r="K1287" s="11">
        <v>5.5</v>
      </c>
      <c r="L1287" s="11"/>
      <c r="M1287" s="11">
        <f t="shared" si="40"/>
        <v>44.2</v>
      </c>
      <c r="N1287" s="11">
        <f>IF(Table1[[#This Row],[Transaction Type]]="Sale",ABS(E1287)*K1287,0)</f>
        <v>0</v>
      </c>
      <c r="O1287" s="29">
        <f>IF(Table1[[#This Row],[Transaction Type]]="Purchase",E1287*J1287,0)</f>
        <v>0</v>
      </c>
    </row>
    <row r="1288" spans="1:15" x14ac:dyDescent="0.35">
      <c r="A1288" s="27" t="s">
        <v>1792</v>
      </c>
      <c r="B1288" s="12">
        <v>46049</v>
      </c>
      <c r="C1288" s="11" t="s">
        <v>52</v>
      </c>
      <c r="D1288" s="11" t="s">
        <v>13</v>
      </c>
      <c r="E1288" s="11">
        <v>-12</v>
      </c>
      <c r="F1288" s="11">
        <f t="shared" si="41"/>
        <v>-12</v>
      </c>
      <c r="G1288" s="11" t="s">
        <v>14</v>
      </c>
      <c r="H1288" s="11" t="s">
        <v>20</v>
      </c>
      <c r="I1288" s="11" t="s">
        <v>21</v>
      </c>
      <c r="J1288" s="11">
        <v>5.5</v>
      </c>
      <c r="K1288" s="11">
        <v>12</v>
      </c>
      <c r="L1288" s="11"/>
      <c r="M1288" s="11">
        <f t="shared" si="40"/>
        <v>66</v>
      </c>
      <c r="N1288" s="11">
        <f>IF(Table1[[#This Row],[Transaction Type]]="Sale",ABS(E1288)*K1288,0)</f>
        <v>144</v>
      </c>
      <c r="O1288" s="29">
        <f>IF(Table1[[#This Row],[Transaction Type]]="Purchase",E1288*J1288,0)</f>
        <v>0</v>
      </c>
    </row>
    <row r="1289" spans="1:15" x14ac:dyDescent="0.35">
      <c r="A1289" s="27" t="s">
        <v>1793</v>
      </c>
      <c r="B1289" s="12">
        <v>46049</v>
      </c>
      <c r="C1289" s="11" t="s">
        <v>94</v>
      </c>
      <c r="D1289" s="11" t="s">
        <v>40</v>
      </c>
      <c r="E1289" s="11">
        <v>66</v>
      </c>
      <c r="F1289" s="11">
        <f t="shared" si="41"/>
        <v>66</v>
      </c>
      <c r="G1289" s="11" t="s">
        <v>14</v>
      </c>
      <c r="H1289" s="11" t="s">
        <v>95</v>
      </c>
      <c r="I1289" s="11" t="s">
        <v>16</v>
      </c>
      <c r="J1289" s="11">
        <v>18.5</v>
      </c>
      <c r="K1289" s="11">
        <v>31</v>
      </c>
      <c r="L1289" s="11" t="s">
        <v>1794</v>
      </c>
      <c r="M1289" s="11">
        <f t="shared" si="40"/>
        <v>1221</v>
      </c>
      <c r="N1289" s="11">
        <f>IF(Table1[[#This Row],[Transaction Type]]="Sale",ABS(E1289)*K1289,0)</f>
        <v>0</v>
      </c>
      <c r="O1289" s="29">
        <f>IF(Table1[[#This Row],[Transaction Type]]="Purchase",E1289*J1289,0)</f>
        <v>1221</v>
      </c>
    </row>
    <row r="1290" spans="1:15" x14ac:dyDescent="0.35">
      <c r="A1290" s="27" t="s">
        <v>1795</v>
      </c>
      <c r="B1290" s="12">
        <v>46049</v>
      </c>
      <c r="C1290" s="11" t="s">
        <v>185</v>
      </c>
      <c r="D1290" s="11" t="s">
        <v>13</v>
      </c>
      <c r="E1290" s="11">
        <v>-15</v>
      </c>
      <c r="F1290" s="11">
        <f t="shared" si="41"/>
        <v>-15</v>
      </c>
      <c r="G1290" s="11" t="s">
        <v>24</v>
      </c>
      <c r="H1290" s="11" t="s">
        <v>44</v>
      </c>
      <c r="I1290" s="11" t="s">
        <v>45</v>
      </c>
      <c r="J1290" s="11">
        <v>63</v>
      </c>
      <c r="K1290" s="11">
        <v>95</v>
      </c>
      <c r="L1290" s="11"/>
      <c r="M1290" s="11">
        <f t="shared" si="40"/>
        <v>945</v>
      </c>
      <c r="N1290" s="11">
        <f>IF(Table1[[#This Row],[Transaction Type]]="Sale",ABS(E1290)*K1290,0)</f>
        <v>1425</v>
      </c>
      <c r="O1290" s="29">
        <f>IF(Table1[[#This Row],[Transaction Type]]="Purchase",E1290*J1290,0)</f>
        <v>0</v>
      </c>
    </row>
    <row r="1291" spans="1:15" x14ac:dyDescent="0.35">
      <c r="A1291" s="27" t="s">
        <v>1796</v>
      </c>
      <c r="B1291" s="12">
        <v>46050</v>
      </c>
      <c r="C1291" s="11" t="s">
        <v>52</v>
      </c>
      <c r="D1291" s="11" t="s">
        <v>13</v>
      </c>
      <c r="E1291" s="11">
        <v>-5</v>
      </c>
      <c r="F1291" s="11">
        <f t="shared" si="41"/>
        <v>-5</v>
      </c>
      <c r="G1291" s="11" t="s">
        <v>24</v>
      </c>
      <c r="H1291" s="11" t="s">
        <v>20</v>
      </c>
      <c r="I1291" s="11" t="s">
        <v>21</v>
      </c>
      <c r="J1291" s="11">
        <v>5.5</v>
      </c>
      <c r="K1291" s="11">
        <v>12</v>
      </c>
      <c r="L1291" s="11"/>
      <c r="M1291" s="11">
        <f t="shared" si="40"/>
        <v>27.5</v>
      </c>
      <c r="N1291" s="11">
        <f>IF(Table1[[#This Row],[Transaction Type]]="Sale",ABS(E1291)*K1291,0)</f>
        <v>60</v>
      </c>
      <c r="O1291" s="29">
        <f>IF(Table1[[#This Row],[Transaction Type]]="Purchase",E1291*J1291,0)</f>
        <v>0</v>
      </c>
    </row>
    <row r="1292" spans="1:15" x14ac:dyDescent="0.35">
      <c r="A1292" s="27" t="s">
        <v>1797</v>
      </c>
      <c r="B1292" s="12">
        <v>46050</v>
      </c>
      <c r="C1292" s="11" t="s">
        <v>69</v>
      </c>
      <c r="D1292" s="11" t="s">
        <v>40</v>
      </c>
      <c r="E1292" s="11">
        <v>108</v>
      </c>
      <c r="F1292" s="11">
        <f t="shared" si="41"/>
        <v>108</v>
      </c>
      <c r="G1292" s="11" t="s">
        <v>14</v>
      </c>
      <c r="H1292" s="11" t="s">
        <v>70</v>
      </c>
      <c r="I1292" s="11" t="s">
        <v>16</v>
      </c>
      <c r="J1292" s="11">
        <v>23</v>
      </c>
      <c r="K1292" s="11">
        <v>38</v>
      </c>
      <c r="L1292" s="11" t="s">
        <v>1798</v>
      </c>
      <c r="M1292" s="11">
        <f t="shared" si="40"/>
        <v>2484</v>
      </c>
      <c r="N1292" s="11">
        <f>IF(Table1[[#This Row],[Transaction Type]]="Sale",ABS(E1292)*K1292,0)</f>
        <v>0</v>
      </c>
      <c r="O1292" s="29">
        <f>IF(Table1[[#This Row],[Transaction Type]]="Purchase",E1292*J1292,0)</f>
        <v>2484</v>
      </c>
    </row>
    <row r="1293" spans="1:15" x14ac:dyDescent="0.35">
      <c r="A1293" s="27" t="s">
        <v>1799</v>
      </c>
      <c r="B1293" s="12">
        <v>46050</v>
      </c>
      <c r="C1293" s="11" t="s">
        <v>227</v>
      </c>
      <c r="D1293" s="11" t="s">
        <v>40</v>
      </c>
      <c r="E1293" s="11">
        <v>38</v>
      </c>
      <c r="F1293" s="11">
        <f t="shared" si="41"/>
        <v>38</v>
      </c>
      <c r="G1293" s="11" t="s">
        <v>14</v>
      </c>
      <c r="H1293" s="11" t="s">
        <v>228</v>
      </c>
      <c r="I1293" s="11" t="s">
        <v>16</v>
      </c>
      <c r="J1293" s="11">
        <v>78</v>
      </c>
      <c r="K1293" s="11">
        <v>125</v>
      </c>
      <c r="L1293" s="11" t="s">
        <v>1800</v>
      </c>
      <c r="M1293" s="11">
        <f t="shared" si="40"/>
        <v>2964</v>
      </c>
      <c r="N1293" s="11">
        <f>IF(Table1[[#This Row],[Transaction Type]]="Sale",ABS(E1293)*K1293,0)</f>
        <v>0</v>
      </c>
      <c r="O1293" s="29">
        <f>IF(Table1[[#This Row],[Transaction Type]]="Purchase",E1293*J1293,0)</f>
        <v>2964</v>
      </c>
    </row>
    <row r="1294" spans="1:15" x14ac:dyDescent="0.35">
      <c r="A1294" s="27" t="s">
        <v>1801</v>
      </c>
      <c r="B1294" s="12">
        <v>46050</v>
      </c>
      <c r="C1294" s="11" t="s">
        <v>65</v>
      </c>
      <c r="D1294" s="11" t="s">
        <v>40</v>
      </c>
      <c r="E1294" s="11">
        <v>78</v>
      </c>
      <c r="F1294" s="11">
        <f t="shared" si="41"/>
        <v>78</v>
      </c>
      <c r="G1294" s="11" t="s">
        <v>14</v>
      </c>
      <c r="H1294" s="11" t="s">
        <v>67</v>
      </c>
      <c r="I1294" s="11" t="s">
        <v>21</v>
      </c>
      <c r="J1294" s="11">
        <v>11</v>
      </c>
      <c r="K1294" s="11">
        <v>22</v>
      </c>
      <c r="L1294" s="11" t="s">
        <v>1802</v>
      </c>
      <c r="M1294" s="11">
        <f t="shared" si="40"/>
        <v>858</v>
      </c>
      <c r="N1294" s="11">
        <f>IF(Table1[[#This Row],[Transaction Type]]="Sale",ABS(E1294)*K1294,0)</f>
        <v>0</v>
      </c>
      <c r="O1294" s="29">
        <f>IF(Table1[[#This Row],[Transaction Type]]="Purchase",E1294*J1294,0)</f>
        <v>858</v>
      </c>
    </row>
    <row r="1295" spans="1:15" x14ac:dyDescent="0.35">
      <c r="A1295" s="27" t="s">
        <v>1803</v>
      </c>
      <c r="B1295" s="12">
        <v>46051</v>
      </c>
      <c r="C1295" s="11" t="s">
        <v>141</v>
      </c>
      <c r="D1295" s="11" t="s">
        <v>13</v>
      </c>
      <c r="E1295" s="11">
        <v>-13</v>
      </c>
      <c r="F1295" s="11">
        <f t="shared" si="41"/>
        <v>-13</v>
      </c>
      <c r="G1295" s="11" t="s">
        <v>14</v>
      </c>
      <c r="H1295" s="11" t="s">
        <v>25</v>
      </c>
      <c r="I1295" s="11" t="s">
        <v>26</v>
      </c>
      <c r="J1295" s="11">
        <v>4</v>
      </c>
      <c r="K1295" s="11">
        <v>9</v>
      </c>
      <c r="L1295" s="11"/>
      <c r="M1295" s="11">
        <f t="shared" si="40"/>
        <v>52</v>
      </c>
      <c r="N1295" s="11">
        <f>IF(Table1[[#This Row],[Transaction Type]]="Sale",ABS(E1295)*K1295,0)</f>
        <v>117</v>
      </c>
      <c r="O1295" s="29">
        <f>IF(Table1[[#This Row],[Transaction Type]]="Purchase",E1295*J1295,0)</f>
        <v>0</v>
      </c>
    </row>
    <row r="1296" spans="1:15" x14ac:dyDescent="0.35">
      <c r="A1296" s="27" t="s">
        <v>1804</v>
      </c>
      <c r="B1296" s="12">
        <v>46051</v>
      </c>
      <c r="C1296" s="11" t="s">
        <v>170</v>
      </c>
      <c r="D1296" s="11" t="s">
        <v>40</v>
      </c>
      <c r="E1296" s="11">
        <v>118</v>
      </c>
      <c r="F1296" s="11">
        <f t="shared" si="41"/>
        <v>118</v>
      </c>
      <c r="G1296" s="11" t="s">
        <v>24</v>
      </c>
      <c r="H1296" s="11" t="s">
        <v>171</v>
      </c>
      <c r="I1296" s="11" t="s">
        <v>34</v>
      </c>
      <c r="J1296" s="11">
        <v>25</v>
      </c>
      <c r="K1296" s="11">
        <v>45</v>
      </c>
      <c r="L1296" s="11" t="s">
        <v>1805</v>
      </c>
      <c r="M1296" s="11">
        <f t="shared" si="40"/>
        <v>2950</v>
      </c>
      <c r="N1296" s="11">
        <f>IF(Table1[[#This Row],[Transaction Type]]="Sale",ABS(E1296)*K1296,0)</f>
        <v>0</v>
      </c>
      <c r="O1296" s="29">
        <f>IF(Table1[[#This Row],[Transaction Type]]="Purchase",E1296*J1296,0)</f>
        <v>2950</v>
      </c>
    </row>
    <row r="1297" spans="1:15" x14ac:dyDescent="0.35">
      <c r="A1297" s="27" t="s">
        <v>1806</v>
      </c>
      <c r="B1297" s="12">
        <v>46051</v>
      </c>
      <c r="C1297" s="11" t="s">
        <v>55</v>
      </c>
      <c r="D1297" s="11" t="s">
        <v>40</v>
      </c>
      <c r="E1297" s="11">
        <v>34</v>
      </c>
      <c r="F1297" s="11">
        <f t="shared" si="41"/>
        <v>34</v>
      </c>
      <c r="G1297" s="11" t="s">
        <v>24</v>
      </c>
      <c r="H1297" s="11" t="s">
        <v>56</v>
      </c>
      <c r="I1297" s="11" t="s">
        <v>16</v>
      </c>
      <c r="J1297" s="11">
        <v>4.2</v>
      </c>
      <c r="K1297" s="11">
        <v>10</v>
      </c>
      <c r="L1297" s="11" t="s">
        <v>1807</v>
      </c>
      <c r="M1297" s="11">
        <f t="shared" si="40"/>
        <v>142.80000000000001</v>
      </c>
      <c r="N1297" s="11">
        <f>IF(Table1[[#This Row],[Transaction Type]]="Sale",ABS(E1297)*K1297,0)</f>
        <v>0</v>
      </c>
      <c r="O1297" s="29">
        <f>IF(Table1[[#This Row],[Transaction Type]]="Purchase",E1297*J1297,0)</f>
        <v>142.80000000000001</v>
      </c>
    </row>
    <row r="1298" spans="1:15" x14ac:dyDescent="0.35">
      <c r="A1298" s="27" t="s">
        <v>1808</v>
      </c>
      <c r="B1298" s="12">
        <v>46051</v>
      </c>
      <c r="C1298" s="11" t="s">
        <v>73</v>
      </c>
      <c r="D1298" s="11" t="s">
        <v>13</v>
      </c>
      <c r="E1298" s="11">
        <v>-5</v>
      </c>
      <c r="F1298" s="11">
        <f t="shared" si="41"/>
        <v>-5</v>
      </c>
      <c r="G1298" s="11" t="s">
        <v>2522</v>
      </c>
      <c r="H1298" s="11" t="s">
        <v>74</v>
      </c>
      <c r="I1298" s="11" t="s">
        <v>75</v>
      </c>
      <c r="J1298" s="11">
        <v>30</v>
      </c>
      <c r="K1298" s="11">
        <v>48</v>
      </c>
      <c r="L1298" s="11"/>
      <c r="M1298" s="11">
        <f t="shared" si="40"/>
        <v>150</v>
      </c>
      <c r="N1298" s="11">
        <f>IF(Table1[[#This Row],[Transaction Type]]="Sale",ABS(E1298)*K1298,0)</f>
        <v>240</v>
      </c>
      <c r="O1298" s="29">
        <f>IF(Table1[[#This Row],[Transaction Type]]="Purchase",E1298*J1298,0)</f>
        <v>0</v>
      </c>
    </row>
    <row r="1299" spans="1:15" x14ac:dyDescent="0.35">
      <c r="A1299" s="27" t="s">
        <v>1809</v>
      </c>
      <c r="B1299" s="12">
        <v>46051</v>
      </c>
      <c r="C1299" s="11" t="s">
        <v>77</v>
      </c>
      <c r="D1299" s="11" t="s">
        <v>40</v>
      </c>
      <c r="E1299" s="11">
        <v>92</v>
      </c>
      <c r="F1299" s="11">
        <f t="shared" si="41"/>
        <v>92</v>
      </c>
      <c r="G1299" s="11" t="s">
        <v>24</v>
      </c>
      <c r="H1299" s="11" t="s">
        <v>78</v>
      </c>
      <c r="I1299" s="11" t="s">
        <v>16</v>
      </c>
      <c r="J1299" s="11">
        <v>25</v>
      </c>
      <c r="K1299" s="11">
        <v>42</v>
      </c>
      <c r="L1299" s="11" t="s">
        <v>1810</v>
      </c>
      <c r="M1299" s="11">
        <f t="shared" si="40"/>
        <v>2300</v>
      </c>
      <c r="N1299" s="11">
        <f>IF(Table1[[#This Row],[Transaction Type]]="Sale",ABS(E1299)*K1299,0)</f>
        <v>0</v>
      </c>
      <c r="O1299" s="29">
        <f>IF(Table1[[#This Row],[Transaction Type]]="Purchase",E1299*J1299,0)</f>
        <v>2300</v>
      </c>
    </row>
    <row r="1300" spans="1:15" x14ac:dyDescent="0.35">
      <c r="A1300" s="27" t="s">
        <v>1811</v>
      </c>
      <c r="B1300" s="12">
        <v>46052</v>
      </c>
      <c r="C1300" s="11" t="s">
        <v>55</v>
      </c>
      <c r="D1300" s="11" t="s">
        <v>13</v>
      </c>
      <c r="E1300" s="11">
        <v>-14</v>
      </c>
      <c r="F1300" s="11">
        <f t="shared" si="41"/>
        <v>-14</v>
      </c>
      <c r="G1300" s="11" t="s">
        <v>14</v>
      </c>
      <c r="H1300" s="11" t="s">
        <v>56</v>
      </c>
      <c r="I1300" s="11" t="s">
        <v>16</v>
      </c>
      <c r="J1300" s="11">
        <v>4.2</v>
      </c>
      <c r="K1300" s="11">
        <v>10</v>
      </c>
      <c r="L1300" s="11"/>
      <c r="M1300" s="11">
        <f t="shared" si="40"/>
        <v>58.800000000000004</v>
      </c>
      <c r="N1300" s="11">
        <f>IF(Table1[[#This Row],[Transaction Type]]="Sale",ABS(E1300)*K1300,0)</f>
        <v>140</v>
      </c>
      <c r="O1300" s="29">
        <f>IF(Table1[[#This Row],[Transaction Type]]="Purchase",E1300*J1300,0)</f>
        <v>0</v>
      </c>
    </row>
    <row r="1301" spans="1:15" x14ac:dyDescent="0.35">
      <c r="A1301" s="27" t="s">
        <v>1812</v>
      </c>
      <c r="B1301" s="12">
        <v>46052</v>
      </c>
      <c r="C1301" s="11" t="s">
        <v>141</v>
      </c>
      <c r="D1301" s="11" t="s">
        <v>13</v>
      </c>
      <c r="E1301" s="11">
        <v>-13</v>
      </c>
      <c r="F1301" s="11">
        <f t="shared" si="41"/>
        <v>-13</v>
      </c>
      <c r="G1301" s="11" t="s">
        <v>14</v>
      </c>
      <c r="H1301" s="11" t="s">
        <v>25</v>
      </c>
      <c r="I1301" s="11" t="s">
        <v>26</v>
      </c>
      <c r="J1301" s="11">
        <v>4</v>
      </c>
      <c r="K1301" s="11">
        <v>9</v>
      </c>
      <c r="L1301" s="11"/>
      <c r="M1301" s="11">
        <f t="shared" si="40"/>
        <v>52</v>
      </c>
      <c r="N1301" s="11">
        <f>IF(Table1[[#This Row],[Transaction Type]]="Sale",ABS(E1301)*K1301,0)</f>
        <v>117</v>
      </c>
      <c r="O1301" s="29">
        <f>IF(Table1[[#This Row],[Transaction Type]]="Purchase",E1301*J1301,0)</f>
        <v>0</v>
      </c>
    </row>
    <row r="1302" spans="1:15" x14ac:dyDescent="0.35">
      <c r="A1302" s="27" t="s">
        <v>1813</v>
      </c>
      <c r="B1302" s="12">
        <v>46053</v>
      </c>
      <c r="C1302" s="11" t="s">
        <v>69</v>
      </c>
      <c r="D1302" s="11" t="s">
        <v>40</v>
      </c>
      <c r="E1302" s="11">
        <v>60</v>
      </c>
      <c r="F1302" s="11">
        <f t="shared" si="41"/>
        <v>60</v>
      </c>
      <c r="G1302" s="11" t="s">
        <v>24</v>
      </c>
      <c r="H1302" s="11" t="s">
        <v>70</v>
      </c>
      <c r="I1302" s="11" t="s">
        <v>16</v>
      </c>
      <c r="J1302" s="11">
        <v>23</v>
      </c>
      <c r="K1302" s="11">
        <v>38</v>
      </c>
      <c r="L1302" s="11" t="s">
        <v>1814</v>
      </c>
      <c r="M1302" s="11">
        <f t="shared" si="40"/>
        <v>1380</v>
      </c>
      <c r="N1302" s="11">
        <f>IF(Table1[[#This Row],[Transaction Type]]="Sale",ABS(E1302)*K1302,0)</f>
        <v>0</v>
      </c>
      <c r="O1302" s="29">
        <f>IF(Table1[[#This Row],[Transaction Type]]="Purchase",E1302*J1302,0)</f>
        <v>1380</v>
      </c>
    </row>
    <row r="1303" spans="1:15" x14ac:dyDescent="0.35">
      <c r="A1303" s="27" t="s">
        <v>1815</v>
      </c>
      <c r="B1303" s="12">
        <v>46053</v>
      </c>
      <c r="C1303" s="11" t="s">
        <v>18</v>
      </c>
      <c r="D1303" s="11" t="s">
        <v>40</v>
      </c>
      <c r="E1303" s="11">
        <v>48</v>
      </c>
      <c r="F1303" s="11">
        <f t="shared" si="41"/>
        <v>48</v>
      </c>
      <c r="G1303" s="11" t="s">
        <v>14</v>
      </c>
      <c r="H1303" s="11" t="s">
        <v>20</v>
      </c>
      <c r="I1303" s="11" t="s">
        <v>21</v>
      </c>
      <c r="J1303" s="11">
        <v>2.6</v>
      </c>
      <c r="K1303" s="11">
        <v>5.5</v>
      </c>
      <c r="L1303" s="11" t="s">
        <v>1816</v>
      </c>
      <c r="M1303" s="11">
        <f t="shared" si="40"/>
        <v>124.80000000000001</v>
      </c>
      <c r="N1303" s="11">
        <f>IF(Table1[[#This Row],[Transaction Type]]="Sale",ABS(E1303)*K1303,0)</f>
        <v>0</v>
      </c>
      <c r="O1303" s="29">
        <f>IF(Table1[[#This Row],[Transaction Type]]="Purchase",E1303*J1303,0)</f>
        <v>124.80000000000001</v>
      </c>
    </row>
    <row r="1304" spans="1:15" x14ac:dyDescent="0.35">
      <c r="A1304" s="27" t="s">
        <v>1817</v>
      </c>
      <c r="B1304" s="12">
        <v>46053</v>
      </c>
      <c r="C1304" s="11" t="s">
        <v>18</v>
      </c>
      <c r="D1304" s="11" t="s">
        <v>40</v>
      </c>
      <c r="E1304" s="11">
        <v>117</v>
      </c>
      <c r="F1304" s="11">
        <f t="shared" si="41"/>
        <v>117</v>
      </c>
      <c r="G1304" s="11" t="s">
        <v>24</v>
      </c>
      <c r="H1304" s="11" t="s">
        <v>20</v>
      </c>
      <c r="I1304" s="11" t="s">
        <v>21</v>
      </c>
      <c r="J1304" s="11">
        <v>2.6</v>
      </c>
      <c r="K1304" s="11">
        <v>5.5</v>
      </c>
      <c r="L1304" s="11" t="s">
        <v>1818</v>
      </c>
      <c r="M1304" s="11">
        <f t="shared" si="40"/>
        <v>304.2</v>
      </c>
      <c r="N1304" s="11">
        <f>IF(Table1[[#This Row],[Transaction Type]]="Sale",ABS(E1304)*K1304,0)</f>
        <v>0</v>
      </c>
      <c r="O1304" s="29">
        <f>IF(Table1[[#This Row],[Transaction Type]]="Purchase",E1304*J1304,0)</f>
        <v>304.2</v>
      </c>
    </row>
    <row r="1305" spans="1:15" x14ac:dyDescent="0.35">
      <c r="A1305" s="27" t="s">
        <v>1819</v>
      </c>
      <c r="B1305" s="12">
        <v>46053</v>
      </c>
      <c r="C1305" s="11" t="s">
        <v>139</v>
      </c>
      <c r="D1305" s="11" t="s">
        <v>13</v>
      </c>
      <c r="E1305" s="11">
        <v>-2</v>
      </c>
      <c r="F1305" s="11">
        <f t="shared" si="41"/>
        <v>-2</v>
      </c>
      <c r="G1305" s="11" t="s">
        <v>24</v>
      </c>
      <c r="H1305" s="11" t="s">
        <v>56</v>
      </c>
      <c r="I1305" s="11" t="s">
        <v>16</v>
      </c>
      <c r="J1305" s="11">
        <v>16.5</v>
      </c>
      <c r="K1305" s="11">
        <v>28</v>
      </c>
      <c r="L1305" s="11"/>
      <c r="M1305" s="11">
        <f t="shared" si="40"/>
        <v>33</v>
      </c>
      <c r="N1305" s="11">
        <f>IF(Table1[[#This Row],[Transaction Type]]="Sale",ABS(E1305)*K1305,0)</f>
        <v>56</v>
      </c>
      <c r="O1305" s="29">
        <f>IF(Table1[[#This Row],[Transaction Type]]="Purchase",E1305*J1305,0)</f>
        <v>0</v>
      </c>
    </row>
    <row r="1306" spans="1:15" x14ac:dyDescent="0.35">
      <c r="A1306" s="27" t="s">
        <v>1820</v>
      </c>
      <c r="B1306" s="12">
        <v>46053</v>
      </c>
      <c r="C1306" s="11" t="s">
        <v>65</v>
      </c>
      <c r="D1306" s="11" t="s">
        <v>13</v>
      </c>
      <c r="E1306" s="11">
        <v>-8</v>
      </c>
      <c r="F1306" s="11">
        <f t="shared" si="41"/>
        <v>-8</v>
      </c>
      <c r="G1306" s="11" t="s">
        <v>24</v>
      </c>
      <c r="H1306" s="11" t="s">
        <v>67</v>
      </c>
      <c r="I1306" s="11" t="s">
        <v>21</v>
      </c>
      <c r="J1306" s="11">
        <v>11</v>
      </c>
      <c r="K1306" s="11">
        <v>22</v>
      </c>
      <c r="L1306" s="11"/>
      <c r="M1306" s="11">
        <f t="shared" si="40"/>
        <v>88</v>
      </c>
      <c r="N1306" s="11">
        <f>IF(Table1[[#This Row],[Transaction Type]]="Sale",ABS(E1306)*K1306,0)</f>
        <v>176</v>
      </c>
      <c r="O1306" s="29">
        <f>IF(Table1[[#This Row],[Transaction Type]]="Purchase",E1306*J1306,0)</f>
        <v>0</v>
      </c>
    </row>
    <row r="1307" spans="1:15" x14ac:dyDescent="0.35">
      <c r="A1307" s="27" t="s">
        <v>1821</v>
      </c>
      <c r="B1307" s="12">
        <v>46053</v>
      </c>
      <c r="C1307" s="11" t="s">
        <v>136</v>
      </c>
      <c r="D1307" s="11" t="s">
        <v>13</v>
      </c>
      <c r="E1307" s="11">
        <v>-10</v>
      </c>
      <c r="F1307" s="11">
        <f t="shared" si="41"/>
        <v>-10</v>
      </c>
      <c r="G1307" s="11" t="s">
        <v>24</v>
      </c>
      <c r="H1307" s="11" t="s">
        <v>33</v>
      </c>
      <c r="I1307" s="11" t="s">
        <v>34</v>
      </c>
      <c r="J1307" s="11">
        <v>34</v>
      </c>
      <c r="K1307" s="11">
        <v>55</v>
      </c>
      <c r="L1307" s="11"/>
      <c r="M1307" s="11">
        <f t="shared" si="40"/>
        <v>340</v>
      </c>
      <c r="N1307" s="11">
        <f>IF(Table1[[#This Row],[Transaction Type]]="Sale",ABS(E1307)*K1307,0)</f>
        <v>550</v>
      </c>
      <c r="O1307" s="29">
        <f>IF(Table1[[#This Row],[Transaction Type]]="Purchase",E1307*J1307,0)</f>
        <v>0</v>
      </c>
    </row>
    <row r="1308" spans="1:15" x14ac:dyDescent="0.35">
      <c r="A1308" s="27" t="s">
        <v>1822</v>
      </c>
      <c r="B1308" s="12">
        <v>46054</v>
      </c>
      <c r="C1308" s="11" t="s">
        <v>94</v>
      </c>
      <c r="D1308" s="11" t="s">
        <v>13</v>
      </c>
      <c r="E1308" s="11">
        <v>-1</v>
      </c>
      <c r="F1308" s="11">
        <f t="shared" si="41"/>
        <v>-1</v>
      </c>
      <c r="G1308" s="11" t="s">
        <v>14</v>
      </c>
      <c r="H1308" s="11" t="s">
        <v>95</v>
      </c>
      <c r="I1308" s="11" t="s">
        <v>16</v>
      </c>
      <c r="J1308" s="11">
        <v>18.5</v>
      </c>
      <c r="K1308" s="11">
        <v>31</v>
      </c>
      <c r="L1308" s="11"/>
      <c r="M1308" s="11">
        <f t="shared" si="40"/>
        <v>18.5</v>
      </c>
      <c r="N1308" s="11">
        <f>IF(Table1[[#This Row],[Transaction Type]]="Sale",ABS(E1308)*K1308,0)</f>
        <v>31</v>
      </c>
      <c r="O1308" s="29">
        <f>IF(Table1[[#This Row],[Transaction Type]]="Purchase",E1308*J1308,0)</f>
        <v>0</v>
      </c>
    </row>
    <row r="1309" spans="1:15" x14ac:dyDescent="0.35">
      <c r="A1309" s="27" t="s">
        <v>1823</v>
      </c>
      <c r="B1309" s="12">
        <v>46054</v>
      </c>
      <c r="C1309" s="11" t="s">
        <v>43</v>
      </c>
      <c r="D1309" s="11" t="s">
        <v>13</v>
      </c>
      <c r="E1309" s="11">
        <v>-12</v>
      </c>
      <c r="F1309" s="11">
        <f t="shared" si="41"/>
        <v>-12</v>
      </c>
      <c r="G1309" s="11" t="s">
        <v>19</v>
      </c>
      <c r="H1309" s="11" t="s">
        <v>44</v>
      </c>
      <c r="I1309" s="11" t="s">
        <v>45</v>
      </c>
      <c r="J1309" s="11">
        <v>5.2</v>
      </c>
      <c r="K1309" s="11">
        <v>11</v>
      </c>
      <c r="L1309" s="11"/>
      <c r="M1309" s="11">
        <f t="shared" si="40"/>
        <v>62.400000000000006</v>
      </c>
      <c r="N1309" s="11">
        <f>IF(Table1[[#This Row],[Transaction Type]]="Sale",ABS(E1309)*K1309,0)</f>
        <v>132</v>
      </c>
      <c r="O1309" s="29">
        <f>IF(Table1[[#This Row],[Transaction Type]]="Purchase",E1309*J1309,0)</f>
        <v>0</v>
      </c>
    </row>
    <row r="1310" spans="1:15" x14ac:dyDescent="0.35">
      <c r="A1310" s="27" t="s">
        <v>1824</v>
      </c>
      <c r="B1310" s="12">
        <v>46054</v>
      </c>
      <c r="C1310" s="11" t="s">
        <v>23</v>
      </c>
      <c r="D1310" s="11" t="s">
        <v>13</v>
      </c>
      <c r="E1310" s="11">
        <v>-14</v>
      </c>
      <c r="F1310" s="11">
        <f t="shared" si="41"/>
        <v>-14</v>
      </c>
      <c r="G1310" s="11" t="s">
        <v>19</v>
      </c>
      <c r="H1310" s="11" t="s">
        <v>25</v>
      </c>
      <c r="I1310" s="11" t="s">
        <v>26</v>
      </c>
      <c r="J1310" s="11">
        <v>3</v>
      </c>
      <c r="K1310" s="11">
        <v>7</v>
      </c>
      <c r="L1310" s="11"/>
      <c r="M1310" s="11">
        <f t="shared" si="40"/>
        <v>42</v>
      </c>
      <c r="N1310" s="11">
        <f>IF(Table1[[#This Row],[Transaction Type]]="Sale",ABS(E1310)*K1310,0)</f>
        <v>98</v>
      </c>
      <c r="O1310" s="29">
        <f>IF(Table1[[#This Row],[Transaction Type]]="Purchase",E1310*J1310,0)</f>
        <v>0</v>
      </c>
    </row>
    <row r="1311" spans="1:15" x14ac:dyDescent="0.35">
      <c r="A1311" s="27" t="s">
        <v>1825</v>
      </c>
      <c r="B1311" s="12">
        <v>46054</v>
      </c>
      <c r="C1311" s="11" t="s">
        <v>60</v>
      </c>
      <c r="D1311" s="11" t="s">
        <v>13</v>
      </c>
      <c r="E1311" s="11">
        <v>-4</v>
      </c>
      <c r="F1311" s="11">
        <f t="shared" si="41"/>
        <v>-4</v>
      </c>
      <c r="G1311" s="11" t="s">
        <v>14</v>
      </c>
      <c r="H1311" s="11" t="s">
        <v>61</v>
      </c>
      <c r="I1311" s="11" t="s">
        <v>62</v>
      </c>
      <c r="J1311" s="11">
        <v>3.4</v>
      </c>
      <c r="K1311" s="11">
        <v>8</v>
      </c>
      <c r="L1311" s="11"/>
      <c r="M1311" s="11">
        <f t="shared" si="40"/>
        <v>13.6</v>
      </c>
      <c r="N1311" s="11">
        <f>IF(Table1[[#This Row],[Transaction Type]]="Sale",ABS(E1311)*K1311,0)</f>
        <v>32</v>
      </c>
      <c r="O1311" s="29">
        <f>IF(Table1[[#This Row],[Transaction Type]]="Purchase",E1311*J1311,0)</f>
        <v>0</v>
      </c>
    </row>
    <row r="1312" spans="1:15" x14ac:dyDescent="0.35">
      <c r="A1312" s="27" t="s">
        <v>1826</v>
      </c>
      <c r="B1312" s="12">
        <v>46055</v>
      </c>
      <c r="C1312" s="11" t="s">
        <v>36</v>
      </c>
      <c r="D1312" s="11" t="s">
        <v>40</v>
      </c>
      <c r="E1312" s="11">
        <v>41</v>
      </c>
      <c r="F1312" s="11">
        <f t="shared" si="41"/>
        <v>41</v>
      </c>
      <c r="G1312" s="11" t="s">
        <v>14</v>
      </c>
      <c r="H1312" s="11" t="s">
        <v>37</v>
      </c>
      <c r="I1312" s="11" t="s">
        <v>16</v>
      </c>
      <c r="J1312" s="11">
        <v>7.2</v>
      </c>
      <c r="K1312" s="11">
        <v>12.5</v>
      </c>
      <c r="L1312" s="11" t="s">
        <v>1827</v>
      </c>
      <c r="M1312" s="11">
        <f t="shared" si="40"/>
        <v>295.2</v>
      </c>
      <c r="N1312" s="11">
        <f>IF(Table1[[#This Row],[Transaction Type]]="Sale",ABS(E1312)*K1312,0)</f>
        <v>0</v>
      </c>
      <c r="O1312" s="29">
        <f>IF(Table1[[#This Row],[Transaction Type]]="Purchase",E1312*J1312,0)</f>
        <v>295.2</v>
      </c>
    </row>
    <row r="1313" spans="1:15" x14ac:dyDescent="0.35">
      <c r="A1313" s="27" t="s">
        <v>1828</v>
      </c>
      <c r="B1313" s="12">
        <v>46055</v>
      </c>
      <c r="C1313" s="11" t="s">
        <v>18</v>
      </c>
      <c r="D1313" s="11" t="s">
        <v>13</v>
      </c>
      <c r="E1313" s="11">
        <v>-11</v>
      </c>
      <c r="F1313" s="11">
        <f t="shared" si="41"/>
        <v>-11</v>
      </c>
      <c r="G1313" s="11" t="s">
        <v>14</v>
      </c>
      <c r="H1313" s="11" t="s">
        <v>20</v>
      </c>
      <c r="I1313" s="11" t="s">
        <v>21</v>
      </c>
      <c r="J1313" s="11">
        <v>2.6</v>
      </c>
      <c r="K1313" s="11">
        <v>5.5</v>
      </c>
      <c r="L1313" s="11"/>
      <c r="M1313" s="11">
        <f t="shared" si="40"/>
        <v>28.6</v>
      </c>
      <c r="N1313" s="11">
        <f>IF(Table1[[#This Row],[Transaction Type]]="Sale",ABS(E1313)*K1313,0)</f>
        <v>60.5</v>
      </c>
      <c r="O1313" s="29">
        <f>IF(Table1[[#This Row],[Transaction Type]]="Purchase",E1313*J1313,0)</f>
        <v>0</v>
      </c>
    </row>
    <row r="1314" spans="1:15" x14ac:dyDescent="0.35">
      <c r="A1314" s="27" t="s">
        <v>1829</v>
      </c>
      <c r="B1314" s="12">
        <v>46055</v>
      </c>
      <c r="C1314" s="11" t="s">
        <v>65</v>
      </c>
      <c r="D1314" s="11" t="s">
        <v>13</v>
      </c>
      <c r="E1314" s="11">
        <v>-15</v>
      </c>
      <c r="F1314" s="11">
        <f t="shared" si="41"/>
        <v>-15</v>
      </c>
      <c r="G1314" s="11" t="s">
        <v>14</v>
      </c>
      <c r="H1314" s="11" t="s">
        <v>67</v>
      </c>
      <c r="I1314" s="11" t="s">
        <v>21</v>
      </c>
      <c r="J1314" s="11">
        <v>11</v>
      </c>
      <c r="K1314" s="11">
        <v>22</v>
      </c>
      <c r="L1314" s="11"/>
      <c r="M1314" s="11">
        <f t="shared" si="40"/>
        <v>165</v>
      </c>
      <c r="N1314" s="11">
        <f>IF(Table1[[#This Row],[Transaction Type]]="Sale",ABS(E1314)*K1314,0)</f>
        <v>330</v>
      </c>
      <c r="O1314" s="29">
        <f>IF(Table1[[#This Row],[Transaction Type]]="Purchase",E1314*J1314,0)</f>
        <v>0</v>
      </c>
    </row>
    <row r="1315" spans="1:15" x14ac:dyDescent="0.35">
      <c r="A1315" s="27" t="s">
        <v>1830</v>
      </c>
      <c r="B1315" s="12">
        <v>46055</v>
      </c>
      <c r="C1315" s="11" t="s">
        <v>77</v>
      </c>
      <c r="D1315" s="11" t="s">
        <v>40</v>
      </c>
      <c r="E1315" s="11">
        <v>104</v>
      </c>
      <c r="F1315" s="11">
        <f t="shared" si="41"/>
        <v>104</v>
      </c>
      <c r="G1315" s="11" t="s">
        <v>14</v>
      </c>
      <c r="H1315" s="11" t="s">
        <v>78</v>
      </c>
      <c r="I1315" s="11" t="s">
        <v>16</v>
      </c>
      <c r="J1315" s="11">
        <v>25</v>
      </c>
      <c r="K1315" s="11">
        <v>42</v>
      </c>
      <c r="L1315" s="11" t="s">
        <v>1831</v>
      </c>
      <c r="M1315" s="11">
        <f t="shared" si="40"/>
        <v>2600</v>
      </c>
      <c r="N1315" s="11">
        <f>IF(Table1[[#This Row],[Transaction Type]]="Sale",ABS(E1315)*K1315,0)</f>
        <v>0</v>
      </c>
      <c r="O1315" s="29">
        <f>IF(Table1[[#This Row],[Transaction Type]]="Purchase",E1315*J1315,0)</f>
        <v>2600</v>
      </c>
    </row>
    <row r="1316" spans="1:15" x14ac:dyDescent="0.35">
      <c r="A1316" s="27" t="s">
        <v>1832</v>
      </c>
      <c r="B1316" s="12">
        <v>46056</v>
      </c>
      <c r="C1316" s="11" t="s">
        <v>141</v>
      </c>
      <c r="D1316" s="11" t="s">
        <v>13</v>
      </c>
      <c r="E1316" s="11">
        <v>-6</v>
      </c>
      <c r="F1316" s="11">
        <f t="shared" si="41"/>
        <v>-6</v>
      </c>
      <c r="G1316" s="11" t="s">
        <v>19</v>
      </c>
      <c r="H1316" s="11" t="s">
        <v>25</v>
      </c>
      <c r="I1316" s="11" t="s">
        <v>26</v>
      </c>
      <c r="J1316" s="11">
        <v>4</v>
      </c>
      <c r="K1316" s="11">
        <v>9</v>
      </c>
      <c r="L1316" s="11"/>
      <c r="M1316" s="11">
        <f t="shared" si="40"/>
        <v>24</v>
      </c>
      <c r="N1316" s="11">
        <f>IF(Table1[[#This Row],[Transaction Type]]="Sale",ABS(E1316)*K1316,0)</f>
        <v>54</v>
      </c>
      <c r="O1316" s="29">
        <f>IF(Table1[[#This Row],[Transaction Type]]="Purchase",E1316*J1316,0)</f>
        <v>0</v>
      </c>
    </row>
    <row r="1317" spans="1:15" x14ac:dyDescent="0.35">
      <c r="A1317" s="27" t="s">
        <v>1833</v>
      </c>
      <c r="B1317" s="12">
        <v>46056</v>
      </c>
      <c r="C1317" s="11" t="s">
        <v>43</v>
      </c>
      <c r="D1317" s="11" t="s">
        <v>40</v>
      </c>
      <c r="E1317" s="11">
        <v>75</v>
      </c>
      <c r="F1317" s="11">
        <f t="shared" si="41"/>
        <v>75</v>
      </c>
      <c r="G1317" s="11" t="s">
        <v>14</v>
      </c>
      <c r="H1317" s="11" t="s">
        <v>44</v>
      </c>
      <c r="I1317" s="11" t="s">
        <v>45</v>
      </c>
      <c r="J1317" s="11">
        <v>5.2</v>
      </c>
      <c r="K1317" s="11">
        <v>11</v>
      </c>
      <c r="L1317" s="11" t="s">
        <v>1834</v>
      </c>
      <c r="M1317" s="11">
        <f t="shared" si="40"/>
        <v>390</v>
      </c>
      <c r="N1317" s="11">
        <f>IF(Table1[[#This Row],[Transaction Type]]="Sale",ABS(E1317)*K1317,0)</f>
        <v>0</v>
      </c>
      <c r="O1317" s="29">
        <f>IF(Table1[[#This Row],[Transaction Type]]="Purchase",E1317*J1317,0)</f>
        <v>390</v>
      </c>
    </row>
    <row r="1318" spans="1:15" x14ac:dyDescent="0.35">
      <c r="A1318" s="27" t="s">
        <v>1835</v>
      </c>
      <c r="B1318" s="12">
        <v>46057</v>
      </c>
      <c r="C1318" s="11" t="s">
        <v>55</v>
      </c>
      <c r="D1318" s="11" t="s">
        <v>40</v>
      </c>
      <c r="E1318" s="11">
        <v>25</v>
      </c>
      <c r="F1318" s="11">
        <f t="shared" si="41"/>
        <v>25</v>
      </c>
      <c r="G1318" s="11" t="s">
        <v>19</v>
      </c>
      <c r="H1318" s="11" t="s">
        <v>56</v>
      </c>
      <c r="I1318" s="11" t="s">
        <v>16</v>
      </c>
      <c r="J1318" s="11">
        <v>4.2</v>
      </c>
      <c r="K1318" s="11">
        <v>10</v>
      </c>
      <c r="L1318" s="11" t="s">
        <v>1836</v>
      </c>
      <c r="M1318" s="11">
        <f t="shared" si="40"/>
        <v>105</v>
      </c>
      <c r="N1318" s="11">
        <f>IF(Table1[[#This Row],[Transaction Type]]="Sale",ABS(E1318)*K1318,0)</f>
        <v>0</v>
      </c>
      <c r="O1318" s="29">
        <f>IF(Table1[[#This Row],[Transaction Type]]="Purchase",E1318*J1318,0)</f>
        <v>105</v>
      </c>
    </row>
    <row r="1319" spans="1:15" x14ac:dyDescent="0.35">
      <c r="A1319" s="27" t="s">
        <v>1837</v>
      </c>
      <c r="B1319" s="12">
        <v>46058</v>
      </c>
      <c r="C1319" s="11" t="s">
        <v>109</v>
      </c>
      <c r="D1319" s="11" t="s">
        <v>40</v>
      </c>
      <c r="E1319" s="11">
        <v>96</v>
      </c>
      <c r="F1319" s="11">
        <f t="shared" si="41"/>
        <v>96</v>
      </c>
      <c r="G1319" s="11" t="s">
        <v>19</v>
      </c>
      <c r="H1319" s="11" t="s">
        <v>110</v>
      </c>
      <c r="I1319" s="11" t="s">
        <v>26</v>
      </c>
      <c r="J1319" s="11">
        <v>105</v>
      </c>
      <c r="K1319" s="11">
        <v>165</v>
      </c>
      <c r="L1319" s="11" t="s">
        <v>1838</v>
      </c>
      <c r="M1319" s="11">
        <f t="shared" si="40"/>
        <v>10080</v>
      </c>
      <c r="N1319" s="11">
        <f>IF(Table1[[#This Row],[Transaction Type]]="Sale",ABS(E1319)*K1319,0)</f>
        <v>0</v>
      </c>
      <c r="O1319" s="29">
        <f>IF(Table1[[#This Row],[Transaction Type]]="Purchase",E1319*J1319,0)</f>
        <v>10080</v>
      </c>
    </row>
    <row r="1320" spans="1:15" x14ac:dyDescent="0.35">
      <c r="A1320" s="27" t="s">
        <v>1839</v>
      </c>
      <c r="B1320" s="12">
        <v>46059</v>
      </c>
      <c r="C1320" s="11" t="s">
        <v>141</v>
      </c>
      <c r="D1320" s="11" t="s">
        <v>40</v>
      </c>
      <c r="E1320" s="11">
        <v>42</v>
      </c>
      <c r="F1320" s="11">
        <f t="shared" si="41"/>
        <v>42</v>
      </c>
      <c r="G1320" s="11" t="s">
        <v>14</v>
      </c>
      <c r="H1320" s="11" t="s">
        <v>25</v>
      </c>
      <c r="I1320" s="11" t="s">
        <v>26</v>
      </c>
      <c r="J1320" s="11">
        <v>4</v>
      </c>
      <c r="K1320" s="11">
        <v>9</v>
      </c>
      <c r="L1320" s="11" t="s">
        <v>1840</v>
      </c>
      <c r="M1320" s="11">
        <f t="shared" si="40"/>
        <v>168</v>
      </c>
      <c r="N1320" s="11">
        <f>IF(Table1[[#This Row],[Transaction Type]]="Sale",ABS(E1320)*K1320,0)</f>
        <v>0</v>
      </c>
      <c r="O1320" s="29">
        <f>IF(Table1[[#This Row],[Transaction Type]]="Purchase",E1320*J1320,0)</f>
        <v>168</v>
      </c>
    </row>
    <row r="1321" spans="1:15" x14ac:dyDescent="0.35">
      <c r="A1321" s="27" t="s">
        <v>1841</v>
      </c>
      <c r="B1321" s="12">
        <v>46059</v>
      </c>
      <c r="C1321" s="11" t="s">
        <v>81</v>
      </c>
      <c r="D1321" s="11" t="s">
        <v>13</v>
      </c>
      <c r="E1321" s="11">
        <v>-5</v>
      </c>
      <c r="F1321" s="11">
        <f t="shared" si="41"/>
        <v>-5</v>
      </c>
      <c r="G1321" s="11" t="s">
        <v>14</v>
      </c>
      <c r="H1321" s="11" t="s">
        <v>30</v>
      </c>
      <c r="I1321" s="11" t="s">
        <v>16</v>
      </c>
      <c r="J1321" s="11">
        <v>8</v>
      </c>
      <c r="K1321" s="11">
        <v>15</v>
      </c>
      <c r="L1321" s="11"/>
      <c r="M1321" s="11">
        <f t="shared" si="40"/>
        <v>40</v>
      </c>
      <c r="N1321" s="11">
        <f>IF(Table1[[#This Row],[Transaction Type]]="Sale",ABS(E1321)*K1321,0)</f>
        <v>75</v>
      </c>
      <c r="O1321" s="29">
        <f>IF(Table1[[#This Row],[Transaction Type]]="Purchase",E1321*J1321,0)</f>
        <v>0</v>
      </c>
    </row>
    <row r="1322" spans="1:15" x14ac:dyDescent="0.35">
      <c r="A1322" s="27" t="s">
        <v>1842</v>
      </c>
      <c r="B1322" s="12">
        <v>46059</v>
      </c>
      <c r="C1322" s="11" t="s">
        <v>141</v>
      </c>
      <c r="D1322" s="11" t="s">
        <v>13</v>
      </c>
      <c r="E1322" s="11">
        <v>-10</v>
      </c>
      <c r="F1322" s="11">
        <f t="shared" si="41"/>
        <v>-10</v>
      </c>
      <c r="G1322" s="11" t="s">
        <v>2522</v>
      </c>
      <c r="H1322" s="11" t="s">
        <v>25</v>
      </c>
      <c r="I1322" s="11" t="s">
        <v>26</v>
      </c>
      <c r="J1322" s="11">
        <v>4</v>
      </c>
      <c r="K1322" s="11">
        <v>9</v>
      </c>
      <c r="L1322" s="11"/>
      <c r="M1322" s="11">
        <f t="shared" si="40"/>
        <v>40</v>
      </c>
      <c r="N1322" s="11">
        <f>IF(Table1[[#This Row],[Transaction Type]]="Sale",ABS(E1322)*K1322,0)</f>
        <v>90</v>
      </c>
      <c r="O1322" s="29">
        <f>IF(Table1[[#This Row],[Transaction Type]]="Purchase",E1322*J1322,0)</f>
        <v>0</v>
      </c>
    </row>
    <row r="1323" spans="1:15" x14ac:dyDescent="0.35">
      <c r="A1323" s="27" t="s">
        <v>1843</v>
      </c>
      <c r="B1323" s="12">
        <v>46059</v>
      </c>
      <c r="C1323" s="11" t="s">
        <v>55</v>
      </c>
      <c r="D1323" s="11" t="s">
        <v>13</v>
      </c>
      <c r="E1323" s="11">
        <v>-10</v>
      </c>
      <c r="F1323" s="11">
        <f t="shared" si="41"/>
        <v>-10</v>
      </c>
      <c r="G1323" s="11" t="s">
        <v>14</v>
      </c>
      <c r="H1323" s="11" t="s">
        <v>56</v>
      </c>
      <c r="I1323" s="11" t="s">
        <v>16</v>
      </c>
      <c r="J1323" s="11">
        <v>4.2</v>
      </c>
      <c r="K1323" s="11">
        <v>10</v>
      </c>
      <c r="L1323" s="11"/>
      <c r="M1323" s="11">
        <f t="shared" si="40"/>
        <v>42</v>
      </c>
      <c r="N1323" s="11">
        <f>IF(Table1[[#This Row],[Transaction Type]]="Sale",ABS(E1323)*K1323,0)</f>
        <v>100</v>
      </c>
      <c r="O1323" s="29">
        <f>IF(Table1[[#This Row],[Transaction Type]]="Purchase",E1323*J1323,0)</f>
        <v>0</v>
      </c>
    </row>
    <row r="1324" spans="1:15" x14ac:dyDescent="0.35">
      <c r="A1324" s="27" t="s">
        <v>1844</v>
      </c>
      <c r="B1324" s="12">
        <v>46060</v>
      </c>
      <c r="C1324" s="11" t="s">
        <v>81</v>
      </c>
      <c r="D1324" s="11" t="s">
        <v>66</v>
      </c>
      <c r="E1324" s="11">
        <v>2</v>
      </c>
      <c r="F1324" s="11">
        <f t="shared" si="41"/>
        <v>2</v>
      </c>
      <c r="G1324" s="11" t="s">
        <v>14</v>
      </c>
      <c r="H1324" s="11" t="s">
        <v>30</v>
      </c>
      <c r="I1324" s="11" t="s">
        <v>16</v>
      </c>
      <c r="J1324" s="11">
        <v>8</v>
      </c>
      <c r="K1324" s="11">
        <v>15</v>
      </c>
      <c r="L1324" s="11"/>
      <c r="M1324" s="11">
        <f t="shared" si="40"/>
        <v>16</v>
      </c>
      <c r="N1324" s="11">
        <f>IF(Table1[[#This Row],[Transaction Type]]="Sale",ABS(E1324)*K1324,0)</f>
        <v>0</v>
      </c>
      <c r="O1324" s="29">
        <f>IF(Table1[[#This Row],[Transaction Type]]="Purchase",E1324*J1324,0)</f>
        <v>0</v>
      </c>
    </row>
    <row r="1325" spans="1:15" x14ac:dyDescent="0.35">
      <c r="A1325" s="27" t="s">
        <v>1845</v>
      </c>
      <c r="B1325" s="12">
        <v>46060</v>
      </c>
      <c r="C1325" s="11" t="s">
        <v>60</v>
      </c>
      <c r="D1325" s="11" t="s">
        <v>13</v>
      </c>
      <c r="E1325" s="11">
        <v>-3</v>
      </c>
      <c r="F1325" s="11">
        <f t="shared" si="41"/>
        <v>-3</v>
      </c>
      <c r="G1325" s="11" t="s">
        <v>24</v>
      </c>
      <c r="H1325" s="11" t="s">
        <v>61</v>
      </c>
      <c r="I1325" s="11" t="s">
        <v>62</v>
      </c>
      <c r="J1325" s="11">
        <v>3.4</v>
      </c>
      <c r="K1325" s="11">
        <v>8</v>
      </c>
      <c r="L1325" s="11"/>
      <c r="M1325" s="11">
        <f t="shared" si="40"/>
        <v>10.199999999999999</v>
      </c>
      <c r="N1325" s="11">
        <f>IF(Table1[[#This Row],[Transaction Type]]="Sale",ABS(E1325)*K1325,0)</f>
        <v>24</v>
      </c>
      <c r="O1325" s="29">
        <f>IF(Table1[[#This Row],[Transaction Type]]="Purchase",E1325*J1325,0)</f>
        <v>0</v>
      </c>
    </row>
    <row r="1326" spans="1:15" x14ac:dyDescent="0.35">
      <c r="A1326" s="27" t="s">
        <v>1846</v>
      </c>
      <c r="B1326" s="12">
        <v>46060</v>
      </c>
      <c r="C1326" s="11" t="s">
        <v>18</v>
      </c>
      <c r="D1326" s="11" t="s">
        <v>13</v>
      </c>
      <c r="E1326" s="11">
        <v>-7</v>
      </c>
      <c r="F1326" s="11">
        <f t="shared" si="41"/>
        <v>-7</v>
      </c>
      <c r="G1326" s="11" t="s">
        <v>14</v>
      </c>
      <c r="H1326" s="11" t="s">
        <v>20</v>
      </c>
      <c r="I1326" s="11" t="s">
        <v>21</v>
      </c>
      <c r="J1326" s="11">
        <v>2.6</v>
      </c>
      <c r="K1326" s="11">
        <v>5.5</v>
      </c>
      <c r="L1326" s="11"/>
      <c r="M1326" s="11">
        <f t="shared" si="40"/>
        <v>18.2</v>
      </c>
      <c r="N1326" s="11">
        <f>IF(Table1[[#This Row],[Transaction Type]]="Sale",ABS(E1326)*K1326,0)</f>
        <v>38.5</v>
      </c>
      <c r="O1326" s="29">
        <f>IF(Table1[[#This Row],[Transaction Type]]="Purchase",E1326*J1326,0)</f>
        <v>0</v>
      </c>
    </row>
    <row r="1327" spans="1:15" x14ac:dyDescent="0.35">
      <c r="A1327" s="27" t="s">
        <v>1847</v>
      </c>
      <c r="B1327" s="12">
        <v>46060</v>
      </c>
      <c r="C1327" s="11" t="s">
        <v>43</v>
      </c>
      <c r="D1327" s="11" t="s">
        <v>13</v>
      </c>
      <c r="E1327" s="11">
        <v>-10</v>
      </c>
      <c r="F1327" s="11">
        <f t="shared" si="41"/>
        <v>-10</v>
      </c>
      <c r="G1327" s="11" t="s">
        <v>19</v>
      </c>
      <c r="H1327" s="11" t="s">
        <v>44</v>
      </c>
      <c r="I1327" s="11" t="s">
        <v>45</v>
      </c>
      <c r="J1327" s="11">
        <v>5.2</v>
      </c>
      <c r="K1327" s="11">
        <v>11</v>
      </c>
      <c r="L1327" s="11"/>
      <c r="M1327" s="11">
        <f t="shared" si="40"/>
        <v>52</v>
      </c>
      <c r="N1327" s="11">
        <f>IF(Table1[[#This Row],[Transaction Type]]="Sale",ABS(E1327)*K1327,0)</f>
        <v>110</v>
      </c>
      <c r="O1327" s="29">
        <f>IF(Table1[[#This Row],[Transaction Type]]="Purchase",E1327*J1327,0)</f>
        <v>0</v>
      </c>
    </row>
    <row r="1328" spans="1:15" x14ac:dyDescent="0.35">
      <c r="A1328" s="27" t="s">
        <v>1848</v>
      </c>
      <c r="B1328" s="12">
        <v>46060</v>
      </c>
      <c r="C1328" s="11" t="s">
        <v>23</v>
      </c>
      <c r="D1328" s="11" t="s">
        <v>13</v>
      </c>
      <c r="E1328" s="11">
        <v>-13</v>
      </c>
      <c r="F1328" s="11">
        <f t="shared" si="41"/>
        <v>-13</v>
      </c>
      <c r="G1328" s="11" t="s">
        <v>24</v>
      </c>
      <c r="H1328" s="11" t="s">
        <v>25</v>
      </c>
      <c r="I1328" s="11" t="s">
        <v>26</v>
      </c>
      <c r="J1328" s="11">
        <v>3</v>
      </c>
      <c r="K1328" s="11">
        <v>7</v>
      </c>
      <c r="L1328" s="11"/>
      <c r="M1328" s="11">
        <f t="shared" si="40"/>
        <v>39</v>
      </c>
      <c r="N1328" s="11">
        <f>IF(Table1[[#This Row],[Transaction Type]]="Sale",ABS(E1328)*K1328,0)</f>
        <v>91</v>
      </c>
      <c r="O1328" s="29">
        <f>IF(Table1[[#This Row],[Transaction Type]]="Purchase",E1328*J1328,0)</f>
        <v>0</v>
      </c>
    </row>
    <row r="1329" spans="1:15" x14ac:dyDescent="0.35">
      <c r="A1329" s="27" t="s">
        <v>1849</v>
      </c>
      <c r="B1329" s="12">
        <v>46061</v>
      </c>
      <c r="C1329" s="11" t="s">
        <v>23</v>
      </c>
      <c r="D1329" s="11" t="s">
        <v>13</v>
      </c>
      <c r="E1329" s="11">
        <v>-1</v>
      </c>
      <c r="F1329" s="11">
        <f t="shared" si="41"/>
        <v>-1</v>
      </c>
      <c r="G1329" s="11" t="s">
        <v>24</v>
      </c>
      <c r="H1329" s="11" t="s">
        <v>25</v>
      </c>
      <c r="I1329" s="11" t="s">
        <v>26</v>
      </c>
      <c r="J1329" s="11">
        <v>3</v>
      </c>
      <c r="K1329" s="11">
        <v>7</v>
      </c>
      <c r="L1329" s="11"/>
      <c r="M1329" s="11">
        <f t="shared" si="40"/>
        <v>3</v>
      </c>
      <c r="N1329" s="11">
        <f>IF(Table1[[#This Row],[Transaction Type]]="Sale",ABS(E1329)*K1329,0)</f>
        <v>7</v>
      </c>
      <c r="O1329" s="29">
        <f>IF(Table1[[#This Row],[Transaction Type]]="Purchase",E1329*J1329,0)</f>
        <v>0</v>
      </c>
    </row>
    <row r="1330" spans="1:15" x14ac:dyDescent="0.35">
      <c r="A1330" s="27" t="s">
        <v>1850</v>
      </c>
      <c r="B1330" s="12">
        <v>46061</v>
      </c>
      <c r="C1330" s="11" t="s">
        <v>794</v>
      </c>
      <c r="D1330" s="11" t="s">
        <v>13</v>
      </c>
      <c r="E1330" s="11">
        <v>-5</v>
      </c>
      <c r="F1330" s="11">
        <f t="shared" si="41"/>
        <v>-5</v>
      </c>
      <c r="G1330" s="11" t="s">
        <v>14</v>
      </c>
      <c r="H1330" s="11" t="s">
        <v>74</v>
      </c>
      <c r="I1330" s="11" t="s">
        <v>75</v>
      </c>
      <c r="J1330" s="11">
        <v>82</v>
      </c>
      <c r="K1330" s="11">
        <v>135</v>
      </c>
      <c r="L1330" s="11"/>
      <c r="M1330" s="11">
        <f t="shared" si="40"/>
        <v>410</v>
      </c>
      <c r="N1330" s="11">
        <f>IF(Table1[[#This Row],[Transaction Type]]="Sale",ABS(E1330)*K1330,0)</f>
        <v>675</v>
      </c>
      <c r="O1330" s="29">
        <f>IF(Table1[[#This Row],[Transaction Type]]="Purchase",E1330*J1330,0)</f>
        <v>0</v>
      </c>
    </row>
    <row r="1331" spans="1:15" x14ac:dyDescent="0.35">
      <c r="A1331" s="27" t="s">
        <v>1851</v>
      </c>
      <c r="B1331" s="12">
        <v>46061</v>
      </c>
      <c r="C1331" s="11" t="s">
        <v>83</v>
      </c>
      <c r="D1331" s="11" t="s">
        <v>13</v>
      </c>
      <c r="E1331" s="11">
        <v>-6</v>
      </c>
      <c r="F1331" s="11">
        <f t="shared" si="41"/>
        <v>-6</v>
      </c>
      <c r="G1331" s="11" t="s">
        <v>19</v>
      </c>
      <c r="H1331" s="11" t="s">
        <v>84</v>
      </c>
      <c r="I1331" s="11" t="s">
        <v>45</v>
      </c>
      <c r="J1331" s="11">
        <v>130</v>
      </c>
      <c r="K1331" s="11">
        <v>185</v>
      </c>
      <c r="L1331" s="11"/>
      <c r="M1331" s="11">
        <f t="shared" si="40"/>
        <v>780</v>
      </c>
      <c r="N1331" s="11">
        <f>IF(Table1[[#This Row],[Transaction Type]]="Sale",ABS(E1331)*K1331,0)</f>
        <v>1110</v>
      </c>
      <c r="O1331" s="29">
        <f>IF(Table1[[#This Row],[Transaction Type]]="Purchase",E1331*J1331,0)</f>
        <v>0</v>
      </c>
    </row>
    <row r="1332" spans="1:15" x14ac:dyDescent="0.35">
      <c r="A1332" s="27" t="s">
        <v>1852</v>
      </c>
      <c r="B1332" s="12">
        <v>46061</v>
      </c>
      <c r="C1332" s="11" t="s">
        <v>60</v>
      </c>
      <c r="D1332" s="11" t="s">
        <v>13</v>
      </c>
      <c r="E1332" s="11">
        <v>-14</v>
      </c>
      <c r="F1332" s="11">
        <f t="shared" si="41"/>
        <v>-14</v>
      </c>
      <c r="G1332" s="11" t="s">
        <v>19</v>
      </c>
      <c r="H1332" s="11" t="s">
        <v>61</v>
      </c>
      <c r="I1332" s="11" t="s">
        <v>62</v>
      </c>
      <c r="J1332" s="11">
        <v>3.4</v>
      </c>
      <c r="K1332" s="11">
        <v>8</v>
      </c>
      <c r="L1332" s="11"/>
      <c r="M1332" s="11">
        <f t="shared" si="40"/>
        <v>47.6</v>
      </c>
      <c r="N1332" s="11">
        <f>IF(Table1[[#This Row],[Transaction Type]]="Sale",ABS(E1332)*K1332,0)</f>
        <v>112</v>
      </c>
      <c r="O1332" s="29">
        <f>IF(Table1[[#This Row],[Transaction Type]]="Purchase",E1332*J1332,0)</f>
        <v>0</v>
      </c>
    </row>
    <row r="1333" spans="1:15" x14ac:dyDescent="0.35">
      <c r="A1333" s="27" t="s">
        <v>1853</v>
      </c>
      <c r="B1333" s="12">
        <v>46062</v>
      </c>
      <c r="C1333" s="11" t="s">
        <v>60</v>
      </c>
      <c r="D1333" s="11" t="s">
        <v>13</v>
      </c>
      <c r="E1333" s="11">
        <v>-6</v>
      </c>
      <c r="F1333" s="11">
        <f t="shared" si="41"/>
        <v>-6</v>
      </c>
      <c r="G1333" s="11" t="s">
        <v>14</v>
      </c>
      <c r="H1333" s="11" t="s">
        <v>61</v>
      </c>
      <c r="I1333" s="11" t="s">
        <v>62</v>
      </c>
      <c r="J1333" s="11">
        <v>3.4</v>
      </c>
      <c r="K1333" s="11">
        <v>8</v>
      </c>
      <c r="L1333" s="11"/>
      <c r="M1333" s="11">
        <f t="shared" si="40"/>
        <v>20.399999999999999</v>
      </c>
      <c r="N1333" s="11">
        <f>IF(Table1[[#This Row],[Transaction Type]]="Sale",ABS(E1333)*K1333,0)</f>
        <v>48</v>
      </c>
      <c r="O1333" s="29">
        <f>IF(Table1[[#This Row],[Transaction Type]]="Purchase",E1333*J1333,0)</f>
        <v>0</v>
      </c>
    </row>
    <row r="1334" spans="1:15" x14ac:dyDescent="0.35">
      <c r="A1334" s="27" t="s">
        <v>1854</v>
      </c>
      <c r="B1334" s="12">
        <v>46062</v>
      </c>
      <c r="C1334" s="11" t="s">
        <v>136</v>
      </c>
      <c r="D1334" s="11" t="s">
        <v>40</v>
      </c>
      <c r="E1334" s="11">
        <v>91</v>
      </c>
      <c r="F1334" s="11">
        <f t="shared" si="41"/>
        <v>91</v>
      </c>
      <c r="G1334" s="11" t="s">
        <v>14</v>
      </c>
      <c r="H1334" s="11" t="s">
        <v>33</v>
      </c>
      <c r="I1334" s="11" t="s">
        <v>34</v>
      </c>
      <c r="J1334" s="11">
        <v>34</v>
      </c>
      <c r="K1334" s="11">
        <v>55</v>
      </c>
      <c r="L1334" s="11" t="s">
        <v>1855</v>
      </c>
      <c r="M1334" s="11">
        <f t="shared" si="40"/>
        <v>3094</v>
      </c>
      <c r="N1334" s="11">
        <f>IF(Table1[[#This Row],[Transaction Type]]="Sale",ABS(E1334)*K1334,0)</f>
        <v>0</v>
      </c>
      <c r="O1334" s="29">
        <f>IF(Table1[[#This Row],[Transaction Type]]="Purchase",E1334*J1334,0)</f>
        <v>3094</v>
      </c>
    </row>
    <row r="1335" spans="1:15" x14ac:dyDescent="0.35">
      <c r="A1335" s="27" t="s">
        <v>1856</v>
      </c>
      <c r="B1335" s="12">
        <v>46062</v>
      </c>
      <c r="C1335" s="11" t="s">
        <v>136</v>
      </c>
      <c r="D1335" s="11" t="s">
        <v>13</v>
      </c>
      <c r="E1335" s="11">
        <v>-12</v>
      </c>
      <c r="F1335" s="11">
        <f t="shared" si="41"/>
        <v>-12</v>
      </c>
      <c r="G1335" s="11" t="s">
        <v>14</v>
      </c>
      <c r="H1335" s="11" t="s">
        <v>33</v>
      </c>
      <c r="I1335" s="11" t="s">
        <v>34</v>
      </c>
      <c r="J1335" s="11">
        <v>34</v>
      </c>
      <c r="K1335" s="11">
        <v>55</v>
      </c>
      <c r="L1335" s="11"/>
      <c r="M1335" s="11">
        <f t="shared" si="40"/>
        <v>408</v>
      </c>
      <c r="N1335" s="11">
        <f>IF(Table1[[#This Row],[Transaction Type]]="Sale",ABS(E1335)*K1335,0)</f>
        <v>660</v>
      </c>
      <c r="O1335" s="29">
        <f>IF(Table1[[#This Row],[Transaction Type]]="Purchase",E1335*J1335,0)</f>
        <v>0</v>
      </c>
    </row>
    <row r="1336" spans="1:15" x14ac:dyDescent="0.35">
      <c r="A1336" s="27" t="s">
        <v>1857</v>
      </c>
      <c r="B1336" s="12">
        <v>46062</v>
      </c>
      <c r="C1336" s="11" t="s">
        <v>48</v>
      </c>
      <c r="D1336" s="11" t="s">
        <v>40</v>
      </c>
      <c r="E1336" s="11">
        <v>76</v>
      </c>
      <c r="F1336" s="11">
        <f t="shared" si="41"/>
        <v>76</v>
      </c>
      <c r="G1336" s="11" t="s">
        <v>24</v>
      </c>
      <c r="H1336" s="11" t="s">
        <v>49</v>
      </c>
      <c r="I1336" s="11" t="s">
        <v>21</v>
      </c>
      <c r="J1336" s="11">
        <v>8.5</v>
      </c>
      <c r="K1336" s="11">
        <v>18</v>
      </c>
      <c r="L1336" s="11" t="s">
        <v>1858</v>
      </c>
      <c r="M1336" s="11">
        <f t="shared" si="40"/>
        <v>646</v>
      </c>
      <c r="N1336" s="11">
        <f>IF(Table1[[#This Row],[Transaction Type]]="Sale",ABS(E1336)*K1336,0)</f>
        <v>0</v>
      </c>
      <c r="O1336" s="29">
        <f>IF(Table1[[#This Row],[Transaction Type]]="Purchase",E1336*J1336,0)</f>
        <v>646</v>
      </c>
    </row>
    <row r="1337" spans="1:15" x14ac:dyDescent="0.35">
      <c r="A1337" s="27" t="s">
        <v>1859</v>
      </c>
      <c r="B1337" s="12">
        <v>46063</v>
      </c>
      <c r="C1337" s="11" t="s">
        <v>32</v>
      </c>
      <c r="D1337" s="11" t="s">
        <v>58</v>
      </c>
      <c r="E1337" s="11">
        <v>-13</v>
      </c>
      <c r="F1337" s="11">
        <f t="shared" si="41"/>
        <v>-13</v>
      </c>
      <c r="G1337" s="11" t="s">
        <v>24</v>
      </c>
      <c r="H1337" s="11" t="s">
        <v>33</v>
      </c>
      <c r="I1337" s="11" t="s">
        <v>34</v>
      </c>
      <c r="J1337" s="11">
        <v>20</v>
      </c>
      <c r="K1337" s="11">
        <v>35</v>
      </c>
      <c r="L1337" s="11"/>
      <c r="M1337" s="11">
        <f t="shared" si="40"/>
        <v>260</v>
      </c>
      <c r="N1337" s="11">
        <f>IF(Table1[[#This Row],[Transaction Type]]="Sale",ABS(E1337)*K1337,0)</f>
        <v>0</v>
      </c>
      <c r="O1337" s="29">
        <f>IF(Table1[[#This Row],[Transaction Type]]="Purchase",E1337*J1337,0)</f>
        <v>0</v>
      </c>
    </row>
    <row r="1338" spans="1:15" x14ac:dyDescent="0.35">
      <c r="A1338" s="27" t="s">
        <v>1860</v>
      </c>
      <c r="B1338" s="12">
        <v>46064</v>
      </c>
      <c r="C1338" s="11" t="s">
        <v>55</v>
      </c>
      <c r="D1338" s="11" t="s">
        <v>13</v>
      </c>
      <c r="E1338" s="11">
        <v>-5</v>
      </c>
      <c r="F1338" s="11">
        <f t="shared" si="41"/>
        <v>-5</v>
      </c>
      <c r="G1338" s="11" t="s">
        <v>19</v>
      </c>
      <c r="H1338" s="11" t="s">
        <v>56</v>
      </c>
      <c r="I1338" s="11" t="s">
        <v>16</v>
      </c>
      <c r="J1338" s="11">
        <v>4.2</v>
      </c>
      <c r="K1338" s="11">
        <v>10</v>
      </c>
      <c r="L1338" s="11"/>
      <c r="M1338" s="11">
        <f t="shared" si="40"/>
        <v>21</v>
      </c>
      <c r="N1338" s="11">
        <f>IF(Table1[[#This Row],[Transaction Type]]="Sale",ABS(E1338)*K1338,0)</f>
        <v>50</v>
      </c>
      <c r="O1338" s="29">
        <f>IF(Table1[[#This Row],[Transaction Type]]="Purchase",E1338*J1338,0)</f>
        <v>0</v>
      </c>
    </row>
    <row r="1339" spans="1:15" x14ac:dyDescent="0.35">
      <c r="A1339" s="27" t="s">
        <v>1861</v>
      </c>
      <c r="B1339" s="12">
        <v>46064</v>
      </c>
      <c r="C1339" s="11" t="s">
        <v>139</v>
      </c>
      <c r="D1339" s="11" t="s">
        <v>58</v>
      </c>
      <c r="E1339" s="11">
        <v>13</v>
      </c>
      <c r="F1339" s="11">
        <f t="shared" si="41"/>
        <v>13</v>
      </c>
      <c r="G1339" s="11" t="s">
        <v>24</v>
      </c>
      <c r="H1339" s="11" t="s">
        <v>56</v>
      </c>
      <c r="I1339" s="11" t="s">
        <v>16</v>
      </c>
      <c r="J1339" s="11">
        <v>16.5</v>
      </c>
      <c r="K1339" s="11">
        <v>28</v>
      </c>
      <c r="L1339" s="11"/>
      <c r="M1339" s="11">
        <f t="shared" si="40"/>
        <v>214.5</v>
      </c>
      <c r="N1339" s="11">
        <f>IF(Table1[[#This Row],[Transaction Type]]="Sale",ABS(E1339)*K1339,0)</f>
        <v>0</v>
      </c>
      <c r="O1339" s="29">
        <f>IF(Table1[[#This Row],[Transaction Type]]="Purchase",E1339*J1339,0)</f>
        <v>0</v>
      </c>
    </row>
    <row r="1340" spans="1:15" x14ac:dyDescent="0.35">
      <c r="A1340" s="27" t="s">
        <v>1862</v>
      </c>
      <c r="B1340" s="12">
        <v>46064</v>
      </c>
      <c r="C1340" s="11" t="s">
        <v>55</v>
      </c>
      <c r="D1340" s="11" t="s">
        <v>13</v>
      </c>
      <c r="E1340" s="11">
        <v>-15</v>
      </c>
      <c r="F1340" s="11">
        <f t="shared" si="41"/>
        <v>-15</v>
      </c>
      <c r="G1340" s="11" t="s">
        <v>14</v>
      </c>
      <c r="H1340" s="11" t="s">
        <v>56</v>
      </c>
      <c r="I1340" s="11" t="s">
        <v>16</v>
      </c>
      <c r="J1340" s="11">
        <v>4.2</v>
      </c>
      <c r="K1340" s="11">
        <v>10</v>
      </c>
      <c r="L1340" s="11"/>
      <c r="M1340" s="11">
        <f t="shared" si="40"/>
        <v>63</v>
      </c>
      <c r="N1340" s="11">
        <f>IF(Table1[[#This Row],[Transaction Type]]="Sale",ABS(E1340)*K1340,0)</f>
        <v>150</v>
      </c>
      <c r="O1340" s="29">
        <f>IF(Table1[[#This Row],[Transaction Type]]="Purchase",E1340*J1340,0)</f>
        <v>0</v>
      </c>
    </row>
    <row r="1341" spans="1:15" x14ac:dyDescent="0.35">
      <c r="A1341" s="27" t="s">
        <v>1863</v>
      </c>
      <c r="B1341" s="12">
        <v>46065</v>
      </c>
      <c r="C1341" s="11" t="s">
        <v>23</v>
      </c>
      <c r="D1341" s="11" t="s">
        <v>13</v>
      </c>
      <c r="E1341" s="11">
        <v>-15</v>
      </c>
      <c r="F1341" s="11">
        <f t="shared" si="41"/>
        <v>-15</v>
      </c>
      <c r="G1341" s="11" t="s">
        <v>24</v>
      </c>
      <c r="H1341" s="11" t="s">
        <v>25</v>
      </c>
      <c r="I1341" s="11" t="s">
        <v>26</v>
      </c>
      <c r="J1341" s="11">
        <v>3</v>
      </c>
      <c r="K1341" s="11">
        <v>7</v>
      </c>
      <c r="L1341" s="11"/>
      <c r="M1341" s="11">
        <f t="shared" si="40"/>
        <v>45</v>
      </c>
      <c r="N1341" s="11">
        <f>IF(Table1[[#This Row],[Transaction Type]]="Sale",ABS(E1341)*K1341,0)</f>
        <v>105</v>
      </c>
      <c r="O1341" s="29">
        <f>IF(Table1[[#This Row],[Transaction Type]]="Purchase",E1341*J1341,0)</f>
        <v>0</v>
      </c>
    </row>
    <row r="1342" spans="1:15" x14ac:dyDescent="0.35">
      <c r="A1342" s="27" t="s">
        <v>1864</v>
      </c>
      <c r="B1342" s="12">
        <v>46065</v>
      </c>
      <c r="C1342" s="11" t="s">
        <v>65</v>
      </c>
      <c r="D1342" s="11" t="s">
        <v>40</v>
      </c>
      <c r="E1342" s="11">
        <v>81</v>
      </c>
      <c r="F1342" s="11">
        <f t="shared" si="41"/>
        <v>81</v>
      </c>
      <c r="G1342" s="11" t="s">
        <v>19</v>
      </c>
      <c r="H1342" s="11" t="s">
        <v>67</v>
      </c>
      <c r="I1342" s="11" t="s">
        <v>21</v>
      </c>
      <c r="J1342" s="11">
        <v>11</v>
      </c>
      <c r="K1342" s="11">
        <v>22</v>
      </c>
      <c r="L1342" s="11" t="s">
        <v>1865</v>
      </c>
      <c r="M1342" s="11">
        <f t="shared" si="40"/>
        <v>891</v>
      </c>
      <c r="N1342" s="11">
        <f>IF(Table1[[#This Row],[Transaction Type]]="Sale",ABS(E1342)*K1342,0)</f>
        <v>0</v>
      </c>
      <c r="O1342" s="29">
        <f>IF(Table1[[#This Row],[Transaction Type]]="Purchase",E1342*J1342,0)</f>
        <v>891</v>
      </c>
    </row>
    <row r="1343" spans="1:15" x14ac:dyDescent="0.35">
      <c r="A1343" s="27" t="s">
        <v>1866</v>
      </c>
      <c r="B1343" s="12">
        <v>46066</v>
      </c>
      <c r="C1343" s="11" t="s">
        <v>36</v>
      </c>
      <c r="D1343" s="11" t="s">
        <v>40</v>
      </c>
      <c r="E1343" s="11">
        <v>64</v>
      </c>
      <c r="F1343" s="11">
        <f t="shared" si="41"/>
        <v>64</v>
      </c>
      <c r="G1343" s="11" t="s">
        <v>24</v>
      </c>
      <c r="H1343" s="11" t="s">
        <v>37</v>
      </c>
      <c r="I1343" s="11" t="s">
        <v>16</v>
      </c>
      <c r="J1343" s="11">
        <v>7.2</v>
      </c>
      <c r="K1343" s="11">
        <v>12.5</v>
      </c>
      <c r="L1343" s="11" t="s">
        <v>1867</v>
      </c>
      <c r="M1343" s="11">
        <f t="shared" si="40"/>
        <v>460.8</v>
      </c>
      <c r="N1343" s="11">
        <f>IF(Table1[[#This Row],[Transaction Type]]="Sale",ABS(E1343)*K1343,0)</f>
        <v>0</v>
      </c>
      <c r="O1343" s="29">
        <f>IF(Table1[[#This Row],[Transaction Type]]="Purchase",E1343*J1343,0)</f>
        <v>460.8</v>
      </c>
    </row>
    <row r="1344" spans="1:15" x14ac:dyDescent="0.35">
      <c r="A1344" s="27" t="s">
        <v>1868</v>
      </c>
      <c r="B1344" s="12">
        <v>46066</v>
      </c>
      <c r="C1344" s="11" t="s">
        <v>52</v>
      </c>
      <c r="D1344" s="11" t="s">
        <v>58</v>
      </c>
      <c r="E1344" s="11">
        <v>-2</v>
      </c>
      <c r="F1344" s="11">
        <f t="shared" si="41"/>
        <v>-2</v>
      </c>
      <c r="G1344" s="11" t="s">
        <v>24</v>
      </c>
      <c r="H1344" s="11" t="s">
        <v>20</v>
      </c>
      <c r="I1344" s="11" t="s">
        <v>21</v>
      </c>
      <c r="J1344" s="11">
        <v>5.5</v>
      </c>
      <c r="K1344" s="11">
        <v>12</v>
      </c>
      <c r="L1344" s="11"/>
      <c r="M1344" s="11">
        <f t="shared" si="40"/>
        <v>11</v>
      </c>
      <c r="N1344" s="11">
        <f>IF(Table1[[#This Row],[Transaction Type]]="Sale",ABS(E1344)*K1344,0)</f>
        <v>0</v>
      </c>
      <c r="O1344" s="29">
        <f>IF(Table1[[#This Row],[Transaction Type]]="Purchase",E1344*J1344,0)</f>
        <v>0</v>
      </c>
    </row>
    <row r="1345" spans="1:15" x14ac:dyDescent="0.35">
      <c r="A1345" s="27" t="s">
        <v>1869</v>
      </c>
      <c r="B1345" s="12">
        <v>46066</v>
      </c>
      <c r="C1345" s="11" t="s">
        <v>12</v>
      </c>
      <c r="D1345" s="11" t="s">
        <v>58</v>
      </c>
      <c r="E1345" s="11">
        <v>12</v>
      </c>
      <c r="F1345" s="11">
        <f t="shared" si="41"/>
        <v>12</v>
      </c>
      <c r="G1345" s="11" t="s">
        <v>14</v>
      </c>
      <c r="H1345" s="11" t="s">
        <v>15</v>
      </c>
      <c r="I1345" s="11" t="s">
        <v>16</v>
      </c>
      <c r="J1345" s="11">
        <v>13.5</v>
      </c>
      <c r="K1345" s="11">
        <v>24</v>
      </c>
      <c r="L1345" s="11"/>
      <c r="M1345" s="11">
        <f t="shared" si="40"/>
        <v>162</v>
      </c>
      <c r="N1345" s="11">
        <f>IF(Table1[[#This Row],[Transaction Type]]="Sale",ABS(E1345)*K1345,0)</f>
        <v>0</v>
      </c>
      <c r="O1345" s="29">
        <f>IF(Table1[[#This Row],[Transaction Type]]="Purchase",E1345*J1345,0)</f>
        <v>0</v>
      </c>
    </row>
    <row r="1346" spans="1:15" x14ac:dyDescent="0.35">
      <c r="A1346" s="27" t="s">
        <v>1870</v>
      </c>
      <c r="B1346" s="12">
        <v>46067</v>
      </c>
      <c r="C1346" s="11" t="s">
        <v>94</v>
      </c>
      <c r="D1346" s="11" t="s">
        <v>13</v>
      </c>
      <c r="E1346" s="11">
        <v>-15</v>
      </c>
      <c r="F1346" s="11">
        <f t="shared" si="41"/>
        <v>-15</v>
      </c>
      <c r="G1346" s="11" t="s">
        <v>24</v>
      </c>
      <c r="H1346" s="11" t="s">
        <v>95</v>
      </c>
      <c r="I1346" s="11" t="s">
        <v>16</v>
      </c>
      <c r="J1346" s="11">
        <v>18.5</v>
      </c>
      <c r="K1346" s="11">
        <v>31</v>
      </c>
      <c r="L1346" s="11"/>
      <c r="M1346" s="11">
        <f t="shared" ref="M1346:M1409" si="42">ABS(E1346)*J1346</f>
        <v>277.5</v>
      </c>
      <c r="N1346" s="11">
        <f>IF(Table1[[#This Row],[Transaction Type]]="Sale",ABS(E1346)*K1346,0)</f>
        <v>465</v>
      </c>
      <c r="O1346" s="29">
        <f>IF(Table1[[#This Row],[Transaction Type]]="Purchase",E1346*J1346,0)</f>
        <v>0</v>
      </c>
    </row>
    <row r="1347" spans="1:15" x14ac:dyDescent="0.35">
      <c r="A1347" s="27" t="s">
        <v>1871</v>
      </c>
      <c r="B1347" s="12">
        <v>46067</v>
      </c>
      <c r="C1347" s="11" t="s">
        <v>52</v>
      </c>
      <c r="D1347" s="11" t="s">
        <v>13</v>
      </c>
      <c r="E1347" s="11">
        <v>-15</v>
      </c>
      <c r="F1347" s="11">
        <f t="shared" ref="F1347:F1410" si="43">E1347</f>
        <v>-15</v>
      </c>
      <c r="G1347" s="11" t="s">
        <v>19</v>
      </c>
      <c r="H1347" s="11" t="s">
        <v>20</v>
      </c>
      <c r="I1347" s="11" t="s">
        <v>21</v>
      </c>
      <c r="J1347" s="11">
        <v>5.5</v>
      </c>
      <c r="K1347" s="11">
        <v>12</v>
      </c>
      <c r="L1347" s="11"/>
      <c r="M1347" s="11">
        <f t="shared" si="42"/>
        <v>82.5</v>
      </c>
      <c r="N1347" s="11">
        <f>IF(Table1[[#This Row],[Transaction Type]]="Sale",ABS(E1347)*K1347,0)</f>
        <v>180</v>
      </c>
      <c r="O1347" s="29">
        <f>IF(Table1[[#This Row],[Transaction Type]]="Purchase",E1347*J1347,0)</f>
        <v>0</v>
      </c>
    </row>
    <row r="1348" spans="1:15" x14ac:dyDescent="0.35">
      <c r="A1348" s="27" t="s">
        <v>1872</v>
      </c>
      <c r="B1348" s="12">
        <v>46067</v>
      </c>
      <c r="C1348" s="11" t="s">
        <v>81</v>
      </c>
      <c r="D1348" s="11" t="s">
        <v>58</v>
      </c>
      <c r="E1348" s="11">
        <v>15</v>
      </c>
      <c r="F1348" s="11">
        <f t="shared" si="43"/>
        <v>15</v>
      </c>
      <c r="G1348" s="11" t="s">
        <v>24</v>
      </c>
      <c r="H1348" s="11" t="s">
        <v>30</v>
      </c>
      <c r="I1348" s="11" t="s">
        <v>16</v>
      </c>
      <c r="J1348" s="11">
        <v>8</v>
      </c>
      <c r="K1348" s="11">
        <v>15</v>
      </c>
      <c r="L1348" s="11"/>
      <c r="M1348" s="11">
        <f t="shared" si="42"/>
        <v>120</v>
      </c>
      <c r="N1348" s="11">
        <f>IF(Table1[[#This Row],[Transaction Type]]="Sale",ABS(E1348)*K1348,0)</f>
        <v>0</v>
      </c>
      <c r="O1348" s="29">
        <f>IF(Table1[[#This Row],[Transaction Type]]="Purchase",E1348*J1348,0)</f>
        <v>0</v>
      </c>
    </row>
    <row r="1349" spans="1:15" x14ac:dyDescent="0.35">
      <c r="A1349" s="27" t="s">
        <v>1873</v>
      </c>
      <c r="B1349" s="12">
        <v>46068</v>
      </c>
      <c r="C1349" s="11" t="s">
        <v>23</v>
      </c>
      <c r="D1349" s="11" t="s">
        <v>13</v>
      </c>
      <c r="E1349" s="11">
        <v>-11</v>
      </c>
      <c r="F1349" s="11">
        <f t="shared" si="43"/>
        <v>-11</v>
      </c>
      <c r="G1349" s="11" t="s">
        <v>14</v>
      </c>
      <c r="H1349" s="11" t="s">
        <v>25</v>
      </c>
      <c r="I1349" s="11" t="s">
        <v>26</v>
      </c>
      <c r="J1349" s="11">
        <v>3</v>
      </c>
      <c r="K1349" s="11">
        <v>7</v>
      </c>
      <c r="L1349" s="11"/>
      <c r="M1349" s="11">
        <f t="shared" si="42"/>
        <v>33</v>
      </c>
      <c r="N1349" s="11">
        <f>IF(Table1[[#This Row],[Transaction Type]]="Sale",ABS(E1349)*K1349,0)</f>
        <v>77</v>
      </c>
      <c r="O1349" s="29">
        <f>IF(Table1[[#This Row],[Transaction Type]]="Purchase",E1349*J1349,0)</f>
        <v>0</v>
      </c>
    </row>
    <row r="1350" spans="1:15" x14ac:dyDescent="0.35">
      <c r="A1350" s="27" t="s">
        <v>1874</v>
      </c>
      <c r="B1350" s="12">
        <v>46068</v>
      </c>
      <c r="C1350" s="11" t="s">
        <v>18</v>
      </c>
      <c r="D1350" s="11" t="s">
        <v>40</v>
      </c>
      <c r="E1350" s="11">
        <v>64</v>
      </c>
      <c r="F1350" s="11">
        <f t="shared" si="43"/>
        <v>64</v>
      </c>
      <c r="G1350" s="11" t="s">
        <v>14</v>
      </c>
      <c r="H1350" s="11" t="s">
        <v>20</v>
      </c>
      <c r="I1350" s="11" t="s">
        <v>21</v>
      </c>
      <c r="J1350" s="11">
        <v>2.6</v>
      </c>
      <c r="K1350" s="11">
        <v>5.5</v>
      </c>
      <c r="L1350" s="11" t="s">
        <v>1875</v>
      </c>
      <c r="M1350" s="11">
        <f t="shared" si="42"/>
        <v>166.4</v>
      </c>
      <c r="N1350" s="11">
        <f>IF(Table1[[#This Row],[Transaction Type]]="Sale",ABS(E1350)*K1350,0)</f>
        <v>0</v>
      </c>
      <c r="O1350" s="29">
        <f>IF(Table1[[#This Row],[Transaction Type]]="Purchase",E1350*J1350,0)</f>
        <v>166.4</v>
      </c>
    </row>
    <row r="1351" spans="1:15" x14ac:dyDescent="0.35">
      <c r="A1351" s="27" t="s">
        <v>1876</v>
      </c>
      <c r="B1351" s="12">
        <v>46069</v>
      </c>
      <c r="C1351" s="11" t="s">
        <v>55</v>
      </c>
      <c r="D1351" s="11" t="s">
        <v>40</v>
      </c>
      <c r="E1351" s="11">
        <v>32</v>
      </c>
      <c r="F1351" s="11">
        <f t="shared" si="43"/>
        <v>32</v>
      </c>
      <c r="G1351" s="11" t="s">
        <v>14</v>
      </c>
      <c r="H1351" s="11" t="s">
        <v>56</v>
      </c>
      <c r="I1351" s="11" t="s">
        <v>16</v>
      </c>
      <c r="J1351" s="11">
        <v>4.2</v>
      </c>
      <c r="K1351" s="11">
        <v>10</v>
      </c>
      <c r="L1351" s="11" t="s">
        <v>1877</v>
      </c>
      <c r="M1351" s="11">
        <f t="shared" si="42"/>
        <v>134.4</v>
      </c>
      <c r="N1351" s="11">
        <f>IF(Table1[[#This Row],[Transaction Type]]="Sale",ABS(E1351)*K1351,0)</f>
        <v>0</v>
      </c>
      <c r="O1351" s="29">
        <f>IF(Table1[[#This Row],[Transaction Type]]="Purchase",E1351*J1351,0)</f>
        <v>134.4</v>
      </c>
    </row>
    <row r="1352" spans="1:15" x14ac:dyDescent="0.35">
      <c r="A1352" s="27" t="s">
        <v>1878</v>
      </c>
      <c r="B1352" s="12">
        <v>46069</v>
      </c>
      <c r="C1352" s="11" t="s">
        <v>60</v>
      </c>
      <c r="D1352" s="11" t="s">
        <v>40</v>
      </c>
      <c r="E1352" s="11">
        <v>74</v>
      </c>
      <c r="F1352" s="11">
        <f t="shared" si="43"/>
        <v>74</v>
      </c>
      <c r="G1352" s="11" t="s">
        <v>14</v>
      </c>
      <c r="H1352" s="11" t="s">
        <v>61</v>
      </c>
      <c r="I1352" s="11" t="s">
        <v>62</v>
      </c>
      <c r="J1352" s="11">
        <v>3.4</v>
      </c>
      <c r="K1352" s="11">
        <v>8</v>
      </c>
      <c r="L1352" s="11" t="s">
        <v>1879</v>
      </c>
      <c r="M1352" s="11">
        <f t="shared" si="42"/>
        <v>251.6</v>
      </c>
      <c r="N1352" s="11">
        <f>IF(Table1[[#This Row],[Transaction Type]]="Sale",ABS(E1352)*K1352,0)</f>
        <v>0</v>
      </c>
      <c r="O1352" s="29">
        <f>IF(Table1[[#This Row],[Transaction Type]]="Purchase",E1352*J1352,0)</f>
        <v>251.6</v>
      </c>
    </row>
    <row r="1353" spans="1:15" x14ac:dyDescent="0.35">
      <c r="A1353" s="27" t="s">
        <v>1880</v>
      </c>
      <c r="B1353" s="12">
        <v>46069</v>
      </c>
      <c r="C1353" s="11" t="s">
        <v>98</v>
      </c>
      <c r="D1353" s="11" t="s">
        <v>40</v>
      </c>
      <c r="E1353" s="11">
        <v>78</v>
      </c>
      <c r="F1353" s="11">
        <f t="shared" si="43"/>
        <v>78</v>
      </c>
      <c r="G1353" s="11" t="s">
        <v>24</v>
      </c>
      <c r="H1353" s="11" t="s">
        <v>30</v>
      </c>
      <c r="I1353" s="11" t="s">
        <v>16</v>
      </c>
      <c r="J1353" s="11">
        <v>16</v>
      </c>
      <c r="K1353" s="11">
        <v>29</v>
      </c>
      <c r="L1353" s="11" t="s">
        <v>1881</v>
      </c>
      <c r="M1353" s="11">
        <f t="shared" si="42"/>
        <v>1248</v>
      </c>
      <c r="N1353" s="11">
        <f>IF(Table1[[#This Row],[Transaction Type]]="Sale",ABS(E1353)*K1353,0)</f>
        <v>0</v>
      </c>
      <c r="O1353" s="29">
        <f>IF(Table1[[#This Row],[Transaction Type]]="Purchase",E1353*J1353,0)</f>
        <v>1248</v>
      </c>
    </row>
    <row r="1354" spans="1:15" x14ac:dyDescent="0.35">
      <c r="A1354" s="27" t="s">
        <v>1882</v>
      </c>
      <c r="B1354" s="12">
        <v>46069</v>
      </c>
      <c r="C1354" s="11" t="s">
        <v>36</v>
      </c>
      <c r="D1354" s="11" t="s">
        <v>13</v>
      </c>
      <c r="E1354" s="11">
        <v>-1</v>
      </c>
      <c r="F1354" s="11">
        <f t="shared" si="43"/>
        <v>-1</v>
      </c>
      <c r="G1354" s="11" t="s">
        <v>24</v>
      </c>
      <c r="H1354" s="11" t="s">
        <v>37</v>
      </c>
      <c r="I1354" s="11" t="s">
        <v>16</v>
      </c>
      <c r="J1354" s="11">
        <v>7.2</v>
      </c>
      <c r="K1354" s="11">
        <v>12.5</v>
      </c>
      <c r="L1354" s="11"/>
      <c r="M1354" s="11">
        <f t="shared" si="42"/>
        <v>7.2</v>
      </c>
      <c r="N1354" s="11">
        <f>IF(Table1[[#This Row],[Transaction Type]]="Sale",ABS(E1354)*K1354,0)</f>
        <v>12.5</v>
      </c>
      <c r="O1354" s="29">
        <f>IF(Table1[[#This Row],[Transaction Type]]="Purchase",E1354*J1354,0)</f>
        <v>0</v>
      </c>
    </row>
    <row r="1355" spans="1:15" x14ac:dyDescent="0.35">
      <c r="A1355" s="27" t="s">
        <v>1883</v>
      </c>
      <c r="B1355" s="12">
        <v>46069</v>
      </c>
      <c r="C1355" s="11" t="s">
        <v>18</v>
      </c>
      <c r="D1355" s="11" t="s">
        <v>13</v>
      </c>
      <c r="E1355" s="11">
        <v>-8</v>
      </c>
      <c r="F1355" s="11">
        <f t="shared" si="43"/>
        <v>-8</v>
      </c>
      <c r="G1355" s="11" t="s">
        <v>14</v>
      </c>
      <c r="H1355" s="11" t="s">
        <v>20</v>
      </c>
      <c r="I1355" s="11" t="s">
        <v>21</v>
      </c>
      <c r="J1355" s="11">
        <v>2.6</v>
      </c>
      <c r="K1355" s="11">
        <v>5.5</v>
      </c>
      <c r="L1355" s="11"/>
      <c r="M1355" s="11">
        <f t="shared" si="42"/>
        <v>20.8</v>
      </c>
      <c r="N1355" s="11">
        <f>IF(Table1[[#This Row],[Transaction Type]]="Sale",ABS(E1355)*K1355,0)</f>
        <v>44</v>
      </c>
      <c r="O1355" s="29">
        <f>IF(Table1[[#This Row],[Transaction Type]]="Purchase",E1355*J1355,0)</f>
        <v>0</v>
      </c>
    </row>
    <row r="1356" spans="1:15" x14ac:dyDescent="0.35">
      <c r="A1356" s="27" t="s">
        <v>1884</v>
      </c>
      <c r="B1356" s="12">
        <v>46070</v>
      </c>
      <c r="C1356" s="11" t="s">
        <v>94</v>
      </c>
      <c r="D1356" s="11" t="s">
        <v>13</v>
      </c>
      <c r="E1356" s="11">
        <v>-4</v>
      </c>
      <c r="F1356" s="11">
        <f t="shared" si="43"/>
        <v>-4</v>
      </c>
      <c r="G1356" s="11" t="s">
        <v>19</v>
      </c>
      <c r="H1356" s="11" t="s">
        <v>95</v>
      </c>
      <c r="I1356" s="11" t="s">
        <v>16</v>
      </c>
      <c r="J1356" s="11">
        <v>18.5</v>
      </c>
      <c r="K1356" s="11">
        <v>31</v>
      </c>
      <c r="L1356" s="11"/>
      <c r="M1356" s="11">
        <f t="shared" si="42"/>
        <v>74</v>
      </c>
      <c r="N1356" s="11">
        <f>IF(Table1[[#This Row],[Transaction Type]]="Sale",ABS(E1356)*K1356,0)</f>
        <v>124</v>
      </c>
      <c r="O1356" s="29">
        <f>IF(Table1[[#This Row],[Transaction Type]]="Purchase",E1356*J1356,0)</f>
        <v>0</v>
      </c>
    </row>
    <row r="1357" spans="1:15" x14ac:dyDescent="0.35">
      <c r="A1357" s="27" t="s">
        <v>1885</v>
      </c>
      <c r="B1357" s="12">
        <v>46070</v>
      </c>
      <c r="C1357" s="11" t="s">
        <v>81</v>
      </c>
      <c r="D1357" s="11" t="s">
        <v>13</v>
      </c>
      <c r="E1357" s="11">
        <v>-8</v>
      </c>
      <c r="F1357" s="11">
        <f t="shared" si="43"/>
        <v>-8</v>
      </c>
      <c r="G1357" s="11" t="s">
        <v>14</v>
      </c>
      <c r="H1357" s="11" t="s">
        <v>487</v>
      </c>
      <c r="I1357" s="11" t="s">
        <v>16</v>
      </c>
      <c r="J1357" s="11">
        <v>8</v>
      </c>
      <c r="K1357" s="11">
        <v>15</v>
      </c>
      <c r="L1357" s="11"/>
      <c r="M1357" s="11">
        <f t="shared" si="42"/>
        <v>64</v>
      </c>
      <c r="N1357" s="11">
        <f>IF(Table1[[#This Row],[Transaction Type]]="Sale",ABS(E1357)*K1357,0)</f>
        <v>120</v>
      </c>
      <c r="O1357" s="29">
        <f>IF(Table1[[#This Row],[Transaction Type]]="Purchase",E1357*J1357,0)</f>
        <v>0</v>
      </c>
    </row>
    <row r="1358" spans="1:15" x14ac:dyDescent="0.35">
      <c r="A1358" s="27" t="s">
        <v>1886</v>
      </c>
      <c r="B1358" s="12">
        <v>46070</v>
      </c>
      <c r="C1358" s="11" t="s">
        <v>136</v>
      </c>
      <c r="D1358" s="11" t="s">
        <v>13</v>
      </c>
      <c r="E1358" s="11">
        <v>-9</v>
      </c>
      <c r="F1358" s="11">
        <f t="shared" si="43"/>
        <v>-9</v>
      </c>
      <c r="G1358" s="11" t="s">
        <v>14</v>
      </c>
      <c r="H1358" s="11" t="s">
        <v>33</v>
      </c>
      <c r="I1358" s="11" t="s">
        <v>34</v>
      </c>
      <c r="J1358" s="11">
        <v>34</v>
      </c>
      <c r="K1358" s="11">
        <v>55</v>
      </c>
      <c r="L1358" s="11"/>
      <c r="M1358" s="11">
        <f t="shared" si="42"/>
        <v>306</v>
      </c>
      <c r="N1358" s="11">
        <f>IF(Table1[[#This Row],[Transaction Type]]="Sale",ABS(E1358)*K1358,0)</f>
        <v>495</v>
      </c>
      <c r="O1358" s="29">
        <f>IF(Table1[[#This Row],[Transaction Type]]="Purchase",E1358*J1358,0)</f>
        <v>0</v>
      </c>
    </row>
    <row r="1359" spans="1:15" x14ac:dyDescent="0.35">
      <c r="A1359" s="27" t="s">
        <v>1887</v>
      </c>
      <c r="B1359" s="12">
        <v>46070</v>
      </c>
      <c r="C1359" s="11" t="s">
        <v>83</v>
      </c>
      <c r="D1359" s="11" t="s">
        <v>13</v>
      </c>
      <c r="E1359" s="11">
        <v>-1</v>
      </c>
      <c r="F1359" s="11">
        <f t="shared" si="43"/>
        <v>-1</v>
      </c>
      <c r="G1359" s="11" t="s">
        <v>19</v>
      </c>
      <c r="H1359" s="11" t="s">
        <v>84</v>
      </c>
      <c r="I1359" s="11" t="s">
        <v>45</v>
      </c>
      <c r="J1359" s="11">
        <v>130</v>
      </c>
      <c r="K1359" s="11">
        <v>185</v>
      </c>
      <c r="L1359" s="11"/>
      <c r="M1359" s="11">
        <f t="shared" si="42"/>
        <v>130</v>
      </c>
      <c r="N1359" s="11">
        <f>IF(Table1[[#This Row],[Transaction Type]]="Sale",ABS(E1359)*K1359,0)</f>
        <v>185</v>
      </c>
      <c r="O1359" s="29">
        <f>IF(Table1[[#This Row],[Transaction Type]]="Purchase",E1359*J1359,0)</f>
        <v>0</v>
      </c>
    </row>
    <row r="1360" spans="1:15" x14ac:dyDescent="0.35">
      <c r="A1360" s="27" t="s">
        <v>1888</v>
      </c>
      <c r="B1360" s="12">
        <v>46071</v>
      </c>
      <c r="C1360" s="11" t="s">
        <v>139</v>
      </c>
      <c r="D1360" s="11" t="s">
        <v>40</v>
      </c>
      <c r="E1360" s="11">
        <v>54</v>
      </c>
      <c r="F1360" s="11">
        <f t="shared" si="43"/>
        <v>54</v>
      </c>
      <c r="G1360" s="11" t="s">
        <v>14</v>
      </c>
      <c r="H1360" s="11" t="s">
        <v>56</v>
      </c>
      <c r="I1360" s="11" t="s">
        <v>16</v>
      </c>
      <c r="J1360" s="11">
        <v>16.5</v>
      </c>
      <c r="K1360" s="11">
        <v>28</v>
      </c>
      <c r="L1360" s="11" t="s">
        <v>1889</v>
      </c>
      <c r="M1360" s="11">
        <f t="shared" si="42"/>
        <v>891</v>
      </c>
      <c r="N1360" s="11">
        <f>IF(Table1[[#This Row],[Transaction Type]]="Sale",ABS(E1360)*K1360,0)</f>
        <v>0</v>
      </c>
      <c r="O1360" s="29">
        <f>IF(Table1[[#This Row],[Transaction Type]]="Purchase",E1360*J1360,0)</f>
        <v>891</v>
      </c>
    </row>
    <row r="1361" spans="1:15" x14ac:dyDescent="0.35">
      <c r="A1361" s="27" t="s">
        <v>1890</v>
      </c>
      <c r="B1361" s="12">
        <v>46071</v>
      </c>
      <c r="C1361" s="11" t="s">
        <v>55</v>
      </c>
      <c r="D1361" s="11" t="s">
        <v>13</v>
      </c>
      <c r="E1361" s="11">
        <v>-11</v>
      </c>
      <c r="F1361" s="11">
        <f t="shared" si="43"/>
        <v>-11</v>
      </c>
      <c r="G1361" s="11" t="s">
        <v>14</v>
      </c>
      <c r="H1361" s="11" t="s">
        <v>56</v>
      </c>
      <c r="I1361" s="11" t="s">
        <v>16</v>
      </c>
      <c r="J1361" s="11">
        <v>4.2</v>
      </c>
      <c r="K1361" s="11">
        <v>10</v>
      </c>
      <c r="L1361" s="11"/>
      <c r="M1361" s="11">
        <f t="shared" si="42"/>
        <v>46.2</v>
      </c>
      <c r="N1361" s="11">
        <f>IF(Table1[[#This Row],[Transaction Type]]="Sale",ABS(E1361)*K1361,0)</f>
        <v>110</v>
      </c>
      <c r="O1361" s="29">
        <f>IF(Table1[[#This Row],[Transaction Type]]="Purchase",E1361*J1361,0)</f>
        <v>0</v>
      </c>
    </row>
    <row r="1362" spans="1:15" x14ac:dyDescent="0.35">
      <c r="A1362" s="27" t="s">
        <v>1891</v>
      </c>
      <c r="B1362" s="12">
        <v>46072</v>
      </c>
      <c r="C1362" s="11" t="s">
        <v>60</v>
      </c>
      <c r="D1362" s="11" t="s">
        <v>13</v>
      </c>
      <c r="E1362" s="11">
        <v>-11</v>
      </c>
      <c r="F1362" s="11">
        <f t="shared" si="43"/>
        <v>-11</v>
      </c>
      <c r="G1362" s="11" t="s">
        <v>14</v>
      </c>
      <c r="H1362" s="11" t="s">
        <v>61</v>
      </c>
      <c r="I1362" s="11" t="s">
        <v>62</v>
      </c>
      <c r="J1362" s="11">
        <v>3.4</v>
      </c>
      <c r="K1362" s="11">
        <v>8</v>
      </c>
      <c r="L1362" s="11"/>
      <c r="M1362" s="11">
        <f t="shared" si="42"/>
        <v>37.4</v>
      </c>
      <c r="N1362" s="11">
        <f>IF(Table1[[#This Row],[Transaction Type]]="Sale",ABS(E1362)*K1362,0)</f>
        <v>88</v>
      </c>
      <c r="O1362" s="29">
        <f>IF(Table1[[#This Row],[Transaction Type]]="Purchase",E1362*J1362,0)</f>
        <v>0</v>
      </c>
    </row>
    <row r="1363" spans="1:15" x14ac:dyDescent="0.35">
      <c r="A1363" s="27" t="s">
        <v>1892</v>
      </c>
      <c r="B1363" s="12">
        <v>46072</v>
      </c>
      <c r="C1363" s="11" t="s">
        <v>32</v>
      </c>
      <c r="D1363" s="11" t="s">
        <v>13</v>
      </c>
      <c r="E1363" s="11">
        <v>-11</v>
      </c>
      <c r="F1363" s="11">
        <f t="shared" si="43"/>
        <v>-11</v>
      </c>
      <c r="G1363" s="11" t="s">
        <v>24</v>
      </c>
      <c r="H1363" s="11" t="s">
        <v>33</v>
      </c>
      <c r="I1363" s="11" t="s">
        <v>34</v>
      </c>
      <c r="J1363" s="11">
        <v>20</v>
      </c>
      <c r="K1363" s="11">
        <v>35</v>
      </c>
      <c r="L1363" s="11"/>
      <c r="M1363" s="11">
        <f t="shared" si="42"/>
        <v>220</v>
      </c>
      <c r="N1363" s="11">
        <f>IF(Table1[[#This Row],[Transaction Type]]="Sale",ABS(E1363)*K1363,0)</f>
        <v>385</v>
      </c>
      <c r="O1363" s="29">
        <f>IF(Table1[[#This Row],[Transaction Type]]="Purchase",E1363*J1363,0)</f>
        <v>0</v>
      </c>
    </row>
    <row r="1364" spans="1:15" x14ac:dyDescent="0.35">
      <c r="A1364" s="27" t="s">
        <v>1893</v>
      </c>
      <c r="B1364" s="12">
        <v>46072</v>
      </c>
      <c r="C1364" s="11" t="s">
        <v>109</v>
      </c>
      <c r="D1364" s="11" t="s">
        <v>13</v>
      </c>
      <c r="E1364" s="11">
        <v>-9</v>
      </c>
      <c r="F1364" s="11">
        <f t="shared" si="43"/>
        <v>-9</v>
      </c>
      <c r="G1364" s="11" t="s">
        <v>24</v>
      </c>
      <c r="H1364" s="11" t="s">
        <v>110</v>
      </c>
      <c r="I1364" s="11" t="s">
        <v>26</v>
      </c>
      <c r="J1364" s="11">
        <v>105</v>
      </c>
      <c r="K1364" s="11">
        <v>165</v>
      </c>
      <c r="L1364" s="11"/>
      <c r="M1364" s="11">
        <f t="shared" si="42"/>
        <v>945</v>
      </c>
      <c r="N1364" s="11">
        <f>IF(Table1[[#This Row],[Transaction Type]]="Sale",ABS(E1364)*K1364,0)</f>
        <v>1485</v>
      </c>
      <c r="O1364" s="29">
        <f>IF(Table1[[#This Row],[Transaction Type]]="Purchase",E1364*J1364,0)</f>
        <v>0</v>
      </c>
    </row>
    <row r="1365" spans="1:15" x14ac:dyDescent="0.35">
      <c r="A1365" s="27" t="s">
        <v>1894</v>
      </c>
      <c r="B1365" s="12">
        <v>46072</v>
      </c>
      <c r="C1365" s="11" t="s">
        <v>73</v>
      </c>
      <c r="D1365" s="11" t="s">
        <v>40</v>
      </c>
      <c r="E1365" s="11">
        <v>77</v>
      </c>
      <c r="F1365" s="11">
        <f t="shared" si="43"/>
        <v>77</v>
      </c>
      <c r="G1365" s="11" t="s">
        <v>24</v>
      </c>
      <c r="H1365" s="11" t="s">
        <v>74</v>
      </c>
      <c r="I1365" s="11" t="s">
        <v>75</v>
      </c>
      <c r="J1365" s="11">
        <v>30</v>
      </c>
      <c r="K1365" s="11">
        <v>48</v>
      </c>
      <c r="L1365" s="11" t="s">
        <v>1895</v>
      </c>
      <c r="M1365" s="11">
        <f t="shared" si="42"/>
        <v>2310</v>
      </c>
      <c r="N1365" s="11">
        <f>IF(Table1[[#This Row],[Transaction Type]]="Sale",ABS(E1365)*K1365,0)</f>
        <v>0</v>
      </c>
      <c r="O1365" s="29">
        <f>IF(Table1[[#This Row],[Transaction Type]]="Purchase",E1365*J1365,0)</f>
        <v>2310</v>
      </c>
    </row>
    <row r="1366" spans="1:15" x14ac:dyDescent="0.35">
      <c r="A1366" s="27" t="s">
        <v>1896</v>
      </c>
      <c r="B1366" s="12">
        <v>46072</v>
      </c>
      <c r="C1366" s="11" t="s">
        <v>55</v>
      </c>
      <c r="D1366" s="11" t="s">
        <v>40</v>
      </c>
      <c r="E1366" s="11">
        <v>94</v>
      </c>
      <c r="F1366" s="11">
        <f t="shared" si="43"/>
        <v>94</v>
      </c>
      <c r="G1366" s="11" t="s">
        <v>14</v>
      </c>
      <c r="H1366" s="11" t="s">
        <v>56</v>
      </c>
      <c r="I1366" s="11" t="s">
        <v>16</v>
      </c>
      <c r="J1366" s="11">
        <v>4.2</v>
      </c>
      <c r="K1366" s="11">
        <v>10</v>
      </c>
      <c r="L1366" s="11" t="s">
        <v>1897</v>
      </c>
      <c r="M1366" s="11">
        <f t="shared" si="42"/>
        <v>394.8</v>
      </c>
      <c r="N1366" s="11">
        <f>IF(Table1[[#This Row],[Transaction Type]]="Sale",ABS(E1366)*K1366,0)</f>
        <v>0</v>
      </c>
      <c r="O1366" s="29">
        <f>IF(Table1[[#This Row],[Transaction Type]]="Purchase",E1366*J1366,0)</f>
        <v>394.8</v>
      </c>
    </row>
    <row r="1367" spans="1:15" x14ac:dyDescent="0.35">
      <c r="A1367" s="27" t="s">
        <v>1898</v>
      </c>
      <c r="B1367" s="12">
        <v>46072</v>
      </c>
      <c r="C1367" s="11" t="s">
        <v>12</v>
      </c>
      <c r="D1367" s="11" t="s">
        <v>13</v>
      </c>
      <c r="E1367" s="11">
        <v>-13</v>
      </c>
      <c r="F1367" s="11">
        <f t="shared" si="43"/>
        <v>-13</v>
      </c>
      <c r="G1367" s="11" t="s">
        <v>19</v>
      </c>
      <c r="H1367" s="11" t="s">
        <v>15</v>
      </c>
      <c r="I1367" s="11" t="s">
        <v>16</v>
      </c>
      <c r="J1367" s="11">
        <v>13.5</v>
      </c>
      <c r="K1367" s="11">
        <v>24</v>
      </c>
      <c r="L1367" s="11"/>
      <c r="M1367" s="11">
        <f t="shared" si="42"/>
        <v>175.5</v>
      </c>
      <c r="N1367" s="11">
        <f>IF(Table1[[#This Row],[Transaction Type]]="Sale",ABS(E1367)*K1367,0)</f>
        <v>312</v>
      </c>
      <c r="O1367" s="29">
        <f>IF(Table1[[#This Row],[Transaction Type]]="Purchase",E1367*J1367,0)</f>
        <v>0</v>
      </c>
    </row>
    <row r="1368" spans="1:15" x14ac:dyDescent="0.35">
      <c r="A1368" s="27" t="s">
        <v>1899</v>
      </c>
      <c r="B1368" s="12">
        <v>46073</v>
      </c>
      <c r="C1368" s="11" t="s">
        <v>350</v>
      </c>
      <c r="D1368" s="11" t="s">
        <v>13</v>
      </c>
      <c r="E1368" s="11">
        <v>-10</v>
      </c>
      <c r="F1368" s="11">
        <f t="shared" si="43"/>
        <v>-10</v>
      </c>
      <c r="G1368" s="11" t="s">
        <v>19</v>
      </c>
      <c r="H1368" s="11" t="s">
        <v>74</v>
      </c>
      <c r="I1368" s="11" t="s">
        <v>75</v>
      </c>
      <c r="J1368" s="11">
        <v>145</v>
      </c>
      <c r="K1368" s="11">
        <v>210</v>
      </c>
      <c r="L1368" s="11"/>
      <c r="M1368" s="11">
        <f t="shared" si="42"/>
        <v>1450</v>
      </c>
      <c r="N1368" s="11">
        <f>IF(Table1[[#This Row],[Transaction Type]]="Sale",ABS(E1368)*K1368,0)</f>
        <v>2100</v>
      </c>
      <c r="O1368" s="29">
        <f>IF(Table1[[#This Row],[Transaction Type]]="Purchase",E1368*J1368,0)</f>
        <v>0</v>
      </c>
    </row>
    <row r="1369" spans="1:15" x14ac:dyDescent="0.35">
      <c r="A1369" s="27" t="s">
        <v>1900</v>
      </c>
      <c r="B1369" s="12">
        <v>46073</v>
      </c>
      <c r="C1369" s="11" t="s">
        <v>141</v>
      </c>
      <c r="D1369" s="11" t="s">
        <v>13</v>
      </c>
      <c r="E1369" s="11">
        <v>-14</v>
      </c>
      <c r="F1369" s="11">
        <f t="shared" si="43"/>
        <v>-14</v>
      </c>
      <c r="G1369" s="11" t="s">
        <v>14</v>
      </c>
      <c r="H1369" s="11" t="s">
        <v>25</v>
      </c>
      <c r="I1369" s="11" t="s">
        <v>26</v>
      </c>
      <c r="J1369" s="11">
        <v>4</v>
      </c>
      <c r="K1369" s="11">
        <v>9</v>
      </c>
      <c r="L1369" s="11"/>
      <c r="M1369" s="11">
        <f t="shared" si="42"/>
        <v>56</v>
      </c>
      <c r="N1369" s="11">
        <f>IF(Table1[[#This Row],[Transaction Type]]="Sale",ABS(E1369)*K1369,0)</f>
        <v>126</v>
      </c>
      <c r="O1369" s="29">
        <f>IF(Table1[[#This Row],[Transaction Type]]="Purchase",E1369*J1369,0)</f>
        <v>0</v>
      </c>
    </row>
    <row r="1370" spans="1:15" x14ac:dyDescent="0.35">
      <c r="A1370" s="27" t="s">
        <v>1901</v>
      </c>
      <c r="B1370" s="12">
        <v>46073</v>
      </c>
      <c r="C1370" s="11" t="s">
        <v>139</v>
      </c>
      <c r="D1370" s="11" t="s">
        <v>13</v>
      </c>
      <c r="E1370" s="11">
        <v>-11</v>
      </c>
      <c r="F1370" s="11">
        <f t="shared" si="43"/>
        <v>-11</v>
      </c>
      <c r="G1370" s="11" t="s">
        <v>14</v>
      </c>
      <c r="H1370" s="11" t="s">
        <v>56</v>
      </c>
      <c r="I1370" s="11" t="s">
        <v>16</v>
      </c>
      <c r="J1370" s="11">
        <v>16.5</v>
      </c>
      <c r="K1370" s="11">
        <v>28</v>
      </c>
      <c r="L1370" s="11"/>
      <c r="M1370" s="11">
        <f t="shared" si="42"/>
        <v>181.5</v>
      </c>
      <c r="N1370" s="11">
        <f>IF(Table1[[#This Row],[Transaction Type]]="Sale",ABS(E1370)*K1370,0)</f>
        <v>308</v>
      </c>
      <c r="O1370" s="29">
        <f>IF(Table1[[#This Row],[Transaction Type]]="Purchase",E1370*J1370,0)</f>
        <v>0</v>
      </c>
    </row>
    <row r="1371" spans="1:15" x14ac:dyDescent="0.35">
      <c r="A1371" s="27" t="s">
        <v>1902</v>
      </c>
      <c r="B1371" s="12">
        <v>46073</v>
      </c>
      <c r="C1371" s="11" t="s">
        <v>43</v>
      </c>
      <c r="D1371" s="11" t="s">
        <v>66</v>
      </c>
      <c r="E1371" s="11">
        <v>3</v>
      </c>
      <c r="F1371" s="11">
        <f t="shared" si="43"/>
        <v>3</v>
      </c>
      <c r="G1371" s="11" t="s">
        <v>14</v>
      </c>
      <c r="H1371" s="11" t="s">
        <v>44</v>
      </c>
      <c r="I1371" s="11" t="s">
        <v>45</v>
      </c>
      <c r="J1371" s="11">
        <v>5.2</v>
      </c>
      <c r="K1371" s="11">
        <v>11</v>
      </c>
      <c r="L1371" s="11"/>
      <c r="M1371" s="11">
        <f t="shared" si="42"/>
        <v>15.600000000000001</v>
      </c>
      <c r="N1371" s="11">
        <f>IF(Table1[[#This Row],[Transaction Type]]="Sale",ABS(E1371)*K1371,0)</f>
        <v>0</v>
      </c>
      <c r="O1371" s="29">
        <f>IF(Table1[[#This Row],[Transaction Type]]="Purchase",E1371*J1371,0)</f>
        <v>0</v>
      </c>
    </row>
    <row r="1372" spans="1:15" x14ac:dyDescent="0.35">
      <c r="A1372" s="27" t="s">
        <v>1903</v>
      </c>
      <c r="B1372" s="12">
        <v>46075</v>
      </c>
      <c r="C1372" s="11" t="s">
        <v>87</v>
      </c>
      <c r="D1372" s="11" t="s">
        <v>40</v>
      </c>
      <c r="E1372" s="11">
        <v>45</v>
      </c>
      <c r="F1372" s="11">
        <f t="shared" si="43"/>
        <v>45</v>
      </c>
      <c r="G1372" s="11" t="s">
        <v>14</v>
      </c>
      <c r="H1372" s="11" t="s">
        <v>88</v>
      </c>
      <c r="I1372" s="11" t="s">
        <v>16</v>
      </c>
      <c r="J1372" s="11">
        <v>6</v>
      </c>
      <c r="K1372" s="11">
        <v>14</v>
      </c>
      <c r="L1372" s="11" t="s">
        <v>1904</v>
      </c>
      <c r="M1372" s="11">
        <f t="shared" si="42"/>
        <v>270</v>
      </c>
      <c r="N1372" s="11">
        <f>IF(Table1[[#This Row],[Transaction Type]]="Sale",ABS(E1372)*K1372,0)</f>
        <v>0</v>
      </c>
      <c r="O1372" s="29">
        <f>IF(Table1[[#This Row],[Transaction Type]]="Purchase",E1372*J1372,0)</f>
        <v>270</v>
      </c>
    </row>
    <row r="1373" spans="1:15" x14ac:dyDescent="0.35">
      <c r="A1373" s="27" t="s">
        <v>1905</v>
      </c>
      <c r="B1373" s="12">
        <v>46076</v>
      </c>
      <c r="C1373" s="11" t="s">
        <v>12</v>
      </c>
      <c r="D1373" s="11" t="s">
        <v>13</v>
      </c>
      <c r="E1373" s="11">
        <v>-15</v>
      </c>
      <c r="F1373" s="11">
        <f t="shared" si="43"/>
        <v>-15</v>
      </c>
      <c r="G1373" s="11" t="s">
        <v>14</v>
      </c>
      <c r="H1373" s="11" t="s">
        <v>15</v>
      </c>
      <c r="I1373" s="11" t="s">
        <v>16</v>
      </c>
      <c r="J1373" s="11">
        <v>13.5</v>
      </c>
      <c r="K1373" s="11">
        <v>24</v>
      </c>
      <c r="L1373" s="11"/>
      <c r="M1373" s="11">
        <f t="shared" si="42"/>
        <v>202.5</v>
      </c>
      <c r="N1373" s="11">
        <f>IF(Table1[[#This Row],[Transaction Type]]="Sale",ABS(E1373)*K1373,0)</f>
        <v>360</v>
      </c>
      <c r="O1373" s="29">
        <f>IF(Table1[[#This Row],[Transaction Type]]="Purchase",E1373*J1373,0)</f>
        <v>0</v>
      </c>
    </row>
    <row r="1374" spans="1:15" x14ac:dyDescent="0.35">
      <c r="A1374" s="27" t="s">
        <v>1906</v>
      </c>
      <c r="B1374" s="12">
        <v>46076</v>
      </c>
      <c r="C1374" s="11" t="s">
        <v>29</v>
      </c>
      <c r="D1374" s="11" t="s">
        <v>40</v>
      </c>
      <c r="E1374" s="11">
        <v>20</v>
      </c>
      <c r="F1374" s="11">
        <f t="shared" si="43"/>
        <v>20</v>
      </c>
      <c r="G1374" s="11" t="s">
        <v>19</v>
      </c>
      <c r="H1374" s="11" t="s">
        <v>30</v>
      </c>
      <c r="I1374" s="11" t="s">
        <v>16</v>
      </c>
      <c r="J1374" s="11">
        <v>8.8000000000000007</v>
      </c>
      <c r="K1374" s="11">
        <v>17</v>
      </c>
      <c r="L1374" s="11" t="s">
        <v>1907</v>
      </c>
      <c r="M1374" s="11">
        <f t="shared" si="42"/>
        <v>176</v>
      </c>
      <c r="N1374" s="11">
        <f>IF(Table1[[#This Row],[Transaction Type]]="Sale",ABS(E1374)*K1374,0)</f>
        <v>0</v>
      </c>
      <c r="O1374" s="29">
        <f>IF(Table1[[#This Row],[Transaction Type]]="Purchase",E1374*J1374,0)</f>
        <v>176</v>
      </c>
    </row>
    <row r="1375" spans="1:15" x14ac:dyDescent="0.35">
      <c r="A1375" s="27" t="s">
        <v>1908</v>
      </c>
      <c r="B1375" s="12">
        <v>46076</v>
      </c>
      <c r="C1375" s="11" t="s">
        <v>98</v>
      </c>
      <c r="D1375" s="11" t="s">
        <v>13</v>
      </c>
      <c r="E1375" s="11">
        <v>-3</v>
      </c>
      <c r="F1375" s="11">
        <f t="shared" si="43"/>
        <v>-3</v>
      </c>
      <c r="G1375" s="11" t="s">
        <v>19</v>
      </c>
      <c r="H1375" s="11" t="s">
        <v>30</v>
      </c>
      <c r="I1375" s="11" t="s">
        <v>16</v>
      </c>
      <c r="J1375" s="11">
        <v>16</v>
      </c>
      <c r="K1375" s="11">
        <v>29</v>
      </c>
      <c r="L1375" s="11"/>
      <c r="M1375" s="11">
        <f t="shared" si="42"/>
        <v>48</v>
      </c>
      <c r="N1375" s="11">
        <f>IF(Table1[[#This Row],[Transaction Type]]="Sale",ABS(E1375)*K1375,0)</f>
        <v>87</v>
      </c>
      <c r="O1375" s="29">
        <f>IF(Table1[[#This Row],[Transaction Type]]="Purchase",E1375*J1375,0)</f>
        <v>0</v>
      </c>
    </row>
    <row r="1376" spans="1:15" x14ac:dyDescent="0.35">
      <c r="A1376" s="27" t="s">
        <v>1909</v>
      </c>
      <c r="B1376" s="12">
        <v>46077</v>
      </c>
      <c r="C1376" s="11" t="s">
        <v>185</v>
      </c>
      <c r="D1376" s="11" t="s">
        <v>40</v>
      </c>
      <c r="E1376" s="11">
        <v>46</v>
      </c>
      <c r="F1376" s="11">
        <f t="shared" si="43"/>
        <v>46</v>
      </c>
      <c r="G1376" s="11" t="s">
        <v>14</v>
      </c>
      <c r="H1376" s="11" t="s">
        <v>44</v>
      </c>
      <c r="I1376" s="11" t="s">
        <v>45</v>
      </c>
      <c r="J1376" s="11">
        <v>63</v>
      </c>
      <c r="K1376" s="11">
        <v>95</v>
      </c>
      <c r="L1376" s="11" t="s">
        <v>1910</v>
      </c>
      <c r="M1376" s="11">
        <f t="shared" si="42"/>
        <v>2898</v>
      </c>
      <c r="N1376" s="11">
        <f>IF(Table1[[#This Row],[Transaction Type]]="Sale",ABS(E1376)*K1376,0)</f>
        <v>0</v>
      </c>
      <c r="O1376" s="29">
        <f>IF(Table1[[#This Row],[Transaction Type]]="Purchase",E1376*J1376,0)</f>
        <v>2898</v>
      </c>
    </row>
    <row r="1377" spans="1:15" x14ac:dyDescent="0.35">
      <c r="A1377" s="27" t="s">
        <v>1911</v>
      </c>
      <c r="B1377" s="12">
        <v>46077</v>
      </c>
      <c r="C1377" s="11" t="s">
        <v>23</v>
      </c>
      <c r="D1377" s="11" t="s">
        <v>66</v>
      </c>
      <c r="E1377" s="11">
        <v>1</v>
      </c>
      <c r="F1377" s="11">
        <f t="shared" si="43"/>
        <v>1</v>
      </c>
      <c r="G1377" s="11" t="s">
        <v>19</v>
      </c>
      <c r="H1377" s="11" t="s">
        <v>25</v>
      </c>
      <c r="I1377" s="11" t="s">
        <v>26</v>
      </c>
      <c r="J1377" s="11">
        <v>3</v>
      </c>
      <c r="K1377" s="11">
        <v>7</v>
      </c>
      <c r="L1377" s="11"/>
      <c r="M1377" s="11">
        <f t="shared" si="42"/>
        <v>3</v>
      </c>
      <c r="N1377" s="11">
        <f>IF(Table1[[#This Row],[Transaction Type]]="Sale",ABS(E1377)*K1377,0)</f>
        <v>0</v>
      </c>
      <c r="O1377" s="29">
        <f>IF(Table1[[#This Row],[Transaction Type]]="Purchase",E1377*J1377,0)</f>
        <v>0</v>
      </c>
    </row>
    <row r="1378" spans="1:15" x14ac:dyDescent="0.35">
      <c r="A1378" s="27" t="s">
        <v>1912</v>
      </c>
      <c r="B1378" s="12">
        <v>46077</v>
      </c>
      <c r="C1378" s="11" t="s">
        <v>141</v>
      </c>
      <c r="D1378" s="11" t="s">
        <v>40</v>
      </c>
      <c r="E1378" s="11">
        <v>64</v>
      </c>
      <c r="F1378" s="11">
        <f t="shared" si="43"/>
        <v>64</v>
      </c>
      <c r="G1378" s="11" t="s">
        <v>19</v>
      </c>
      <c r="H1378" s="11" t="s">
        <v>25</v>
      </c>
      <c r="I1378" s="11" t="s">
        <v>26</v>
      </c>
      <c r="J1378" s="11">
        <v>4</v>
      </c>
      <c r="K1378" s="11">
        <v>9</v>
      </c>
      <c r="L1378" s="11" t="s">
        <v>1913</v>
      </c>
      <c r="M1378" s="11">
        <f t="shared" si="42"/>
        <v>256</v>
      </c>
      <c r="N1378" s="11">
        <f>IF(Table1[[#This Row],[Transaction Type]]="Sale",ABS(E1378)*K1378,0)</f>
        <v>0</v>
      </c>
      <c r="O1378" s="29">
        <f>IF(Table1[[#This Row],[Transaction Type]]="Purchase",E1378*J1378,0)</f>
        <v>256</v>
      </c>
    </row>
    <row r="1379" spans="1:15" x14ac:dyDescent="0.35">
      <c r="A1379" s="27" t="s">
        <v>1914</v>
      </c>
      <c r="B1379" s="12">
        <v>46077</v>
      </c>
      <c r="C1379" s="11" t="s">
        <v>94</v>
      </c>
      <c r="D1379" s="11" t="s">
        <v>13</v>
      </c>
      <c r="E1379" s="11">
        <v>-9</v>
      </c>
      <c r="F1379" s="11">
        <f t="shared" si="43"/>
        <v>-9</v>
      </c>
      <c r="G1379" s="11" t="s">
        <v>24</v>
      </c>
      <c r="H1379" s="11" t="s">
        <v>95</v>
      </c>
      <c r="I1379" s="11" t="s">
        <v>16</v>
      </c>
      <c r="J1379" s="11">
        <v>18.5</v>
      </c>
      <c r="K1379" s="11">
        <v>31</v>
      </c>
      <c r="L1379" s="11"/>
      <c r="M1379" s="11">
        <f t="shared" si="42"/>
        <v>166.5</v>
      </c>
      <c r="N1379" s="11">
        <f>IF(Table1[[#This Row],[Transaction Type]]="Sale",ABS(E1379)*K1379,0)</f>
        <v>279</v>
      </c>
      <c r="O1379" s="29">
        <f>IF(Table1[[#This Row],[Transaction Type]]="Purchase",E1379*J1379,0)</f>
        <v>0</v>
      </c>
    </row>
    <row r="1380" spans="1:15" x14ac:dyDescent="0.35">
      <c r="A1380" s="27" t="s">
        <v>1915</v>
      </c>
      <c r="B1380" s="12">
        <v>46077</v>
      </c>
      <c r="C1380" s="11" t="s">
        <v>77</v>
      </c>
      <c r="D1380" s="11" t="s">
        <v>40</v>
      </c>
      <c r="E1380" s="11">
        <v>110</v>
      </c>
      <c r="F1380" s="11">
        <f t="shared" si="43"/>
        <v>110</v>
      </c>
      <c r="G1380" s="11" t="s">
        <v>14</v>
      </c>
      <c r="H1380" s="11" t="s">
        <v>78</v>
      </c>
      <c r="I1380" s="11" t="s">
        <v>16</v>
      </c>
      <c r="J1380" s="11">
        <v>25</v>
      </c>
      <c r="K1380" s="11">
        <v>42</v>
      </c>
      <c r="L1380" s="11" t="s">
        <v>1916</v>
      </c>
      <c r="M1380" s="11">
        <f t="shared" si="42"/>
        <v>2750</v>
      </c>
      <c r="N1380" s="11">
        <f>IF(Table1[[#This Row],[Transaction Type]]="Sale",ABS(E1380)*K1380,0)</f>
        <v>0</v>
      </c>
      <c r="O1380" s="29">
        <f>IF(Table1[[#This Row],[Transaction Type]]="Purchase",E1380*J1380,0)</f>
        <v>2750</v>
      </c>
    </row>
    <row r="1381" spans="1:15" x14ac:dyDescent="0.35">
      <c r="A1381" s="27" t="s">
        <v>1917</v>
      </c>
      <c r="B1381" s="12">
        <v>46078</v>
      </c>
      <c r="C1381" s="11" t="s">
        <v>65</v>
      </c>
      <c r="D1381" s="11" t="s">
        <v>13</v>
      </c>
      <c r="E1381" s="11">
        <v>-4</v>
      </c>
      <c r="F1381" s="11">
        <f t="shared" si="43"/>
        <v>-4</v>
      </c>
      <c r="G1381" s="11" t="s">
        <v>14</v>
      </c>
      <c r="H1381" s="11" t="s">
        <v>67</v>
      </c>
      <c r="I1381" s="11" t="s">
        <v>21</v>
      </c>
      <c r="J1381" s="11">
        <v>11</v>
      </c>
      <c r="K1381" s="11">
        <v>22</v>
      </c>
      <c r="L1381" s="11"/>
      <c r="M1381" s="11">
        <f t="shared" si="42"/>
        <v>44</v>
      </c>
      <c r="N1381" s="11">
        <f>IF(Table1[[#This Row],[Transaction Type]]="Sale",ABS(E1381)*K1381,0)</f>
        <v>88</v>
      </c>
      <c r="O1381" s="29">
        <f>IF(Table1[[#This Row],[Transaction Type]]="Purchase",E1381*J1381,0)</f>
        <v>0</v>
      </c>
    </row>
    <row r="1382" spans="1:15" x14ac:dyDescent="0.35">
      <c r="A1382" s="27" t="s">
        <v>1918</v>
      </c>
      <c r="B1382" s="12">
        <v>46078</v>
      </c>
      <c r="C1382" s="11" t="s">
        <v>350</v>
      </c>
      <c r="D1382" s="11" t="s">
        <v>13</v>
      </c>
      <c r="E1382" s="11">
        <v>-4</v>
      </c>
      <c r="F1382" s="11">
        <f t="shared" si="43"/>
        <v>-4</v>
      </c>
      <c r="G1382" s="11" t="s">
        <v>24</v>
      </c>
      <c r="H1382" s="11" t="s">
        <v>74</v>
      </c>
      <c r="I1382" s="11" t="s">
        <v>75</v>
      </c>
      <c r="J1382" s="11">
        <v>145</v>
      </c>
      <c r="K1382" s="11">
        <v>210</v>
      </c>
      <c r="L1382" s="11"/>
      <c r="M1382" s="11">
        <f t="shared" si="42"/>
        <v>580</v>
      </c>
      <c r="N1382" s="11">
        <f>IF(Table1[[#This Row],[Transaction Type]]="Sale",ABS(E1382)*K1382,0)</f>
        <v>840</v>
      </c>
      <c r="O1382" s="29">
        <f>IF(Table1[[#This Row],[Transaction Type]]="Purchase",E1382*J1382,0)</f>
        <v>0</v>
      </c>
    </row>
    <row r="1383" spans="1:15" x14ac:dyDescent="0.35">
      <c r="A1383" s="27" t="s">
        <v>1919</v>
      </c>
      <c r="B1383" s="12">
        <v>46078</v>
      </c>
      <c r="C1383" s="11" t="s">
        <v>55</v>
      </c>
      <c r="D1383" s="11" t="s">
        <v>13</v>
      </c>
      <c r="E1383" s="11">
        <v>-12</v>
      </c>
      <c r="F1383" s="11">
        <f t="shared" si="43"/>
        <v>-12</v>
      </c>
      <c r="G1383" s="11" t="s">
        <v>14</v>
      </c>
      <c r="H1383" s="11" t="s">
        <v>56</v>
      </c>
      <c r="I1383" s="11" t="s">
        <v>16</v>
      </c>
      <c r="J1383" s="11">
        <v>4.2</v>
      </c>
      <c r="K1383" s="11">
        <v>10</v>
      </c>
      <c r="L1383" s="11"/>
      <c r="M1383" s="11">
        <f t="shared" si="42"/>
        <v>50.400000000000006</v>
      </c>
      <c r="N1383" s="11">
        <f>IF(Table1[[#This Row],[Transaction Type]]="Sale",ABS(E1383)*K1383,0)</f>
        <v>120</v>
      </c>
      <c r="O1383" s="29">
        <f>IF(Table1[[#This Row],[Transaction Type]]="Purchase",E1383*J1383,0)</f>
        <v>0</v>
      </c>
    </row>
    <row r="1384" spans="1:15" x14ac:dyDescent="0.35">
      <c r="A1384" s="27" t="s">
        <v>1920</v>
      </c>
      <c r="B1384" s="12">
        <v>46079</v>
      </c>
      <c r="C1384" s="11" t="s">
        <v>65</v>
      </c>
      <c r="D1384" s="11" t="s">
        <v>40</v>
      </c>
      <c r="E1384" s="11">
        <v>80</v>
      </c>
      <c r="F1384" s="11">
        <f t="shared" si="43"/>
        <v>80</v>
      </c>
      <c r="G1384" s="11" t="s">
        <v>14</v>
      </c>
      <c r="H1384" s="11" t="s">
        <v>67</v>
      </c>
      <c r="I1384" s="11" t="s">
        <v>21</v>
      </c>
      <c r="J1384" s="11">
        <v>11</v>
      </c>
      <c r="K1384" s="11">
        <v>22</v>
      </c>
      <c r="L1384" s="11" t="s">
        <v>1921</v>
      </c>
      <c r="M1384" s="11">
        <f t="shared" si="42"/>
        <v>880</v>
      </c>
      <c r="N1384" s="11">
        <f>IF(Table1[[#This Row],[Transaction Type]]="Sale",ABS(E1384)*K1384,0)</f>
        <v>0</v>
      </c>
      <c r="O1384" s="29">
        <f>IF(Table1[[#This Row],[Transaction Type]]="Purchase",E1384*J1384,0)</f>
        <v>880</v>
      </c>
    </row>
    <row r="1385" spans="1:15" x14ac:dyDescent="0.35">
      <c r="A1385" s="27" t="s">
        <v>1922</v>
      </c>
      <c r="B1385" s="12">
        <v>46079</v>
      </c>
      <c r="C1385" s="11" t="s">
        <v>83</v>
      </c>
      <c r="D1385" s="11" t="s">
        <v>13</v>
      </c>
      <c r="E1385" s="11">
        <v>-14</v>
      </c>
      <c r="F1385" s="11">
        <f t="shared" si="43"/>
        <v>-14</v>
      </c>
      <c r="G1385" s="11" t="s">
        <v>19</v>
      </c>
      <c r="H1385" s="11" t="s">
        <v>84</v>
      </c>
      <c r="I1385" s="11" t="s">
        <v>45</v>
      </c>
      <c r="J1385" s="11">
        <v>130</v>
      </c>
      <c r="K1385" s="11">
        <v>185</v>
      </c>
      <c r="L1385" s="11"/>
      <c r="M1385" s="11">
        <f t="shared" si="42"/>
        <v>1820</v>
      </c>
      <c r="N1385" s="11">
        <f>IF(Table1[[#This Row],[Transaction Type]]="Sale",ABS(E1385)*K1385,0)</f>
        <v>2590</v>
      </c>
      <c r="O1385" s="29">
        <f>IF(Table1[[#This Row],[Transaction Type]]="Purchase",E1385*J1385,0)</f>
        <v>0</v>
      </c>
    </row>
    <row r="1386" spans="1:15" x14ac:dyDescent="0.35">
      <c r="A1386" s="27" t="s">
        <v>1923</v>
      </c>
      <c r="B1386" s="12">
        <v>46079</v>
      </c>
      <c r="C1386" s="11" t="s">
        <v>77</v>
      </c>
      <c r="D1386" s="11" t="s">
        <v>40</v>
      </c>
      <c r="E1386" s="11">
        <v>73</v>
      </c>
      <c r="F1386" s="11">
        <f t="shared" si="43"/>
        <v>73</v>
      </c>
      <c r="G1386" s="11" t="s">
        <v>24</v>
      </c>
      <c r="H1386" s="11" t="s">
        <v>78</v>
      </c>
      <c r="I1386" s="11" t="s">
        <v>16</v>
      </c>
      <c r="J1386" s="11">
        <v>25</v>
      </c>
      <c r="K1386" s="11">
        <v>42</v>
      </c>
      <c r="L1386" s="11" t="s">
        <v>1924</v>
      </c>
      <c r="M1386" s="11">
        <f t="shared" si="42"/>
        <v>1825</v>
      </c>
      <c r="N1386" s="11">
        <f>IF(Table1[[#This Row],[Transaction Type]]="Sale",ABS(E1386)*K1386,0)</f>
        <v>0</v>
      </c>
      <c r="O1386" s="29">
        <f>IF(Table1[[#This Row],[Transaction Type]]="Purchase",E1386*J1386,0)</f>
        <v>1825</v>
      </c>
    </row>
    <row r="1387" spans="1:15" x14ac:dyDescent="0.35">
      <c r="A1387" s="27" t="s">
        <v>1925</v>
      </c>
      <c r="B1387" s="12">
        <v>46079</v>
      </c>
      <c r="C1387" s="11" t="s">
        <v>194</v>
      </c>
      <c r="D1387" s="11" t="s">
        <v>40</v>
      </c>
      <c r="E1387" s="11">
        <v>79</v>
      </c>
      <c r="F1387" s="11">
        <f t="shared" si="43"/>
        <v>79</v>
      </c>
      <c r="G1387" s="11" t="s">
        <v>14</v>
      </c>
      <c r="H1387" s="11" t="s">
        <v>195</v>
      </c>
      <c r="I1387" s="11" t="s">
        <v>21</v>
      </c>
      <c r="J1387" s="11">
        <v>220</v>
      </c>
      <c r="K1387" s="11">
        <v>320</v>
      </c>
      <c r="L1387" s="11" t="s">
        <v>1926</v>
      </c>
      <c r="M1387" s="11">
        <f t="shared" si="42"/>
        <v>17380</v>
      </c>
      <c r="N1387" s="11">
        <f>IF(Table1[[#This Row],[Transaction Type]]="Sale",ABS(E1387)*K1387,0)</f>
        <v>0</v>
      </c>
      <c r="O1387" s="29">
        <f>IF(Table1[[#This Row],[Transaction Type]]="Purchase",E1387*J1387,0)</f>
        <v>17380</v>
      </c>
    </row>
    <row r="1388" spans="1:15" x14ac:dyDescent="0.35">
      <c r="A1388" s="27" t="s">
        <v>1927</v>
      </c>
      <c r="B1388" s="12">
        <v>46079</v>
      </c>
      <c r="C1388" s="11" t="s">
        <v>60</v>
      </c>
      <c r="D1388" s="11" t="s">
        <v>13</v>
      </c>
      <c r="E1388" s="11">
        <v>-4</v>
      </c>
      <c r="F1388" s="11">
        <f t="shared" si="43"/>
        <v>-4</v>
      </c>
      <c r="G1388" s="11" t="s">
        <v>14</v>
      </c>
      <c r="H1388" s="11" t="s">
        <v>61</v>
      </c>
      <c r="I1388" s="11" t="s">
        <v>62</v>
      </c>
      <c r="J1388" s="11">
        <v>3.4</v>
      </c>
      <c r="K1388" s="11">
        <v>8</v>
      </c>
      <c r="L1388" s="11"/>
      <c r="M1388" s="11">
        <f t="shared" si="42"/>
        <v>13.6</v>
      </c>
      <c r="N1388" s="11">
        <f>IF(Table1[[#This Row],[Transaction Type]]="Sale",ABS(E1388)*K1388,0)</f>
        <v>32</v>
      </c>
      <c r="O1388" s="29">
        <f>IF(Table1[[#This Row],[Transaction Type]]="Purchase",E1388*J1388,0)</f>
        <v>0</v>
      </c>
    </row>
    <row r="1389" spans="1:15" x14ac:dyDescent="0.35">
      <c r="A1389" s="27" t="s">
        <v>1928</v>
      </c>
      <c r="B1389" s="12">
        <v>46080</v>
      </c>
      <c r="C1389" s="11" t="s">
        <v>36</v>
      </c>
      <c r="D1389" s="11" t="s">
        <v>40</v>
      </c>
      <c r="E1389" s="11">
        <v>70</v>
      </c>
      <c r="F1389" s="11">
        <f t="shared" si="43"/>
        <v>70</v>
      </c>
      <c r="G1389" s="11" t="s">
        <v>19</v>
      </c>
      <c r="H1389" s="11" t="s">
        <v>37</v>
      </c>
      <c r="I1389" s="11" t="s">
        <v>16</v>
      </c>
      <c r="J1389" s="11">
        <v>7.2</v>
      </c>
      <c r="K1389" s="11">
        <v>12.5</v>
      </c>
      <c r="L1389" s="11" t="s">
        <v>1929</v>
      </c>
      <c r="M1389" s="11">
        <f t="shared" si="42"/>
        <v>504</v>
      </c>
      <c r="N1389" s="11">
        <f>IF(Table1[[#This Row],[Transaction Type]]="Sale",ABS(E1389)*K1389,0)</f>
        <v>0</v>
      </c>
      <c r="O1389" s="29">
        <f>IF(Table1[[#This Row],[Transaction Type]]="Purchase",E1389*J1389,0)</f>
        <v>504</v>
      </c>
    </row>
    <row r="1390" spans="1:15" x14ac:dyDescent="0.35">
      <c r="A1390" s="27" t="s">
        <v>1930</v>
      </c>
      <c r="B1390" s="12">
        <v>46080</v>
      </c>
      <c r="C1390" s="11" t="s">
        <v>83</v>
      </c>
      <c r="D1390" s="11" t="s">
        <v>13</v>
      </c>
      <c r="E1390" s="11">
        <v>-2</v>
      </c>
      <c r="F1390" s="11">
        <f t="shared" si="43"/>
        <v>-2</v>
      </c>
      <c r="G1390" s="11" t="s">
        <v>14</v>
      </c>
      <c r="H1390" s="11" t="s">
        <v>84</v>
      </c>
      <c r="I1390" s="11" t="s">
        <v>45</v>
      </c>
      <c r="J1390" s="11">
        <v>130</v>
      </c>
      <c r="K1390" s="11">
        <v>185</v>
      </c>
      <c r="L1390" s="11"/>
      <c r="M1390" s="11">
        <f t="shared" si="42"/>
        <v>260</v>
      </c>
      <c r="N1390" s="11">
        <f>IF(Table1[[#This Row],[Transaction Type]]="Sale",ABS(E1390)*K1390,0)</f>
        <v>370</v>
      </c>
      <c r="O1390" s="29">
        <f>IF(Table1[[#This Row],[Transaction Type]]="Purchase",E1390*J1390,0)</f>
        <v>0</v>
      </c>
    </row>
    <row r="1391" spans="1:15" x14ac:dyDescent="0.35">
      <c r="A1391" s="27" t="s">
        <v>1931</v>
      </c>
      <c r="B1391" s="12">
        <v>46081</v>
      </c>
      <c r="C1391" s="11" t="s">
        <v>65</v>
      </c>
      <c r="D1391" s="11" t="s">
        <v>13</v>
      </c>
      <c r="E1391" s="11">
        <v>-14</v>
      </c>
      <c r="F1391" s="11">
        <f t="shared" si="43"/>
        <v>-14</v>
      </c>
      <c r="G1391" s="11" t="s">
        <v>19</v>
      </c>
      <c r="H1391" s="11" t="s">
        <v>67</v>
      </c>
      <c r="I1391" s="11" t="s">
        <v>21</v>
      </c>
      <c r="J1391" s="11">
        <v>11</v>
      </c>
      <c r="K1391" s="11">
        <v>22</v>
      </c>
      <c r="L1391" s="11"/>
      <c r="M1391" s="11">
        <f t="shared" si="42"/>
        <v>154</v>
      </c>
      <c r="N1391" s="11">
        <f>IF(Table1[[#This Row],[Transaction Type]]="Sale",ABS(E1391)*K1391,0)</f>
        <v>308</v>
      </c>
      <c r="O1391" s="29">
        <f>IF(Table1[[#This Row],[Transaction Type]]="Purchase",E1391*J1391,0)</f>
        <v>0</v>
      </c>
    </row>
    <row r="1392" spans="1:15" x14ac:dyDescent="0.35">
      <c r="A1392" s="27" t="s">
        <v>1932</v>
      </c>
      <c r="B1392" s="12">
        <v>46081</v>
      </c>
      <c r="C1392" s="11" t="s">
        <v>77</v>
      </c>
      <c r="D1392" s="11" t="s">
        <v>66</v>
      </c>
      <c r="E1392" s="11">
        <v>5</v>
      </c>
      <c r="F1392" s="11">
        <f t="shared" si="43"/>
        <v>5</v>
      </c>
      <c r="G1392" s="11" t="s">
        <v>14</v>
      </c>
      <c r="H1392" s="11" t="s">
        <v>78</v>
      </c>
      <c r="I1392" s="11" t="s">
        <v>16</v>
      </c>
      <c r="J1392" s="11">
        <v>25</v>
      </c>
      <c r="K1392" s="11">
        <v>42</v>
      </c>
      <c r="L1392" s="11"/>
      <c r="M1392" s="11">
        <f t="shared" si="42"/>
        <v>125</v>
      </c>
      <c r="N1392" s="11">
        <f>IF(Table1[[#This Row],[Transaction Type]]="Sale",ABS(E1392)*K1392,0)</f>
        <v>0</v>
      </c>
      <c r="O1392" s="29">
        <f>IF(Table1[[#This Row],[Transaction Type]]="Purchase",E1392*J1392,0)</f>
        <v>0</v>
      </c>
    </row>
    <row r="1393" spans="1:15" x14ac:dyDescent="0.35">
      <c r="A1393" s="27" t="s">
        <v>1933</v>
      </c>
      <c r="B1393" s="12">
        <v>46081</v>
      </c>
      <c r="C1393" s="11" t="s">
        <v>36</v>
      </c>
      <c r="D1393" s="11" t="s">
        <v>40</v>
      </c>
      <c r="E1393" s="11">
        <v>36</v>
      </c>
      <c r="F1393" s="11">
        <f t="shared" si="43"/>
        <v>36</v>
      </c>
      <c r="G1393" s="11" t="s">
        <v>24</v>
      </c>
      <c r="H1393" s="11" t="s">
        <v>37</v>
      </c>
      <c r="I1393" s="11" t="s">
        <v>16</v>
      </c>
      <c r="J1393" s="11">
        <v>7.2</v>
      </c>
      <c r="K1393" s="11">
        <v>12.5</v>
      </c>
      <c r="L1393" s="11" t="s">
        <v>1934</v>
      </c>
      <c r="M1393" s="11">
        <f t="shared" si="42"/>
        <v>259.2</v>
      </c>
      <c r="N1393" s="11">
        <f>IF(Table1[[#This Row],[Transaction Type]]="Sale",ABS(E1393)*K1393,0)</f>
        <v>0</v>
      </c>
      <c r="O1393" s="29">
        <f>IF(Table1[[#This Row],[Transaction Type]]="Purchase",E1393*J1393,0)</f>
        <v>259.2</v>
      </c>
    </row>
    <row r="1394" spans="1:15" x14ac:dyDescent="0.35">
      <c r="A1394" s="27" t="s">
        <v>1935</v>
      </c>
      <c r="B1394" s="12">
        <v>46082</v>
      </c>
      <c r="C1394" s="11" t="s">
        <v>23</v>
      </c>
      <c r="D1394" s="11" t="s">
        <v>13</v>
      </c>
      <c r="E1394" s="11">
        <v>-3</v>
      </c>
      <c r="F1394" s="11">
        <f t="shared" si="43"/>
        <v>-3</v>
      </c>
      <c r="G1394" s="11" t="s">
        <v>24</v>
      </c>
      <c r="H1394" s="11" t="s">
        <v>25</v>
      </c>
      <c r="I1394" s="11" t="s">
        <v>26</v>
      </c>
      <c r="J1394" s="11">
        <v>3</v>
      </c>
      <c r="K1394" s="11">
        <v>7</v>
      </c>
      <c r="L1394" s="11"/>
      <c r="M1394" s="11">
        <f t="shared" si="42"/>
        <v>9</v>
      </c>
      <c r="N1394" s="11">
        <f>IF(Table1[[#This Row],[Transaction Type]]="Sale",ABS(E1394)*K1394,0)</f>
        <v>21</v>
      </c>
      <c r="O1394" s="29">
        <f>IF(Table1[[#This Row],[Transaction Type]]="Purchase",E1394*J1394,0)</f>
        <v>0</v>
      </c>
    </row>
    <row r="1395" spans="1:15" x14ac:dyDescent="0.35">
      <c r="A1395" s="27" t="s">
        <v>1936</v>
      </c>
      <c r="B1395" s="12">
        <v>46082</v>
      </c>
      <c r="C1395" s="11" t="s">
        <v>52</v>
      </c>
      <c r="D1395" s="11" t="s">
        <v>13</v>
      </c>
      <c r="E1395" s="11">
        <v>-10</v>
      </c>
      <c r="F1395" s="11">
        <f t="shared" si="43"/>
        <v>-10</v>
      </c>
      <c r="G1395" s="11" t="s">
        <v>14</v>
      </c>
      <c r="H1395" s="11" t="s">
        <v>20</v>
      </c>
      <c r="I1395" s="11" t="s">
        <v>21</v>
      </c>
      <c r="J1395" s="11">
        <v>5.5</v>
      </c>
      <c r="K1395" s="11">
        <v>12</v>
      </c>
      <c r="L1395" s="11"/>
      <c r="M1395" s="11">
        <f t="shared" si="42"/>
        <v>55</v>
      </c>
      <c r="N1395" s="11">
        <f>IF(Table1[[#This Row],[Transaction Type]]="Sale",ABS(E1395)*K1395,0)</f>
        <v>120</v>
      </c>
      <c r="O1395" s="29">
        <f>IF(Table1[[#This Row],[Transaction Type]]="Purchase",E1395*J1395,0)</f>
        <v>0</v>
      </c>
    </row>
    <row r="1396" spans="1:15" x14ac:dyDescent="0.35">
      <c r="A1396" s="27" t="s">
        <v>1937</v>
      </c>
      <c r="B1396" s="12">
        <v>46082</v>
      </c>
      <c r="C1396" s="11" t="s">
        <v>87</v>
      </c>
      <c r="D1396" s="11" t="s">
        <v>13</v>
      </c>
      <c r="E1396" s="11">
        <v>-10</v>
      </c>
      <c r="F1396" s="11">
        <f t="shared" si="43"/>
        <v>-10</v>
      </c>
      <c r="G1396" s="11" t="s">
        <v>14</v>
      </c>
      <c r="H1396" s="11" t="s">
        <v>88</v>
      </c>
      <c r="I1396" s="11" t="s">
        <v>16</v>
      </c>
      <c r="J1396" s="11">
        <v>6</v>
      </c>
      <c r="K1396" s="11">
        <v>14</v>
      </c>
      <c r="L1396" s="11"/>
      <c r="M1396" s="11">
        <f t="shared" si="42"/>
        <v>60</v>
      </c>
      <c r="N1396" s="11">
        <f>IF(Table1[[#This Row],[Transaction Type]]="Sale",ABS(E1396)*K1396,0)</f>
        <v>140</v>
      </c>
      <c r="O1396" s="29">
        <f>IF(Table1[[#This Row],[Transaction Type]]="Purchase",E1396*J1396,0)</f>
        <v>0</v>
      </c>
    </row>
    <row r="1397" spans="1:15" x14ac:dyDescent="0.35">
      <c r="A1397" s="27" t="s">
        <v>1938</v>
      </c>
      <c r="B1397" s="12">
        <v>46082</v>
      </c>
      <c r="C1397" s="11" t="s">
        <v>77</v>
      </c>
      <c r="D1397" s="11" t="s">
        <v>13</v>
      </c>
      <c r="E1397" s="11">
        <v>-11</v>
      </c>
      <c r="F1397" s="11">
        <f t="shared" si="43"/>
        <v>-11</v>
      </c>
      <c r="G1397" s="11" t="s">
        <v>19</v>
      </c>
      <c r="H1397" s="11" t="s">
        <v>78</v>
      </c>
      <c r="I1397" s="11" t="s">
        <v>16</v>
      </c>
      <c r="J1397" s="11">
        <v>25</v>
      </c>
      <c r="K1397" s="11">
        <v>42</v>
      </c>
      <c r="L1397" s="11"/>
      <c r="M1397" s="11">
        <f t="shared" si="42"/>
        <v>275</v>
      </c>
      <c r="N1397" s="11">
        <f>IF(Table1[[#This Row],[Transaction Type]]="Sale",ABS(E1397)*K1397,0)</f>
        <v>462</v>
      </c>
      <c r="O1397" s="29">
        <f>IF(Table1[[#This Row],[Transaction Type]]="Purchase",E1397*J1397,0)</f>
        <v>0</v>
      </c>
    </row>
    <row r="1398" spans="1:15" x14ac:dyDescent="0.35">
      <c r="A1398" s="27" t="s">
        <v>1939</v>
      </c>
      <c r="B1398" s="12">
        <v>46083</v>
      </c>
      <c r="C1398" s="11" t="s">
        <v>98</v>
      </c>
      <c r="D1398" s="11" t="s">
        <v>40</v>
      </c>
      <c r="E1398" s="11">
        <v>91</v>
      </c>
      <c r="F1398" s="11">
        <f t="shared" si="43"/>
        <v>91</v>
      </c>
      <c r="G1398" s="11" t="s">
        <v>24</v>
      </c>
      <c r="H1398" s="11" t="s">
        <v>30</v>
      </c>
      <c r="I1398" s="11" t="s">
        <v>16</v>
      </c>
      <c r="J1398" s="11">
        <v>16</v>
      </c>
      <c r="K1398" s="11">
        <v>29</v>
      </c>
      <c r="L1398" s="11" t="s">
        <v>1940</v>
      </c>
      <c r="M1398" s="11">
        <f t="shared" si="42"/>
        <v>1456</v>
      </c>
      <c r="N1398" s="11">
        <f>IF(Table1[[#This Row],[Transaction Type]]="Sale",ABS(E1398)*K1398,0)</f>
        <v>0</v>
      </c>
      <c r="O1398" s="29">
        <f>IF(Table1[[#This Row],[Transaction Type]]="Purchase",E1398*J1398,0)</f>
        <v>1456</v>
      </c>
    </row>
    <row r="1399" spans="1:15" x14ac:dyDescent="0.35">
      <c r="A1399" s="27" t="s">
        <v>1941</v>
      </c>
      <c r="B1399" s="12">
        <v>46083</v>
      </c>
      <c r="C1399" s="11" t="s">
        <v>109</v>
      </c>
      <c r="D1399" s="11" t="s">
        <v>13</v>
      </c>
      <c r="E1399" s="11">
        <v>-10</v>
      </c>
      <c r="F1399" s="11">
        <f t="shared" si="43"/>
        <v>-10</v>
      </c>
      <c r="G1399" s="11" t="s">
        <v>19</v>
      </c>
      <c r="H1399" s="11" t="s">
        <v>1942</v>
      </c>
      <c r="I1399" s="11" t="s">
        <v>26</v>
      </c>
      <c r="J1399" s="11">
        <v>105</v>
      </c>
      <c r="K1399" s="11">
        <v>165</v>
      </c>
      <c r="L1399" s="11"/>
      <c r="M1399" s="11">
        <f t="shared" si="42"/>
        <v>1050</v>
      </c>
      <c r="N1399" s="11">
        <f>IF(Table1[[#This Row],[Transaction Type]]="Sale",ABS(E1399)*K1399,0)</f>
        <v>1650</v>
      </c>
      <c r="O1399" s="29">
        <f>IF(Table1[[#This Row],[Transaction Type]]="Purchase",E1399*J1399,0)</f>
        <v>0</v>
      </c>
    </row>
    <row r="1400" spans="1:15" x14ac:dyDescent="0.35">
      <c r="A1400" s="27" t="s">
        <v>1943</v>
      </c>
      <c r="B1400" s="12">
        <v>46083</v>
      </c>
      <c r="C1400" s="11" t="s">
        <v>83</v>
      </c>
      <c r="D1400" s="11" t="s">
        <v>40</v>
      </c>
      <c r="E1400" s="11">
        <v>100</v>
      </c>
      <c r="F1400" s="11">
        <f t="shared" si="43"/>
        <v>100</v>
      </c>
      <c r="G1400" s="11" t="s">
        <v>14</v>
      </c>
      <c r="H1400" s="11" t="s">
        <v>84</v>
      </c>
      <c r="I1400" s="11" t="s">
        <v>45</v>
      </c>
      <c r="J1400" s="11">
        <v>130</v>
      </c>
      <c r="K1400" s="11">
        <v>185</v>
      </c>
      <c r="L1400" s="11" t="s">
        <v>1944</v>
      </c>
      <c r="M1400" s="11">
        <f t="shared" si="42"/>
        <v>13000</v>
      </c>
      <c r="N1400" s="11">
        <f>IF(Table1[[#This Row],[Transaction Type]]="Sale",ABS(E1400)*K1400,0)</f>
        <v>0</v>
      </c>
      <c r="O1400" s="29">
        <f>IF(Table1[[#This Row],[Transaction Type]]="Purchase",E1400*J1400,0)</f>
        <v>13000</v>
      </c>
    </row>
    <row r="1401" spans="1:15" x14ac:dyDescent="0.35">
      <c r="A1401" s="27" t="s">
        <v>1945</v>
      </c>
      <c r="B1401" s="12">
        <v>46083</v>
      </c>
      <c r="C1401" s="11" t="s">
        <v>48</v>
      </c>
      <c r="D1401" s="11" t="s">
        <v>13</v>
      </c>
      <c r="E1401" s="11">
        <v>-12</v>
      </c>
      <c r="F1401" s="11">
        <f t="shared" si="43"/>
        <v>-12</v>
      </c>
      <c r="G1401" s="11" t="s">
        <v>14</v>
      </c>
      <c r="H1401" s="11" t="s">
        <v>49</v>
      </c>
      <c r="I1401" s="11" t="s">
        <v>21</v>
      </c>
      <c r="J1401" s="11">
        <v>8.5</v>
      </c>
      <c r="K1401" s="11">
        <v>18</v>
      </c>
      <c r="L1401" s="11"/>
      <c r="M1401" s="11">
        <f t="shared" si="42"/>
        <v>102</v>
      </c>
      <c r="N1401" s="11">
        <f>IF(Table1[[#This Row],[Transaction Type]]="Sale",ABS(E1401)*K1401,0)</f>
        <v>216</v>
      </c>
      <c r="O1401" s="29">
        <f>IF(Table1[[#This Row],[Transaction Type]]="Purchase",E1401*J1401,0)</f>
        <v>0</v>
      </c>
    </row>
    <row r="1402" spans="1:15" x14ac:dyDescent="0.35">
      <c r="A1402" s="27" t="s">
        <v>1946</v>
      </c>
      <c r="B1402" s="12">
        <v>46084</v>
      </c>
      <c r="C1402" s="11" t="s">
        <v>170</v>
      </c>
      <c r="D1402" s="11" t="s">
        <v>13</v>
      </c>
      <c r="E1402" s="11">
        <v>-2</v>
      </c>
      <c r="F1402" s="11">
        <f t="shared" si="43"/>
        <v>-2</v>
      </c>
      <c r="G1402" s="11" t="s">
        <v>19</v>
      </c>
      <c r="H1402" s="11" t="s">
        <v>171</v>
      </c>
      <c r="I1402" s="11" t="s">
        <v>34</v>
      </c>
      <c r="J1402" s="11">
        <v>25</v>
      </c>
      <c r="K1402" s="11">
        <v>45</v>
      </c>
      <c r="L1402" s="11"/>
      <c r="M1402" s="11">
        <f t="shared" si="42"/>
        <v>50</v>
      </c>
      <c r="N1402" s="11">
        <f>IF(Table1[[#This Row],[Transaction Type]]="Sale",ABS(E1402)*K1402,0)</f>
        <v>90</v>
      </c>
      <c r="O1402" s="29">
        <f>IF(Table1[[#This Row],[Transaction Type]]="Purchase",E1402*J1402,0)</f>
        <v>0</v>
      </c>
    </row>
    <row r="1403" spans="1:15" x14ac:dyDescent="0.35">
      <c r="A1403" s="27" t="s">
        <v>1947</v>
      </c>
      <c r="B1403" s="12">
        <v>46085</v>
      </c>
      <c r="C1403" s="11" t="s">
        <v>48</v>
      </c>
      <c r="D1403" s="11" t="s">
        <v>66</v>
      </c>
      <c r="E1403" s="11">
        <v>4</v>
      </c>
      <c r="F1403" s="11">
        <f t="shared" si="43"/>
        <v>4</v>
      </c>
      <c r="G1403" s="11" t="s">
        <v>14</v>
      </c>
      <c r="H1403" s="11" t="s">
        <v>49</v>
      </c>
      <c r="I1403" s="11" t="s">
        <v>21</v>
      </c>
      <c r="J1403" s="11">
        <v>8.5</v>
      </c>
      <c r="K1403" s="11">
        <v>18</v>
      </c>
      <c r="L1403" s="11"/>
      <c r="M1403" s="11">
        <f t="shared" si="42"/>
        <v>34</v>
      </c>
      <c r="N1403" s="11">
        <f>IF(Table1[[#This Row],[Transaction Type]]="Sale",ABS(E1403)*K1403,0)</f>
        <v>0</v>
      </c>
      <c r="O1403" s="29">
        <f>IF(Table1[[#This Row],[Transaction Type]]="Purchase",E1403*J1403,0)</f>
        <v>0</v>
      </c>
    </row>
    <row r="1404" spans="1:15" x14ac:dyDescent="0.35">
      <c r="A1404" s="27" t="s">
        <v>1948</v>
      </c>
      <c r="B1404" s="12">
        <v>46085</v>
      </c>
      <c r="C1404" s="11" t="s">
        <v>65</v>
      </c>
      <c r="D1404" s="11" t="s">
        <v>13</v>
      </c>
      <c r="E1404" s="11">
        <v>-12</v>
      </c>
      <c r="F1404" s="11">
        <f t="shared" si="43"/>
        <v>-12</v>
      </c>
      <c r="G1404" s="11" t="s">
        <v>14</v>
      </c>
      <c r="H1404" s="11" t="s">
        <v>67</v>
      </c>
      <c r="I1404" s="11" t="s">
        <v>21</v>
      </c>
      <c r="J1404" s="11">
        <v>11</v>
      </c>
      <c r="K1404" s="11">
        <v>22</v>
      </c>
      <c r="L1404" s="11"/>
      <c r="M1404" s="11">
        <f t="shared" si="42"/>
        <v>132</v>
      </c>
      <c r="N1404" s="11">
        <f>IF(Table1[[#This Row],[Transaction Type]]="Sale",ABS(E1404)*K1404,0)</f>
        <v>264</v>
      </c>
      <c r="O1404" s="29">
        <f>IF(Table1[[#This Row],[Transaction Type]]="Purchase",E1404*J1404,0)</f>
        <v>0</v>
      </c>
    </row>
    <row r="1405" spans="1:15" x14ac:dyDescent="0.35">
      <c r="A1405" s="27" t="s">
        <v>1949</v>
      </c>
      <c r="B1405" s="12">
        <v>46085</v>
      </c>
      <c r="C1405" s="11" t="s">
        <v>185</v>
      </c>
      <c r="D1405" s="11" t="s">
        <v>13</v>
      </c>
      <c r="E1405" s="11">
        <v>-7</v>
      </c>
      <c r="F1405" s="11">
        <f t="shared" si="43"/>
        <v>-7</v>
      </c>
      <c r="G1405" s="11" t="s">
        <v>19</v>
      </c>
      <c r="H1405" s="11" t="s">
        <v>44</v>
      </c>
      <c r="I1405" s="11" t="s">
        <v>45</v>
      </c>
      <c r="J1405" s="11">
        <v>63</v>
      </c>
      <c r="K1405" s="11">
        <v>95</v>
      </c>
      <c r="L1405" s="11"/>
      <c r="M1405" s="11">
        <f t="shared" si="42"/>
        <v>441</v>
      </c>
      <c r="N1405" s="11">
        <f>IF(Table1[[#This Row],[Transaction Type]]="Sale",ABS(E1405)*K1405,0)</f>
        <v>665</v>
      </c>
      <c r="O1405" s="29">
        <f>IF(Table1[[#This Row],[Transaction Type]]="Purchase",E1405*J1405,0)</f>
        <v>0</v>
      </c>
    </row>
    <row r="1406" spans="1:15" x14ac:dyDescent="0.35">
      <c r="A1406" s="27" t="s">
        <v>1950</v>
      </c>
      <c r="B1406" s="12">
        <v>46085</v>
      </c>
      <c r="C1406" s="11" t="s">
        <v>170</v>
      </c>
      <c r="D1406" s="11" t="s">
        <v>40</v>
      </c>
      <c r="E1406" s="11">
        <v>58</v>
      </c>
      <c r="F1406" s="11">
        <f t="shared" si="43"/>
        <v>58</v>
      </c>
      <c r="G1406" s="11" t="s">
        <v>14</v>
      </c>
      <c r="H1406" s="11" t="s">
        <v>171</v>
      </c>
      <c r="I1406" s="11" t="s">
        <v>34</v>
      </c>
      <c r="J1406" s="11">
        <v>25</v>
      </c>
      <c r="K1406" s="11">
        <v>45</v>
      </c>
      <c r="L1406" s="11" t="s">
        <v>1951</v>
      </c>
      <c r="M1406" s="11">
        <f t="shared" si="42"/>
        <v>1450</v>
      </c>
      <c r="N1406" s="11">
        <f>IF(Table1[[#This Row],[Transaction Type]]="Sale",ABS(E1406)*K1406,0)</f>
        <v>0</v>
      </c>
      <c r="O1406" s="29">
        <f>IF(Table1[[#This Row],[Transaction Type]]="Purchase",E1406*J1406,0)</f>
        <v>1450</v>
      </c>
    </row>
    <row r="1407" spans="1:15" x14ac:dyDescent="0.35">
      <c r="A1407" s="27" t="s">
        <v>1952</v>
      </c>
      <c r="B1407" s="12">
        <v>46086</v>
      </c>
      <c r="C1407" s="11" t="s">
        <v>18</v>
      </c>
      <c r="D1407" s="11" t="s">
        <v>40</v>
      </c>
      <c r="E1407" s="11">
        <v>47</v>
      </c>
      <c r="F1407" s="11">
        <f t="shared" si="43"/>
        <v>47</v>
      </c>
      <c r="G1407" s="11" t="s">
        <v>19</v>
      </c>
      <c r="H1407" s="11" t="s">
        <v>20</v>
      </c>
      <c r="I1407" s="11" t="s">
        <v>21</v>
      </c>
      <c r="J1407" s="11">
        <v>2.6</v>
      </c>
      <c r="K1407" s="11">
        <v>5.5</v>
      </c>
      <c r="L1407" s="11" t="s">
        <v>1953</v>
      </c>
      <c r="M1407" s="11">
        <f t="shared" si="42"/>
        <v>122.2</v>
      </c>
      <c r="N1407" s="11">
        <f>IF(Table1[[#This Row],[Transaction Type]]="Sale",ABS(E1407)*K1407,0)</f>
        <v>0</v>
      </c>
      <c r="O1407" s="29">
        <f>IF(Table1[[#This Row],[Transaction Type]]="Purchase",E1407*J1407,0)</f>
        <v>122.2</v>
      </c>
    </row>
    <row r="1408" spans="1:15" x14ac:dyDescent="0.35">
      <c r="A1408" s="27" t="s">
        <v>1954</v>
      </c>
      <c r="B1408" s="12">
        <v>46086</v>
      </c>
      <c r="C1408" s="11" t="s">
        <v>136</v>
      </c>
      <c r="D1408" s="11" t="s">
        <v>13</v>
      </c>
      <c r="E1408" s="11">
        <v>-3</v>
      </c>
      <c r="F1408" s="11">
        <f t="shared" si="43"/>
        <v>-3</v>
      </c>
      <c r="G1408" s="11" t="s">
        <v>24</v>
      </c>
      <c r="H1408" s="11" t="s">
        <v>33</v>
      </c>
      <c r="I1408" s="11" t="s">
        <v>34</v>
      </c>
      <c r="J1408" s="11">
        <v>34</v>
      </c>
      <c r="K1408" s="11">
        <v>55</v>
      </c>
      <c r="L1408" s="11"/>
      <c r="M1408" s="11">
        <f t="shared" si="42"/>
        <v>102</v>
      </c>
      <c r="N1408" s="11">
        <f>IF(Table1[[#This Row],[Transaction Type]]="Sale",ABS(E1408)*K1408,0)</f>
        <v>165</v>
      </c>
      <c r="O1408" s="29">
        <f>IF(Table1[[#This Row],[Transaction Type]]="Purchase",E1408*J1408,0)</f>
        <v>0</v>
      </c>
    </row>
    <row r="1409" spans="1:15" x14ac:dyDescent="0.35">
      <c r="A1409" s="27" t="s">
        <v>1955</v>
      </c>
      <c r="B1409" s="12">
        <v>46086</v>
      </c>
      <c r="C1409" s="11" t="s">
        <v>23</v>
      </c>
      <c r="D1409" s="11" t="s">
        <v>40</v>
      </c>
      <c r="E1409" s="11">
        <v>50</v>
      </c>
      <c r="F1409" s="11">
        <f t="shared" si="43"/>
        <v>50</v>
      </c>
      <c r="G1409" s="11" t="s">
        <v>14</v>
      </c>
      <c r="H1409" s="11" t="s">
        <v>25</v>
      </c>
      <c r="I1409" s="11" t="s">
        <v>26</v>
      </c>
      <c r="J1409" s="11">
        <v>3</v>
      </c>
      <c r="K1409" s="11">
        <v>7</v>
      </c>
      <c r="L1409" s="11" t="s">
        <v>1956</v>
      </c>
      <c r="M1409" s="11">
        <f t="shared" si="42"/>
        <v>150</v>
      </c>
      <c r="N1409" s="11">
        <f>IF(Table1[[#This Row],[Transaction Type]]="Sale",ABS(E1409)*K1409,0)</f>
        <v>0</v>
      </c>
      <c r="O1409" s="29">
        <f>IF(Table1[[#This Row],[Transaction Type]]="Purchase",E1409*J1409,0)</f>
        <v>150</v>
      </c>
    </row>
    <row r="1410" spans="1:15" x14ac:dyDescent="0.35">
      <c r="A1410" s="27" t="s">
        <v>1957</v>
      </c>
      <c r="B1410" s="12">
        <v>46086</v>
      </c>
      <c r="C1410" s="11" t="s">
        <v>36</v>
      </c>
      <c r="D1410" s="11" t="s">
        <v>40</v>
      </c>
      <c r="E1410" s="11">
        <v>30</v>
      </c>
      <c r="F1410" s="11">
        <f t="shared" si="43"/>
        <v>30</v>
      </c>
      <c r="G1410" s="11" t="s">
        <v>2522</v>
      </c>
      <c r="H1410" s="11" t="s">
        <v>37</v>
      </c>
      <c r="I1410" s="11" t="s">
        <v>16</v>
      </c>
      <c r="J1410" s="11">
        <v>7.2</v>
      </c>
      <c r="K1410" s="11">
        <v>12.5</v>
      </c>
      <c r="L1410" s="11" t="s">
        <v>1958</v>
      </c>
      <c r="M1410" s="11">
        <f t="shared" ref="M1410:M1473" si="44">ABS(E1410)*J1410</f>
        <v>216</v>
      </c>
      <c r="N1410" s="11">
        <f>IF(Table1[[#This Row],[Transaction Type]]="Sale",ABS(E1410)*K1410,0)</f>
        <v>0</v>
      </c>
      <c r="O1410" s="29">
        <f>IF(Table1[[#This Row],[Transaction Type]]="Purchase",E1410*J1410,0)</f>
        <v>216</v>
      </c>
    </row>
    <row r="1411" spans="1:15" x14ac:dyDescent="0.35">
      <c r="A1411" s="27" t="s">
        <v>1959</v>
      </c>
      <c r="B1411" s="12">
        <v>46086</v>
      </c>
      <c r="C1411" s="11" t="s">
        <v>98</v>
      </c>
      <c r="D1411" s="11" t="s">
        <v>13</v>
      </c>
      <c r="E1411" s="11">
        <v>-6</v>
      </c>
      <c r="F1411" s="11">
        <f t="shared" ref="F1411:F1474" si="45">E1411</f>
        <v>-6</v>
      </c>
      <c r="G1411" s="11" t="s">
        <v>24</v>
      </c>
      <c r="H1411" s="11" t="s">
        <v>30</v>
      </c>
      <c r="I1411" s="11" t="s">
        <v>16</v>
      </c>
      <c r="J1411" s="11">
        <v>16</v>
      </c>
      <c r="K1411" s="11">
        <v>29</v>
      </c>
      <c r="L1411" s="11"/>
      <c r="M1411" s="11">
        <f t="shared" si="44"/>
        <v>96</v>
      </c>
      <c r="N1411" s="11">
        <f>IF(Table1[[#This Row],[Transaction Type]]="Sale",ABS(E1411)*K1411,0)</f>
        <v>174</v>
      </c>
      <c r="O1411" s="29">
        <f>IF(Table1[[#This Row],[Transaction Type]]="Purchase",E1411*J1411,0)</f>
        <v>0</v>
      </c>
    </row>
    <row r="1412" spans="1:15" x14ac:dyDescent="0.35">
      <c r="A1412" s="27" t="s">
        <v>1960</v>
      </c>
      <c r="B1412" s="12">
        <v>46087</v>
      </c>
      <c r="C1412" s="11" t="s">
        <v>73</v>
      </c>
      <c r="D1412" s="11" t="s">
        <v>13</v>
      </c>
      <c r="E1412" s="11">
        <v>-6</v>
      </c>
      <c r="F1412" s="11">
        <f t="shared" si="45"/>
        <v>-6</v>
      </c>
      <c r="G1412" s="11" t="s">
        <v>24</v>
      </c>
      <c r="H1412" s="11" t="s">
        <v>74</v>
      </c>
      <c r="I1412" s="11" t="s">
        <v>75</v>
      </c>
      <c r="J1412" s="11">
        <v>30</v>
      </c>
      <c r="K1412" s="11">
        <v>48</v>
      </c>
      <c r="L1412" s="11"/>
      <c r="M1412" s="11">
        <f t="shared" si="44"/>
        <v>180</v>
      </c>
      <c r="N1412" s="11">
        <f>IF(Table1[[#This Row],[Transaction Type]]="Sale",ABS(E1412)*K1412,0)</f>
        <v>288</v>
      </c>
      <c r="O1412" s="29">
        <f>IF(Table1[[#This Row],[Transaction Type]]="Purchase",E1412*J1412,0)</f>
        <v>0</v>
      </c>
    </row>
    <row r="1413" spans="1:15" x14ac:dyDescent="0.35">
      <c r="A1413" s="27" t="s">
        <v>1961</v>
      </c>
      <c r="B1413" s="12">
        <v>46088</v>
      </c>
      <c r="C1413" s="11" t="s">
        <v>73</v>
      </c>
      <c r="D1413" s="11" t="s">
        <v>58</v>
      </c>
      <c r="E1413" s="11">
        <v>20</v>
      </c>
      <c r="F1413" s="11">
        <f t="shared" si="45"/>
        <v>20</v>
      </c>
      <c r="G1413" s="11" t="s">
        <v>24</v>
      </c>
      <c r="H1413" s="11" t="s">
        <v>74</v>
      </c>
      <c r="I1413" s="11" t="s">
        <v>75</v>
      </c>
      <c r="J1413" s="11">
        <v>30</v>
      </c>
      <c r="K1413" s="11">
        <v>48</v>
      </c>
      <c r="L1413" s="11"/>
      <c r="M1413" s="11">
        <f t="shared" si="44"/>
        <v>600</v>
      </c>
      <c r="N1413" s="11">
        <f>IF(Table1[[#This Row],[Transaction Type]]="Sale",ABS(E1413)*K1413,0)</f>
        <v>0</v>
      </c>
      <c r="O1413" s="29">
        <f>IF(Table1[[#This Row],[Transaction Type]]="Purchase",E1413*J1413,0)</f>
        <v>0</v>
      </c>
    </row>
    <row r="1414" spans="1:15" x14ac:dyDescent="0.35">
      <c r="A1414" s="27" t="s">
        <v>1962</v>
      </c>
      <c r="B1414" s="12">
        <v>46088</v>
      </c>
      <c r="C1414" s="11" t="s">
        <v>36</v>
      </c>
      <c r="D1414" s="11" t="s">
        <v>13</v>
      </c>
      <c r="E1414" s="11">
        <v>-13</v>
      </c>
      <c r="F1414" s="11">
        <f t="shared" si="45"/>
        <v>-13</v>
      </c>
      <c r="G1414" s="11" t="s">
        <v>24</v>
      </c>
      <c r="H1414" s="11" t="s">
        <v>37</v>
      </c>
      <c r="I1414" s="11" t="s">
        <v>16</v>
      </c>
      <c r="J1414" s="11">
        <v>7.2</v>
      </c>
      <c r="K1414" s="11">
        <v>12.5</v>
      </c>
      <c r="L1414" s="11"/>
      <c r="M1414" s="11">
        <f t="shared" si="44"/>
        <v>93.600000000000009</v>
      </c>
      <c r="N1414" s="11">
        <f>IF(Table1[[#This Row],[Transaction Type]]="Sale",ABS(E1414)*K1414,0)</f>
        <v>162.5</v>
      </c>
      <c r="O1414" s="29">
        <f>IF(Table1[[#This Row],[Transaction Type]]="Purchase",E1414*J1414,0)</f>
        <v>0</v>
      </c>
    </row>
    <row r="1415" spans="1:15" x14ac:dyDescent="0.35">
      <c r="A1415" s="27" t="s">
        <v>1963</v>
      </c>
      <c r="B1415" s="12">
        <v>46089</v>
      </c>
      <c r="C1415" s="11" t="s">
        <v>18</v>
      </c>
      <c r="D1415" s="11" t="s">
        <v>13</v>
      </c>
      <c r="E1415" s="11">
        <v>-15</v>
      </c>
      <c r="F1415" s="11">
        <f t="shared" si="45"/>
        <v>-15</v>
      </c>
      <c r="G1415" s="11" t="s">
        <v>24</v>
      </c>
      <c r="H1415" s="11" t="s">
        <v>20</v>
      </c>
      <c r="I1415" s="11" t="s">
        <v>21</v>
      </c>
      <c r="J1415" s="11">
        <v>2.6</v>
      </c>
      <c r="K1415" s="11">
        <v>5.5</v>
      </c>
      <c r="L1415" s="11"/>
      <c r="M1415" s="11">
        <f t="shared" si="44"/>
        <v>39</v>
      </c>
      <c r="N1415" s="11">
        <f>IF(Table1[[#This Row],[Transaction Type]]="Sale",ABS(E1415)*K1415,0)</f>
        <v>82.5</v>
      </c>
      <c r="O1415" s="29">
        <f>IF(Table1[[#This Row],[Transaction Type]]="Purchase",E1415*J1415,0)</f>
        <v>0</v>
      </c>
    </row>
    <row r="1416" spans="1:15" x14ac:dyDescent="0.35">
      <c r="A1416" s="27" t="s">
        <v>1964</v>
      </c>
      <c r="B1416" s="12">
        <v>46089</v>
      </c>
      <c r="C1416" s="11" t="s">
        <v>48</v>
      </c>
      <c r="D1416" s="11" t="s">
        <v>58</v>
      </c>
      <c r="E1416" s="11">
        <v>20</v>
      </c>
      <c r="F1416" s="11">
        <f t="shared" si="45"/>
        <v>20</v>
      </c>
      <c r="G1416" s="11" t="s">
        <v>24</v>
      </c>
      <c r="H1416" s="11" t="s">
        <v>49</v>
      </c>
      <c r="I1416" s="11" t="s">
        <v>21</v>
      </c>
      <c r="J1416" s="11">
        <v>8.5</v>
      </c>
      <c r="K1416" s="11">
        <v>18</v>
      </c>
      <c r="L1416" s="11"/>
      <c r="M1416" s="11">
        <f t="shared" si="44"/>
        <v>170</v>
      </c>
      <c r="N1416" s="11">
        <f>IF(Table1[[#This Row],[Transaction Type]]="Sale",ABS(E1416)*K1416,0)</f>
        <v>0</v>
      </c>
      <c r="O1416" s="29">
        <f>IF(Table1[[#This Row],[Transaction Type]]="Purchase",E1416*J1416,0)</f>
        <v>0</v>
      </c>
    </row>
    <row r="1417" spans="1:15" x14ac:dyDescent="0.35">
      <c r="A1417" s="27" t="s">
        <v>1965</v>
      </c>
      <c r="B1417" s="12">
        <v>46089</v>
      </c>
      <c r="C1417" s="11" t="s">
        <v>136</v>
      </c>
      <c r="D1417" s="11" t="s">
        <v>13</v>
      </c>
      <c r="E1417" s="11">
        <v>-10</v>
      </c>
      <c r="F1417" s="11">
        <f t="shared" si="45"/>
        <v>-10</v>
      </c>
      <c r="G1417" s="11" t="s">
        <v>19</v>
      </c>
      <c r="H1417" s="11" t="s">
        <v>33</v>
      </c>
      <c r="I1417" s="11" t="s">
        <v>34</v>
      </c>
      <c r="J1417" s="11">
        <v>34</v>
      </c>
      <c r="K1417" s="11">
        <v>55</v>
      </c>
      <c r="L1417" s="11"/>
      <c r="M1417" s="11">
        <f t="shared" si="44"/>
        <v>340</v>
      </c>
      <c r="N1417" s="11">
        <f>IF(Table1[[#This Row],[Transaction Type]]="Sale",ABS(E1417)*K1417,0)</f>
        <v>550</v>
      </c>
      <c r="O1417" s="29">
        <f>IF(Table1[[#This Row],[Transaction Type]]="Purchase",E1417*J1417,0)</f>
        <v>0</v>
      </c>
    </row>
    <row r="1418" spans="1:15" x14ac:dyDescent="0.35">
      <c r="A1418" s="27" t="s">
        <v>1966</v>
      </c>
      <c r="B1418" s="12">
        <v>46090</v>
      </c>
      <c r="C1418" s="11" t="s">
        <v>98</v>
      </c>
      <c r="D1418" s="11" t="s">
        <v>40</v>
      </c>
      <c r="E1418" s="11">
        <v>99</v>
      </c>
      <c r="F1418" s="11">
        <f t="shared" si="45"/>
        <v>99</v>
      </c>
      <c r="G1418" s="11" t="s">
        <v>24</v>
      </c>
      <c r="H1418" s="11" t="s">
        <v>30</v>
      </c>
      <c r="I1418" s="11" t="s">
        <v>16</v>
      </c>
      <c r="J1418" s="11">
        <v>16</v>
      </c>
      <c r="K1418" s="11">
        <v>29</v>
      </c>
      <c r="L1418" s="11" t="s">
        <v>1967</v>
      </c>
      <c r="M1418" s="11">
        <f t="shared" si="44"/>
        <v>1584</v>
      </c>
      <c r="N1418" s="11">
        <f>IF(Table1[[#This Row],[Transaction Type]]="Sale",ABS(E1418)*K1418,0)</f>
        <v>0</v>
      </c>
      <c r="O1418" s="29">
        <f>IF(Table1[[#This Row],[Transaction Type]]="Purchase",E1418*J1418,0)</f>
        <v>1584</v>
      </c>
    </row>
    <row r="1419" spans="1:15" x14ac:dyDescent="0.35">
      <c r="A1419" s="27" t="s">
        <v>1968</v>
      </c>
      <c r="B1419" s="12">
        <v>46090</v>
      </c>
      <c r="C1419" s="11" t="s">
        <v>65</v>
      </c>
      <c r="D1419" s="11" t="s">
        <v>40</v>
      </c>
      <c r="E1419" s="11">
        <v>30</v>
      </c>
      <c r="F1419" s="11">
        <f t="shared" si="45"/>
        <v>30</v>
      </c>
      <c r="G1419" s="11" t="s">
        <v>14</v>
      </c>
      <c r="H1419" s="11" t="s">
        <v>67</v>
      </c>
      <c r="I1419" s="11" t="s">
        <v>21</v>
      </c>
      <c r="J1419" s="11">
        <v>11</v>
      </c>
      <c r="K1419" s="11">
        <v>22</v>
      </c>
      <c r="L1419" s="11" t="s">
        <v>1969</v>
      </c>
      <c r="M1419" s="11">
        <f t="shared" si="44"/>
        <v>330</v>
      </c>
      <c r="N1419" s="11">
        <f>IF(Table1[[#This Row],[Transaction Type]]="Sale",ABS(E1419)*K1419,0)</f>
        <v>0</v>
      </c>
      <c r="O1419" s="29">
        <f>IF(Table1[[#This Row],[Transaction Type]]="Purchase",E1419*J1419,0)</f>
        <v>330</v>
      </c>
    </row>
    <row r="1420" spans="1:15" x14ac:dyDescent="0.35">
      <c r="A1420" s="27" t="s">
        <v>1970</v>
      </c>
      <c r="B1420" s="12">
        <v>46090</v>
      </c>
      <c r="C1420" s="11" t="s">
        <v>94</v>
      </c>
      <c r="D1420" s="11" t="s">
        <v>58</v>
      </c>
      <c r="E1420" s="11">
        <v>-4</v>
      </c>
      <c r="F1420" s="11">
        <f t="shared" si="45"/>
        <v>-4</v>
      </c>
      <c r="G1420" s="11" t="s">
        <v>14</v>
      </c>
      <c r="H1420" s="11" t="s">
        <v>95</v>
      </c>
      <c r="I1420" s="11" t="s">
        <v>16</v>
      </c>
      <c r="J1420" s="11">
        <v>18.5</v>
      </c>
      <c r="K1420" s="11">
        <v>31</v>
      </c>
      <c r="L1420" s="11"/>
      <c r="M1420" s="11">
        <f t="shared" si="44"/>
        <v>74</v>
      </c>
      <c r="N1420" s="11">
        <f>IF(Table1[[#This Row],[Transaction Type]]="Sale",ABS(E1420)*K1420,0)</f>
        <v>0</v>
      </c>
      <c r="O1420" s="29">
        <f>IF(Table1[[#This Row],[Transaction Type]]="Purchase",E1420*J1420,0)</f>
        <v>0</v>
      </c>
    </row>
    <row r="1421" spans="1:15" x14ac:dyDescent="0.35">
      <c r="A1421" s="27" t="s">
        <v>1971</v>
      </c>
      <c r="B1421" s="12">
        <v>46090</v>
      </c>
      <c r="C1421" s="11" t="s">
        <v>48</v>
      </c>
      <c r="D1421" s="11" t="s">
        <v>13</v>
      </c>
      <c r="E1421" s="11">
        <v>-6</v>
      </c>
      <c r="F1421" s="11">
        <f t="shared" si="45"/>
        <v>-6</v>
      </c>
      <c r="G1421" s="11" t="s">
        <v>2522</v>
      </c>
      <c r="H1421" s="11" t="s">
        <v>49</v>
      </c>
      <c r="I1421" s="11" t="s">
        <v>21</v>
      </c>
      <c r="J1421" s="11">
        <v>8.5</v>
      </c>
      <c r="K1421" s="11">
        <v>18</v>
      </c>
      <c r="L1421" s="11"/>
      <c r="M1421" s="11">
        <f t="shared" si="44"/>
        <v>51</v>
      </c>
      <c r="N1421" s="11">
        <f>IF(Table1[[#This Row],[Transaction Type]]="Sale",ABS(E1421)*K1421,0)</f>
        <v>108</v>
      </c>
      <c r="O1421" s="29">
        <f>IF(Table1[[#This Row],[Transaction Type]]="Purchase",E1421*J1421,0)</f>
        <v>0</v>
      </c>
    </row>
    <row r="1422" spans="1:15" x14ac:dyDescent="0.35">
      <c r="A1422" s="27" t="s">
        <v>1972</v>
      </c>
      <c r="B1422" s="12">
        <v>46090</v>
      </c>
      <c r="C1422" s="11" t="s">
        <v>43</v>
      </c>
      <c r="D1422" s="11" t="s">
        <v>66</v>
      </c>
      <c r="E1422" s="11">
        <v>1</v>
      </c>
      <c r="F1422" s="11">
        <f t="shared" si="45"/>
        <v>1</v>
      </c>
      <c r="G1422" s="11" t="s">
        <v>19</v>
      </c>
      <c r="H1422" s="11" t="s">
        <v>44</v>
      </c>
      <c r="I1422" s="11" t="s">
        <v>45</v>
      </c>
      <c r="J1422" s="11">
        <v>5.2</v>
      </c>
      <c r="K1422" s="11">
        <v>11</v>
      </c>
      <c r="L1422" s="11"/>
      <c r="M1422" s="11">
        <f t="shared" si="44"/>
        <v>5.2</v>
      </c>
      <c r="N1422" s="11">
        <f>IF(Table1[[#This Row],[Transaction Type]]="Sale",ABS(E1422)*K1422,0)</f>
        <v>0</v>
      </c>
      <c r="O1422" s="29">
        <f>IF(Table1[[#This Row],[Transaction Type]]="Purchase",E1422*J1422,0)</f>
        <v>0</v>
      </c>
    </row>
    <row r="1423" spans="1:15" x14ac:dyDescent="0.35">
      <c r="A1423" s="27" t="s">
        <v>1973</v>
      </c>
      <c r="B1423" s="12">
        <v>46090</v>
      </c>
      <c r="C1423" s="11" t="s">
        <v>139</v>
      </c>
      <c r="D1423" s="11" t="s">
        <v>13</v>
      </c>
      <c r="E1423" s="11">
        <v>-12</v>
      </c>
      <c r="F1423" s="11">
        <f t="shared" si="45"/>
        <v>-12</v>
      </c>
      <c r="G1423" s="11" t="s">
        <v>14</v>
      </c>
      <c r="H1423" s="11" t="s">
        <v>56</v>
      </c>
      <c r="I1423" s="11" t="s">
        <v>16</v>
      </c>
      <c r="J1423" s="11">
        <v>16.5</v>
      </c>
      <c r="K1423" s="11">
        <v>28</v>
      </c>
      <c r="L1423" s="11"/>
      <c r="M1423" s="11">
        <f t="shared" si="44"/>
        <v>198</v>
      </c>
      <c r="N1423" s="11">
        <f>IF(Table1[[#This Row],[Transaction Type]]="Sale",ABS(E1423)*K1423,0)</f>
        <v>336</v>
      </c>
      <c r="O1423" s="29">
        <f>IF(Table1[[#This Row],[Transaction Type]]="Purchase",E1423*J1423,0)</f>
        <v>0</v>
      </c>
    </row>
    <row r="1424" spans="1:15" x14ac:dyDescent="0.35">
      <c r="A1424" s="27" t="s">
        <v>1974</v>
      </c>
      <c r="B1424" s="12">
        <v>46090</v>
      </c>
      <c r="C1424" s="11" t="s">
        <v>60</v>
      </c>
      <c r="D1424" s="11" t="s">
        <v>40</v>
      </c>
      <c r="E1424" s="11">
        <v>85</v>
      </c>
      <c r="F1424" s="11">
        <f t="shared" si="45"/>
        <v>85</v>
      </c>
      <c r="G1424" s="11" t="s">
        <v>14</v>
      </c>
      <c r="H1424" s="11" t="s">
        <v>61</v>
      </c>
      <c r="I1424" s="11" t="s">
        <v>62</v>
      </c>
      <c r="J1424" s="11">
        <v>3.4</v>
      </c>
      <c r="K1424" s="11">
        <v>8</v>
      </c>
      <c r="L1424" s="11" t="s">
        <v>1975</v>
      </c>
      <c r="M1424" s="11">
        <f t="shared" si="44"/>
        <v>289</v>
      </c>
      <c r="N1424" s="11">
        <f>IF(Table1[[#This Row],[Transaction Type]]="Sale",ABS(E1424)*K1424,0)</f>
        <v>0</v>
      </c>
      <c r="O1424" s="29">
        <f>IF(Table1[[#This Row],[Transaction Type]]="Purchase",E1424*J1424,0)</f>
        <v>289</v>
      </c>
    </row>
    <row r="1425" spans="1:15" x14ac:dyDescent="0.35">
      <c r="A1425" s="27" t="s">
        <v>1976</v>
      </c>
      <c r="B1425" s="12">
        <v>46091</v>
      </c>
      <c r="C1425" s="11" t="s">
        <v>55</v>
      </c>
      <c r="D1425" s="11" t="s">
        <v>58</v>
      </c>
      <c r="E1425" s="11">
        <v>15</v>
      </c>
      <c r="F1425" s="11">
        <f t="shared" si="45"/>
        <v>15</v>
      </c>
      <c r="G1425" s="11" t="s">
        <v>19</v>
      </c>
      <c r="H1425" s="11" t="s">
        <v>56</v>
      </c>
      <c r="I1425" s="11" t="s">
        <v>16</v>
      </c>
      <c r="J1425" s="11">
        <v>4.2</v>
      </c>
      <c r="K1425" s="11">
        <v>10</v>
      </c>
      <c r="L1425" s="11"/>
      <c r="M1425" s="11">
        <f t="shared" si="44"/>
        <v>63</v>
      </c>
      <c r="N1425" s="11">
        <f>IF(Table1[[#This Row],[Transaction Type]]="Sale",ABS(E1425)*K1425,0)</f>
        <v>0</v>
      </c>
      <c r="O1425" s="29">
        <f>IF(Table1[[#This Row],[Transaction Type]]="Purchase",E1425*J1425,0)</f>
        <v>0</v>
      </c>
    </row>
    <row r="1426" spans="1:15" x14ac:dyDescent="0.35">
      <c r="A1426" s="27" t="s">
        <v>1977</v>
      </c>
      <c r="B1426" s="12">
        <v>46091</v>
      </c>
      <c r="C1426" s="11" t="s">
        <v>32</v>
      </c>
      <c r="D1426" s="11" t="s">
        <v>40</v>
      </c>
      <c r="E1426" s="11">
        <v>102</v>
      </c>
      <c r="F1426" s="11">
        <f t="shared" si="45"/>
        <v>102</v>
      </c>
      <c r="G1426" s="11" t="s">
        <v>19</v>
      </c>
      <c r="H1426" s="11" t="s">
        <v>33</v>
      </c>
      <c r="I1426" s="11" t="s">
        <v>34</v>
      </c>
      <c r="J1426" s="11">
        <v>20</v>
      </c>
      <c r="K1426" s="11">
        <v>35</v>
      </c>
      <c r="L1426" s="11" t="s">
        <v>1978</v>
      </c>
      <c r="M1426" s="11">
        <f t="shared" si="44"/>
        <v>2040</v>
      </c>
      <c r="N1426" s="11">
        <f>IF(Table1[[#This Row],[Transaction Type]]="Sale",ABS(E1426)*K1426,0)</f>
        <v>0</v>
      </c>
      <c r="O1426" s="29">
        <f>IF(Table1[[#This Row],[Transaction Type]]="Purchase",E1426*J1426,0)</f>
        <v>2040</v>
      </c>
    </row>
    <row r="1427" spans="1:15" x14ac:dyDescent="0.35">
      <c r="A1427" s="27" t="s">
        <v>1979</v>
      </c>
      <c r="B1427" s="12">
        <v>46091</v>
      </c>
      <c r="C1427" s="11" t="s">
        <v>60</v>
      </c>
      <c r="D1427" s="11" t="s">
        <v>40</v>
      </c>
      <c r="E1427" s="11">
        <v>62</v>
      </c>
      <c r="F1427" s="11">
        <f t="shared" si="45"/>
        <v>62</v>
      </c>
      <c r="G1427" s="11" t="s">
        <v>24</v>
      </c>
      <c r="H1427" s="11" t="s">
        <v>61</v>
      </c>
      <c r="I1427" s="11" t="s">
        <v>62</v>
      </c>
      <c r="J1427" s="11">
        <v>3.4</v>
      </c>
      <c r="K1427" s="11">
        <v>8</v>
      </c>
      <c r="L1427" s="11" t="s">
        <v>1980</v>
      </c>
      <c r="M1427" s="11">
        <f t="shared" si="44"/>
        <v>210.79999999999998</v>
      </c>
      <c r="N1427" s="11">
        <f>IF(Table1[[#This Row],[Transaction Type]]="Sale",ABS(E1427)*K1427,0)</f>
        <v>0</v>
      </c>
      <c r="O1427" s="29">
        <f>IF(Table1[[#This Row],[Transaction Type]]="Purchase",E1427*J1427,0)</f>
        <v>210.79999999999998</v>
      </c>
    </row>
    <row r="1428" spans="1:15" x14ac:dyDescent="0.35">
      <c r="A1428" s="27" t="s">
        <v>1981</v>
      </c>
      <c r="B1428" s="12">
        <v>46092</v>
      </c>
      <c r="C1428" s="11" t="s">
        <v>60</v>
      </c>
      <c r="D1428" s="11" t="s">
        <v>40</v>
      </c>
      <c r="E1428" s="11">
        <v>105</v>
      </c>
      <c r="F1428" s="11">
        <f t="shared" si="45"/>
        <v>105</v>
      </c>
      <c r="G1428" s="11" t="s">
        <v>19</v>
      </c>
      <c r="H1428" s="11" t="s">
        <v>61</v>
      </c>
      <c r="I1428" s="11" t="s">
        <v>62</v>
      </c>
      <c r="J1428" s="11">
        <v>3.4</v>
      </c>
      <c r="K1428" s="11">
        <v>8</v>
      </c>
      <c r="L1428" s="11" t="s">
        <v>1982</v>
      </c>
      <c r="M1428" s="11">
        <f t="shared" si="44"/>
        <v>357</v>
      </c>
      <c r="N1428" s="11">
        <f>IF(Table1[[#This Row],[Transaction Type]]="Sale",ABS(E1428)*K1428,0)</f>
        <v>0</v>
      </c>
      <c r="O1428" s="29">
        <f>IF(Table1[[#This Row],[Transaction Type]]="Purchase",E1428*J1428,0)</f>
        <v>357</v>
      </c>
    </row>
    <row r="1429" spans="1:15" x14ac:dyDescent="0.35">
      <c r="A1429" s="27" t="s">
        <v>1983</v>
      </c>
      <c r="B1429" s="12">
        <v>46092</v>
      </c>
      <c r="C1429" s="11" t="s">
        <v>77</v>
      </c>
      <c r="D1429" s="11" t="s">
        <v>13</v>
      </c>
      <c r="E1429" s="11">
        <v>-15</v>
      </c>
      <c r="F1429" s="11">
        <f t="shared" si="45"/>
        <v>-15</v>
      </c>
      <c r="G1429" s="11" t="s">
        <v>14</v>
      </c>
      <c r="H1429" s="11" t="s">
        <v>78</v>
      </c>
      <c r="I1429" s="11" t="s">
        <v>16</v>
      </c>
      <c r="J1429" s="11">
        <v>25</v>
      </c>
      <c r="K1429" s="11">
        <v>42</v>
      </c>
      <c r="L1429" s="11"/>
      <c r="M1429" s="11">
        <f t="shared" si="44"/>
        <v>375</v>
      </c>
      <c r="N1429" s="11">
        <f>IF(Table1[[#This Row],[Transaction Type]]="Sale",ABS(E1429)*K1429,0)</f>
        <v>630</v>
      </c>
      <c r="O1429" s="29">
        <f>IF(Table1[[#This Row],[Transaction Type]]="Purchase",E1429*J1429,0)</f>
        <v>0</v>
      </c>
    </row>
    <row r="1430" spans="1:15" x14ac:dyDescent="0.35">
      <c r="A1430" s="27" t="s">
        <v>1984</v>
      </c>
      <c r="B1430" s="12">
        <v>46093</v>
      </c>
      <c r="C1430" s="11" t="s">
        <v>139</v>
      </c>
      <c r="D1430" s="11" t="s">
        <v>58</v>
      </c>
      <c r="E1430" s="11">
        <v>-15</v>
      </c>
      <c r="F1430" s="11">
        <f t="shared" si="45"/>
        <v>-15</v>
      </c>
      <c r="G1430" s="11" t="s">
        <v>24</v>
      </c>
      <c r="H1430" s="11" t="s">
        <v>56</v>
      </c>
      <c r="I1430" s="11" t="s">
        <v>16</v>
      </c>
      <c r="J1430" s="11">
        <v>16.5</v>
      </c>
      <c r="K1430" s="11">
        <v>28</v>
      </c>
      <c r="L1430" s="11"/>
      <c r="M1430" s="11">
        <f t="shared" si="44"/>
        <v>247.5</v>
      </c>
      <c r="N1430" s="11">
        <f>IF(Table1[[#This Row],[Transaction Type]]="Sale",ABS(E1430)*K1430,0)</f>
        <v>0</v>
      </c>
      <c r="O1430" s="29">
        <f>IF(Table1[[#This Row],[Transaction Type]]="Purchase",E1430*J1430,0)</f>
        <v>0</v>
      </c>
    </row>
    <row r="1431" spans="1:15" x14ac:dyDescent="0.35">
      <c r="A1431" s="27" t="s">
        <v>1985</v>
      </c>
      <c r="B1431" s="12">
        <v>46093</v>
      </c>
      <c r="C1431" s="11" t="s">
        <v>36</v>
      </c>
      <c r="D1431" s="11" t="s">
        <v>13</v>
      </c>
      <c r="E1431" s="11">
        <v>-10</v>
      </c>
      <c r="F1431" s="11">
        <f t="shared" si="45"/>
        <v>-10</v>
      </c>
      <c r="G1431" s="11" t="s">
        <v>14</v>
      </c>
      <c r="H1431" s="11" t="s">
        <v>37</v>
      </c>
      <c r="I1431" s="11" t="s">
        <v>16</v>
      </c>
      <c r="J1431" s="11">
        <v>7.2</v>
      </c>
      <c r="K1431" s="11">
        <v>12.5</v>
      </c>
      <c r="L1431" s="11"/>
      <c r="M1431" s="11">
        <f t="shared" si="44"/>
        <v>72</v>
      </c>
      <c r="N1431" s="11">
        <f>IF(Table1[[#This Row],[Transaction Type]]="Sale",ABS(E1431)*K1431,0)</f>
        <v>125</v>
      </c>
      <c r="O1431" s="29">
        <f>IF(Table1[[#This Row],[Transaction Type]]="Purchase",E1431*J1431,0)</f>
        <v>0</v>
      </c>
    </row>
    <row r="1432" spans="1:15" x14ac:dyDescent="0.35">
      <c r="A1432" s="27" t="s">
        <v>1986</v>
      </c>
      <c r="B1432" s="12">
        <v>46093</v>
      </c>
      <c r="C1432" s="11" t="s">
        <v>23</v>
      </c>
      <c r="D1432" s="11" t="s">
        <v>40</v>
      </c>
      <c r="E1432" s="11">
        <v>48</v>
      </c>
      <c r="F1432" s="11">
        <f t="shared" si="45"/>
        <v>48</v>
      </c>
      <c r="G1432" s="11" t="s">
        <v>24</v>
      </c>
      <c r="H1432" s="11" t="s">
        <v>25</v>
      </c>
      <c r="I1432" s="11" t="s">
        <v>26</v>
      </c>
      <c r="J1432" s="11">
        <v>3</v>
      </c>
      <c r="K1432" s="11">
        <v>7</v>
      </c>
      <c r="L1432" s="11" t="s">
        <v>1987</v>
      </c>
      <c r="M1432" s="11">
        <f t="shared" si="44"/>
        <v>144</v>
      </c>
      <c r="N1432" s="11">
        <f>IF(Table1[[#This Row],[Transaction Type]]="Sale",ABS(E1432)*K1432,0)</f>
        <v>0</v>
      </c>
      <c r="O1432" s="29">
        <f>IF(Table1[[#This Row],[Transaction Type]]="Purchase",E1432*J1432,0)</f>
        <v>144</v>
      </c>
    </row>
    <row r="1433" spans="1:15" x14ac:dyDescent="0.35">
      <c r="A1433" s="27" t="s">
        <v>1988</v>
      </c>
      <c r="B1433" s="12">
        <v>46094</v>
      </c>
      <c r="C1433" s="11" t="s">
        <v>23</v>
      </c>
      <c r="D1433" s="11" t="s">
        <v>40</v>
      </c>
      <c r="E1433" s="11">
        <v>108</v>
      </c>
      <c r="F1433" s="11">
        <f t="shared" si="45"/>
        <v>108</v>
      </c>
      <c r="G1433" s="11" t="s">
        <v>24</v>
      </c>
      <c r="H1433" s="11" t="s">
        <v>25</v>
      </c>
      <c r="I1433" s="11" t="s">
        <v>26</v>
      </c>
      <c r="J1433" s="11">
        <v>3</v>
      </c>
      <c r="K1433" s="11">
        <v>7</v>
      </c>
      <c r="L1433" s="11" t="s">
        <v>1989</v>
      </c>
      <c r="M1433" s="11">
        <f t="shared" si="44"/>
        <v>324</v>
      </c>
      <c r="N1433" s="11">
        <f>IF(Table1[[#This Row],[Transaction Type]]="Sale",ABS(E1433)*K1433,0)</f>
        <v>0</v>
      </c>
      <c r="O1433" s="29">
        <f>IF(Table1[[#This Row],[Transaction Type]]="Purchase",E1433*J1433,0)</f>
        <v>324</v>
      </c>
    </row>
    <row r="1434" spans="1:15" x14ac:dyDescent="0.35">
      <c r="A1434" s="27" t="s">
        <v>1990</v>
      </c>
      <c r="B1434" s="12">
        <v>46094</v>
      </c>
      <c r="C1434" s="11" t="s">
        <v>52</v>
      </c>
      <c r="D1434" s="11" t="s">
        <v>40</v>
      </c>
      <c r="E1434" s="11">
        <v>26</v>
      </c>
      <c r="F1434" s="11">
        <f t="shared" si="45"/>
        <v>26</v>
      </c>
      <c r="G1434" s="11" t="s">
        <v>24</v>
      </c>
      <c r="H1434" s="11" t="s">
        <v>20</v>
      </c>
      <c r="I1434" s="11" t="s">
        <v>21</v>
      </c>
      <c r="J1434" s="11">
        <v>5.5</v>
      </c>
      <c r="K1434" s="11">
        <v>12</v>
      </c>
      <c r="L1434" s="11" t="s">
        <v>1991</v>
      </c>
      <c r="M1434" s="11">
        <f t="shared" si="44"/>
        <v>143</v>
      </c>
      <c r="N1434" s="11">
        <f>IF(Table1[[#This Row],[Transaction Type]]="Sale",ABS(E1434)*K1434,0)</f>
        <v>0</v>
      </c>
      <c r="O1434" s="29">
        <f>IF(Table1[[#This Row],[Transaction Type]]="Purchase",E1434*J1434,0)</f>
        <v>143</v>
      </c>
    </row>
    <row r="1435" spans="1:15" x14ac:dyDescent="0.35">
      <c r="A1435" s="27" t="s">
        <v>1992</v>
      </c>
      <c r="B1435" s="12">
        <v>46094</v>
      </c>
      <c r="C1435" s="11" t="s">
        <v>48</v>
      </c>
      <c r="D1435" s="11" t="s">
        <v>13</v>
      </c>
      <c r="E1435" s="11">
        <v>-7</v>
      </c>
      <c r="F1435" s="11">
        <f t="shared" si="45"/>
        <v>-7</v>
      </c>
      <c r="G1435" s="11" t="s">
        <v>14</v>
      </c>
      <c r="H1435" s="11" t="s">
        <v>49</v>
      </c>
      <c r="I1435" s="11" t="s">
        <v>21</v>
      </c>
      <c r="J1435" s="11">
        <v>8.5</v>
      </c>
      <c r="K1435" s="11">
        <v>18</v>
      </c>
      <c r="L1435" s="11"/>
      <c r="M1435" s="11">
        <f t="shared" si="44"/>
        <v>59.5</v>
      </c>
      <c r="N1435" s="11">
        <f>IF(Table1[[#This Row],[Transaction Type]]="Sale",ABS(E1435)*K1435,0)</f>
        <v>126</v>
      </c>
      <c r="O1435" s="29">
        <f>IF(Table1[[#This Row],[Transaction Type]]="Purchase",E1435*J1435,0)</f>
        <v>0</v>
      </c>
    </row>
    <row r="1436" spans="1:15" x14ac:dyDescent="0.35">
      <c r="A1436" s="27" t="s">
        <v>1993</v>
      </c>
      <c r="B1436" s="12">
        <v>46095</v>
      </c>
      <c r="C1436" s="11" t="s">
        <v>136</v>
      </c>
      <c r="D1436" s="11" t="s">
        <v>13</v>
      </c>
      <c r="E1436" s="11">
        <v>-15</v>
      </c>
      <c r="F1436" s="11">
        <f t="shared" si="45"/>
        <v>-15</v>
      </c>
      <c r="G1436" s="11" t="s">
        <v>14</v>
      </c>
      <c r="H1436" s="11" t="s">
        <v>33</v>
      </c>
      <c r="I1436" s="11" t="s">
        <v>34</v>
      </c>
      <c r="J1436" s="11">
        <v>34</v>
      </c>
      <c r="K1436" s="11">
        <v>55</v>
      </c>
      <c r="L1436" s="11"/>
      <c r="M1436" s="11">
        <f t="shared" si="44"/>
        <v>510</v>
      </c>
      <c r="N1436" s="11">
        <f>IF(Table1[[#This Row],[Transaction Type]]="Sale",ABS(E1436)*K1436,0)</f>
        <v>825</v>
      </c>
      <c r="O1436" s="29">
        <f>IF(Table1[[#This Row],[Transaction Type]]="Purchase",E1436*J1436,0)</f>
        <v>0</v>
      </c>
    </row>
    <row r="1437" spans="1:15" x14ac:dyDescent="0.35">
      <c r="A1437" s="27" t="s">
        <v>1994</v>
      </c>
      <c r="B1437" s="12">
        <v>46095</v>
      </c>
      <c r="C1437" s="11" t="s">
        <v>73</v>
      </c>
      <c r="D1437" s="11" t="s">
        <v>13</v>
      </c>
      <c r="E1437" s="11">
        <v>-7</v>
      </c>
      <c r="F1437" s="11">
        <f t="shared" si="45"/>
        <v>-7</v>
      </c>
      <c r="G1437" s="11" t="s">
        <v>19</v>
      </c>
      <c r="H1437" s="11" t="s">
        <v>74</v>
      </c>
      <c r="I1437" s="11" t="s">
        <v>75</v>
      </c>
      <c r="J1437" s="11">
        <v>30</v>
      </c>
      <c r="K1437" s="11">
        <v>48</v>
      </c>
      <c r="L1437" s="11"/>
      <c r="M1437" s="11">
        <f t="shared" si="44"/>
        <v>210</v>
      </c>
      <c r="N1437" s="11">
        <f>IF(Table1[[#This Row],[Transaction Type]]="Sale",ABS(E1437)*K1437,0)</f>
        <v>336</v>
      </c>
      <c r="O1437" s="29">
        <f>IF(Table1[[#This Row],[Transaction Type]]="Purchase",E1437*J1437,0)</f>
        <v>0</v>
      </c>
    </row>
    <row r="1438" spans="1:15" x14ac:dyDescent="0.35">
      <c r="A1438" s="27" t="s">
        <v>1995</v>
      </c>
      <c r="B1438" s="12">
        <v>46095</v>
      </c>
      <c r="C1438" s="11" t="s">
        <v>185</v>
      </c>
      <c r="D1438" s="11" t="s">
        <v>40</v>
      </c>
      <c r="E1438" s="11">
        <v>114</v>
      </c>
      <c r="F1438" s="11">
        <f t="shared" si="45"/>
        <v>114</v>
      </c>
      <c r="G1438" s="11" t="s">
        <v>19</v>
      </c>
      <c r="H1438" s="11" t="s">
        <v>44</v>
      </c>
      <c r="I1438" s="11" t="s">
        <v>45</v>
      </c>
      <c r="J1438" s="11">
        <v>63</v>
      </c>
      <c r="K1438" s="11">
        <v>95</v>
      </c>
      <c r="L1438" s="11" t="s">
        <v>1996</v>
      </c>
      <c r="M1438" s="11">
        <f t="shared" si="44"/>
        <v>7182</v>
      </c>
      <c r="N1438" s="11">
        <f>IF(Table1[[#This Row],[Transaction Type]]="Sale",ABS(E1438)*K1438,0)</f>
        <v>0</v>
      </c>
      <c r="O1438" s="29">
        <f>IF(Table1[[#This Row],[Transaction Type]]="Purchase",E1438*J1438,0)</f>
        <v>7182</v>
      </c>
    </row>
    <row r="1439" spans="1:15" x14ac:dyDescent="0.35">
      <c r="A1439" s="27" t="s">
        <v>1997</v>
      </c>
      <c r="B1439" s="12">
        <v>46096</v>
      </c>
      <c r="C1439" s="11" t="s">
        <v>227</v>
      </c>
      <c r="D1439" s="11" t="s">
        <v>40</v>
      </c>
      <c r="E1439" s="11">
        <v>46</v>
      </c>
      <c r="F1439" s="11">
        <f t="shared" si="45"/>
        <v>46</v>
      </c>
      <c r="G1439" s="11" t="s">
        <v>19</v>
      </c>
      <c r="H1439" s="11" t="s">
        <v>228</v>
      </c>
      <c r="I1439" s="11" t="s">
        <v>16</v>
      </c>
      <c r="J1439" s="11">
        <v>78</v>
      </c>
      <c r="K1439" s="11">
        <v>125</v>
      </c>
      <c r="L1439" s="11" t="s">
        <v>1998</v>
      </c>
      <c r="M1439" s="11">
        <f t="shared" si="44"/>
        <v>3588</v>
      </c>
      <c r="N1439" s="11">
        <f>IF(Table1[[#This Row],[Transaction Type]]="Sale",ABS(E1439)*K1439,0)</f>
        <v>0</v>
      </c>
      <c r="O1439" s="29">
        <f>IF(Table1[[#This Row],[Transaction Type]]="Purchase",E1439*J1439,0)</f>
        <v>3588</v>
      </c>
    </row>
    <row r="1440" spans="1:15" x14ac:dyDescent="0.35">
      <c r="A1440" s="27" t="s">
        <v>1999</v>
      </c>
      <c r="B1440" s="12">
        <v>46096</v>
      </c>
      <c r="C1440" s="11" t="s">
        <v>36</v>
      </c>
      <c r="D1440" s="11" t="s">
        <v>66</v>
      </c>
      <c r="E1440" s="11">
        <v>1</v>
      </c>
      <c r="F1440" s="11">
        <f t="shared" si="45"/>
        <v>1</v>
      </c>
      <c r="G1440" s="11" t="s">
        <v>14</v>
      </c>
      <c r="H1440" s="11" t="s">
        <v>37</v>
      </c>
      <c r="I1440" s="11" t="s">
        <v>16</v>
      </c>
      <c r="J1440" s="11">
        <v>7.2</v>
      </c>
      <c r="K1440" s="11">
        <v>12.5</v>
      </c>
      <c r="L1440" s="11"/>
      <c r="M1440" s="11">
        <f t="shared" si="44"/>
        <v>7.2</v>
      </c>
      <c r="N1440" s="11">
        <f>IF(Table1[[#This Row],[Transaction Type]]="Sale",ABS(E1440)*K1440,0)</f>
        <v>0</v>
      </c>
      <c r="O1440" s="29">
        <f>IF(Table1[[#This Row],[Transaction Type]]="Purchase",E1440*J1440,0)</f>
        <v>0</v>
      </c>
    </row>
    <row r="1441" spans="1:15" x14ac:dyDescent="0.35">
      <c r="A1441" s="27" t="s">
        <v>2000</v>
      </c>
      <c r="B1441" s="12">
        <v>46096</v>
      </c>
      <c r="C1441" s="11" t="s">
        <v>87</v>
      </c>
      <c r="D1441" s="11" t="s">
        <v>13</v>
      </c>
      <c r="E1441" s="11">
        <v>-4</v>
      </c>
      <c r="F1441" s="11">
        <f t="shared" si="45"/>
        <v>-4</v>
      </c>
      <c r="G1441" s="11" t="s">
        <v>19</v>
      </c>
      <c r="H1441" s="11" t="s">
        <v>88</v>
      </c>
      <c r="I1441" s="11" t="s">
        <v>16</v>
      </c>
      <c r="J1441" s="11">
        <v>6</v>
      </c>
      <c r="K1441" s="11">
        <v>14</v>
      </c>
      <c r="L1441" s="11"/>
      <c r="M1441" s="11">
        <f t="shared" si="44"/>
        <v>24</v>
      </c>
      <c r="N1441" s="11">
        <f>IF(Table1[[#This Row],[Transaction Type]]="Sale",ABS(E1441)*K1441,0)</f>
        <v>56</v>
      </c>
      <c r="O1441" s="29">
        <f>IF(Table1[[#This Row],[Transaction Type]]="Purchase",E1441*J1441,0)</f>
        <v>0</v>
      </c>
    </row>
    <row r="1442" spans="1:15" x14ac:dyDescent="0.35">
      <c r="A1442" s="27" t="s">
        <v>2001</v>
      </c>
      <c r="B1442" s="12">
        <v>46096</v>
      </c>
      <c r="C1442" s="11" t="s">
        <v>136</v>
      </c>
      <c r="D1442" s="11" t="s">
        <v>40</v>
      </c>
      <c r="E1442" s="11">
        <v>109</v>
      </c>
      <c r="F1442" s="11">
        <f t="shared" si="45"/>
        <v>109</v>
      </c>
      <c r="G1442" s="11" t="s">
        <v>24</v>
      </c>
      <c r="H1442" s="11" t="s">
        <v>33</v>
      </c>
      <c r="I1442" s="11" t="s">
        <v>34</v>
      </c>
      <c r="J1442" s="11">
        <v>34</v>
      </c>
      <c r="K1442" s="11">
        <v>55</v>
      </c>
      <c r="L1442" s="11" t="s">
        <v>2002</v>
      </c>
      <c r="M1442" s="11">
        <f t="shared" si="44"/>
        <v>3706</v>
      </c>
      <c r="N1442" s="11">
        <f>IF(Table1[[#This Row],[Transaction Type]]="Sale",ABS(E1442)*K1442,0)</f>
        <v>0</v>
      </c>
      <c r="O1442" s="29">
        <f>IF(Table1[[#This Row],[Transaction Type]]="Purchase",E1442*J1442,0)</f>
        <v>3706</v>
      </c>
    </row>
    <row r="1443" spans="1:15" x14ac:dyDescent="0.35">
      <c r="A1443" s="27" t="s">
        <v>2003</v>
      </c>
      <c r="B1443" s="12">
        <v>46097</v>
      </c>
      <c r="C1443" s="11" t="s">
        <v>77</v>
      </c>
      <c r="D1443" s="11" t="s">
        <v>13</v>
      </c>
      <c r="E1443" s="11">
        <v>-3</v>
      </c>
      <c r="F1443" s="11">
        <f t="shared" si="45"/>
        <v>-3</v>
      </c>
      <c r="G1443" s="11" t="s">
        <v>24</v>
      </c>
      <c r="H1443" s="11" t="s">
        <v>78</v>
      </c>
      <c r="I1443" s="11" t="s">
        <v>16</v>
      </c>
      <c r="J1443" s="11">
        <v>25</v>
      </c>
      <c r="K1443" s="11">
        <v>42</v>
      </c>
      <c r="L1443" s="11"/>
      <c r="M1443" s="11">
        <f t="shared" si="44"/>
        <v>75</v>
      </c>
      <c r="N1443" s="11">
        <f>IF(Table1[[#This Row],[Transaction Type]]="Sale",ABS(E1443)*K1443,0)</f>
        <v>126</v>
      </c>
      <c r="O1443" s="29">
        <f>IF(Table1[[#This Row],[Transaction Type]]="Purchase",E1443*J1443,0)</f>
        <v>0</v>
      </c>
    </row>
    <row r="1444" spans="1:15" x14ac:dyDescent="0.35">
      <c r="A1444" s="27" t="s">
        <v>2004</v>
      </c>
      <c r="B1444" s="12">
        <v>46097</v>
      </c>
      <c r="C1444" s="11" t="s">
        <v>60</v>
      </c>
      <c r="D1444" s="11" t="s">
        <v>13</v>
      </c>
      <c r="E1444" s="11">
        <v>-13</v>
      </c>
      <c r="F1444" s="11">
        <f t="shared" si="45"/>
        <v>-13</v>
      </c>
      <c r="G1444" s="11" t="s">
        <v>2522</v>
      </c>
      <c r="H1444" s="11" t="s">
        <v>61</v>
      </c>
      <c r="I1444" s="11" t="s">
        <v>62</v>
      </c>
      <c r="J1444" s="11">
        <v>3.4</v>
      </c>
      <c r="K1444" s="11">
        <v>8</v>
      </c>
      <c r="L1444" s="11"/>
      <c r="M1444" s="11">
        <f t="shared" si="44"/>
        <v>44.199999999999996</v>
      </c>
      <c r="N1444" s="11">
        <f>IF(Table1[[#This Row],[Transaction Type]]="Sale",ABS(E1444)*K1444,0)</f>
        <v>104</v>
      </c>
      <c r="O1444" s="29">
        <f>IF(Table1[[#This Row],[Transaction Type]]="Purchase",E1444*J1444,0)</f>
        <v>0</v>
      </c>
    </row>
    <row r="1445" spans="1:15" x14ac:dyDescent="0.35">
      <c r="A1445" s="27" t="s">
        <v>2005</v>
      </c>
      <c r="B1445" s="12">
        <v>46097</v>
      </c>
      <c r="C1445" s="11" t="s">
        <v>55</v>
      </c>
      <c r="D1445" s="11" t="s">
        <v>58</v>
      </c>
      <c r="E1445" s="11">
        <v>7</v>
      </c>
      <c r="F1445" s="11">
        <f t="shared" si="45"/>
        <v>7</v>
      </c>
      <c r="G1445" s="11" t="s">
        <v>14</v>
      </c>
      <c r="H1445" s="11" t="s">
        <v>56</v>
      </c>
      <c r="I1445" s="11" t="s">
        <v>16</v>
      </c>
      <c r="J1445" s="11">
        <v>4.2</v>
      </c>
      <c r="K1445" s="11">
        <v>10</v>
      </c>
      <c r="L1445" s="11"/>
      <c r="M1445" s="11">
        <f t="shared" si="44"/>
        <v>29.400000000000002</v>
      </c>
      <c r="N1445" s="11">
        <f>IF(Table1[[#This Row],[Transaction Type]]="Sale",ABS(E1445)*K1445,0)</f>
        <v>0</v>
      </c>
      <c r="O1445" s="29">
        <f>IF(Table1[[#This Row],[Transaction Type]]="Purchase",E1445*J1445,0)</f>
        <v>0</v>
      </c>
    </row>
    <row r="1446" spans="1:15" x14ac:dyDescent="0.35">
      <c r="A1446" s="27" t="s">
        <v>2006</v>
      </c>
      <c r="B1446" s="12">
        <v>46097</v>
      </c>
      <c r="C1446" s="11" t="s">
        <v>141</v>
      </c>
      <c r="D1446" s="11" t="s">
        <v>13</v>
      </c>
      <c r="E1446" s="11">
        <v>-3</v>
      </c>
      <c r="F1446" s="11">
        <f t="shared" si="45"/>
        <v>-3</v>
      </c>
      <c r="G1446" s="11" t="s">
        <v>19</v>
      </c>
      <c r="H1446" s="11" t="s">
        <v>25</v>
      </c>
      <c r="I1446" s="11" t="s">
        <v>26</v>
      </c>
      <c r="J1446" s="11">
        <v>4</v>
      </c>
      <c r="K1446" s="11">
        <v>9</v>
      </c>
      <c r="L1446" s="11"/>
      <c r="M1446" s="11">
        <f t="shared" si="44"/>
        <v>12</v>
      </c>
      <c r="N1446" s="11">
        <f>IF(Table1[[#This Row],[Transaction Type]]="Sale",ABS(E1446)*K1446,0)</f>
        <v>27</v>
      </c>
      <c r="O1446" s="29">
        <f>IF(Table1[[#This Row],[Transaction Type]]="Purchase",E1446*J1446,0)</f>
        <v>0</v>
      </c>
    </row>
    <row r="1447" spans="1:15" x14ac:dyDescent="0.35">
      <c r="A1447" s="27" t="s">
        <v>2007</v>
      </c>
      <c r="B1447" s="12">
        <v>46098</v>
      </c>
      <c r="C1447" s="11" t="s">
        <v>55</v>
      </c>
      <c r="D1447" s="11" t="s">
        <v>13</v>
      </c>
      <c r="E1447" s="11">
        <v>-14</v>
      </c>
      <c r="F1447" s="11">
        <f t="shared" si="45"/>
        <v>-14</v>
      </c>
      <c r="G1447" s="11" t="s">
        <v>14</v>
      </c>
      <c r="H1447" s="11" t="s">
        <v>56</v>
      </c>
      <c r="I1447" s="11" t="s">
        <v>16</v>
      </c>
      <c r="J1447" s="11">
        <v>4.2</v>
      </c>
      <c r="K1447" s="11">
        <v>10</v>
      </c>
      <c r="L1447" s="11"/>
      <c r="M1447" s="11">
        <f t="shared" si="44"/>
        <v>58.800000000000004</v>
      </c>
      <c r="N1447" s="11">
        <f>IF(Table1[[#This Row],[Transaction Type]]="Sale",ABS(E1447)*K1447,0)</f>
        <v>140</v>
      </c>
      <c r="O1447" s="29">
        <f>IF(Table1[[#This Row],[Transaction Type]]="Purchase",E1447*J1447,0)</f>
        <v>0</v>
      </c>
    </row>
    <row r="1448" spans="1:15" x14ac:dyDescent="0.35">
      <c r="A1448" s="27" t="s">
        <v>2008</v>
      </c>
      <c r="B1448" s="12">
        <v>46098</v>
      </c>
      <c r="C1448" s="11" t="s">
        <v>81</v>
      </c>
      <c r="D1448" s="11" t="s">
        <v>13</v>
      </c>
      <c r="E1448" s="11">
        <v>-5</v>
      </c>
      <c r="F1448" s="11">
        <f t="shared" si="45"/>
        <v>-5</v>
      </c>
      <c r="G1448" s="11" t="s">
        <v>19</v>
      </c>
      <c r="H1448" s="11" t="s">
        <v>30</v>
      </c>
      <c r="I1448" s="11" t="s">
        <v>16</v>
      </c>
      <c r="J1448" s="11">
        <v>8</v>
      </c>
      <c r="K1448" s="11">
        <v>15</v>
      </c>
      <c r="L1448" s="11"/>
      <c r="M1448" s="11">
        <f t="shared" si="44"/>
        <v>40</v>
      </c>
      <c r="N1448" s="11">
        <f>IF(Table1[[#This Row],[Transaction Type]]="Sale",ABS(E1448)*K1448,0)</f>
        <v>75</v>
      </c>
      <c r="O1448" s="29">
        <f>IF(Table1[[#This Row],[Transaction Type]]="Purchase",E1448*J1448,0)</f>
        <v>0</v>
      </c>
    </row>
    <row r="1449" spans="1:15" x14ac:dyDescent="0.35">
      <c r="A1449" s="27" t="s">
        <v>2009</v>
      </c>
      <c r="B1449" s="12">
        <v>46098</v>
      </c>
      <c r="C1449" s="11" t="s">
        <v>36</v>
      </c>
      <c r="D1449" s="11" t="s">
        <v>13</v>
      </c>
      <c r="E1449" s="11">
        <v>-10</v>
      </c>
      <c r="F1449" s="11">
        <f t="shared" si="45"/>
        <v>-10</v>
      </c>
      <c r="G1449" s="11" t="s">
        <v>24</v>
      </c>
      <c r="H1449" s="11" t="s">
        <v>37</v>
      </c>
      <c r="I1449" s="11" t="s">
        <v>16</v>
      </c>
      <c r="J1449" s="11">
        <v>7.2</v>
      </c>
      <c r="K1449" s="11">
        <v>12.5</v>
      </c>
      <c r="L1449" s="11"/>
      <c r="M1449" s="11">
        <f t="shared" si="44"/>
        <v>72</v>
      </c>
      <c r="N1449" s="11">
        <f>IF(Table1[[#This Row],[Transaction Type]]="Sale",ABS(E1449)*K1449,0)</f>
        <v>125</v>
      </c>
      <c r="O1449" s="29">
        <f>IF(Table1[[#This Row],[Transaction Type]]="Purchase",E1449*J1449,0)</f>
        <v>0</v>
      </c>
    </row>
    <row r="1450" spans="1:15" x14ac:dyDescent="0.35">
      <c r="A1450" s="27" t="s">
        <v>2010</v>
      </c>
      <c r="B1450" s="12">
        <v>46098</v>
      </c>
      <c r="C1450" s="11" t="s">
        <v>29</v>
      </c>
      <c r="D1450" s="11" t="s">
        <v>13</v>
      </c>
      <c r="E1450" s="11">
        <v>-13</v>
      </c>
      <c r="F1450" s="11">
        <f t="shared" si="45"/>
        <v>-13</v>
      </c>
      <c r="G1450" s="11" t="s">
        <v>14</v>
      </c>
      <c r="H1450" s="11" t="s">
        <v>30</v>
      </c>
      <c r="I1450" s="11" t="s">
        <v>16</v>
      </c>
      <c r="J1450" s="11">
        <v>8.8000000000000007</v>
      </c>
      <c r="K1450" s="11">
        <v>17</v>
      </c>
      <c r="L1450" s="11"/>
      <c r="M1450" s="11">
        <f t="shared" si="44"/>
        <v>114.4</v>
      </c>
      <c r="N1450" s="11">
        <f>IF(Table1[[#This Row],[Transaction Type]]="Sale",ABS(E1450)*K1450,0)</f>
        <v>221</v>
      </c>
      <c r="O1450" s="29">
        <f>IF(Table1[[#This Row],[Transaction Type]]="Purchase",E1450*J1450,0)</f>
        <v>0</v>
      </c>
    </row>
    <row r="1451" spans="1:15" x14ac:dyDescent="0.35">
      <c r="A1451" s="27" t="s">
        <v>2011</v>
      </c>
      <c r="B1451" s="12">
        <v>46099</v>
      </c>
      <c r="C1451" s="11" t="s">
        <v>43</v>
      </c>
      <c r="D1451" s="11" t="s">
        <v>40</v>
      </c>
      <c r="E1451" s="11">
        <v>97</v>
      </c>
      <c r="F1451" s="11">
        <f t="shared" si="45"/>
        <v>97</v>
      </c>
      <c r="G1451" s="11" t="s">
        <v>19</v>
      </c>
      <c r="H1451" s="11" t="s">
        <v>44</v>
      </c>
      <c r="I1451" s="11" t="s">
        <v>45</v>
      </c>
      <c r="J1451" s="11">
        <v>5.2</v>
      </c>
      <c r="K1451" s="11">
        <v>11</v>
      </c>
      <c r="L1451" s="11" t="s">
        <v>2012</v>
      </c>
      <c r="M1451" s="11">
        <f t="shared" si="44"/>
        <v>504.40000000000003</v>
      </c>
      <c r="N1451" s="11">
        <f>IF(Table1[[#This Row],[Transaction Type]]="Sale",ABS(E1451)*K1451,0)</f>
        <v>0</v>
      </c>
      <c r="O1451" s="29">
        <f>IF(Table1[[#This Row],[Transaction Type]]="Purchase",E1451*J1451,0)</f>
        <v>504.40000000000003</v>
      </c>
    </row>
    <row r="1452" spans="1:15" x14ac:dyDescent="0.35">
      <c r="A1452" s="27" t="s">
        <v>2013</v>
      </c>
      <c r="B1452" s="12">
        <v>46099</v>
      </c>
      <c r="C1452" s="11" t="s">
        <v>81</v>
      </c>
      <c r="D1452" s="11" t="s">
        <v>58</v>
      </c>
      <c r="E1452" s="11">
        <v>-20</v>
      </c>
      <c r="F1452" s="11">
        <f t="shared" si="45"/>
        <v>-20</v>
      </c>
      <c r="G1452" s="11" t="s">
        <v>24</v>
      </c>
      <c r="H1452" s="11" t="s">
        <v>30</v>
      </c>
      <c r="I1452" s="11" t="s">
        <v>16</v>
      </c>
      <c r="J1452" s="11">
        <v>8</v>
      </c>
      <c r="K1452" s="11">
        <v>15</v>
      </c>
      <c r="L1452" s="11"/>
      <c r="M1452" s="11">
        <f t="shared" si="44"/>
        <v>160</v>
      </c>
      <c r="N1452" s="11">
        <f>IF(Table1[[#This Row],[Transaction Type]]="Sale",ABS(E1452)*K1452,0)</f>
        <v>0</v>
      </c>
      <c r="O1452" s="29">
        <f>IF(Table1[[#This Row],[Transaction Type]]="Purchase",E1452*J1452,0)</f>
        <v>0</v>
      </c>
    </row>
    <row r="1453" spans="1:15" x14ac:dyDescent="0.35">
      <c r="A1453" s="27" t="s">
        <v>2014</v>
      </c>
      <c r="B1453" s="12">
        <v>46099</v>
      </c>
      <c r="C1453" s="11" t="s">
        <v>65</v>
      </c>
      <c r="D1453" s="11" t="s">
        <v>13</v>
      </c>
      <c r="E1453" s="11">
        <v>-6</v>
      </c>
      <c r="F1453" s="11">
        <f t="shared" si="45"/>
        <v>-6</v>
      </c>
      <c r="G1453" s="11" t="s">
        <v>14</v>
      </c>
      <c r="H1453" s="11" t="s">
        <v>67</v>
      </c>
      <c r="I1453" s="11" t="s">
        <v>21</v>
      </c>
      <c r="J1453" s="11">
        <v>11</v>
      </c>
      <c r="K1453" s="11">
        <v>22</v>
      </c>
      <c r="L1453" s="11"/>
      <c r="M1453" s="11">
        <f t="shared" si="44"/>
        <v>66</v>
      </c>
      <c r="N1453" s="11">
        <f>IF(Table1[[#This Row],[Transaction Type]]="Sale",ABS(E1453)*K1453,0)</f>
        <v>132</v>
      </c>
      <c r="O1453" s="29">
        <f>IF(Table1[[#This Row],[Transaction Type]]="Purchase",E1453*J1453,0)</f>
        <v>0</v>
      </c>
    </row>
    <row r="1454" spans="1:15" x14ac:dyDescent="0.35">
      <c r="A1454" s="27" t="s">
        <v>2015</v>
      </c>
      <c r="B1454" s="12">
        <v>46099</v>
      </c>
      <c r="C1454" s="11" t="s">
        <v>55</v>
      </c>
      <c r="D1454" s="11" t="s">
        <v>40</v>
      </c>
      <c r="E1454" s="11">
        <v>69</v>
      </c>
      <c r="F1454" s="11">
        <f t="shared" si="45"/>
        <v>69</v>
      </c>
      <c r="G1454" s="11" t="s">
        <v>19</v>
      </c>
      <c r="H1454" s="11" t="s">
        <v>56</v>
      </c>
      <c r="I1454" s="11" t="s">
        <v>16</v>
      </c>
      <c r="J1454" s="11">
        <v>4.2</v>
      </c>
      <c r="K1454" s="11">
        <v>10</v>
      </c>
      <c r="L1454" s="11" t="s">
        <v>2016</v>
      </c>
      <c r="M1454" s="11">
        <f t="shared" si="44"/>
        <v>289.8</v>
      </c>
      <c r="N1454" s="11">
        <f>IF(Table1[[#This Row],[Transaction Type]]="Sale",ABS(E1454)*K1454,0)</f>
        <v>0</v>
      </c>
      <c r="O1454" s="29">
        <f>IF(Table1[[#This Row],[Transaction Type]]="Purchase",E1454*J1454,0)</f>
        <v>289.8</v>
      </c>
    </row>
    <row r="1455" spans="1:15" x14ac:dyDescent="0.35">
      <c r="A1455" s="27" t="s">
        <v>2017</v>
      </c>
      <c r="B1455" s="12">
        <v>46099</v>
      </c>
      <c r="C1455" s="11" t="s">
        <v>77</v>
      </c>
      <c r="D1455" s="11" t="s">
        <v>13</v>
      </c>
      <c r="E1455" s="11">
        <v>-9</v>
      </c>
      <c r="F1455" s="11">
        <f t="shared" si="45"/>
        <v>-9</v>
      </c>
      <c r="G1455" s="11" t="s">
        <v>14</v>
      </c>
      <c r="H1455" s="11" t="s">
        <v>78</v>
      </c>
      <c r="I1455" s="11" t="s">
        <v>16</v>
      </c>
      <c r="J1455" s="11">
        <v>25</v>
      </c>
      <c r="K1455" s="11">
        <v>42</v>
      </c>
      <c r="L1455" s="11"/>
      <c r="M1455" s="11">
        <f t="shared" si="44"/>
        <v>225</v>
      </c>
      <c r="N1455" s="11">
        <f>IF(Table1[[#This Row],[Transaction Type]]="Sale",ABS(E1455)*K1455,0)</f>
        <v>378</v>
      </c>
      <c r="O1455" s="29">
        <f>IF(Table1[[#This Row],[Transaction Type]]="Purchase",E1455*J1455,0)</f>
        <v>0</v>
      </c>
    </row>
    <row r="1456" spans="1:15" x14ac:dyDescent="0.35">
      <c r="A1456" s="27" t="s">
        <v>2018</v>
      </c>
      <c r="B1456" s="12">
        <v>46100</v>
      </c>
      <c r="C1456" s="11" t="s">
        <v>139</v>
      </c>
      <c r="D1456" s="11" t="s">
        <v>40</v>
      </c>
      <c r="E1456" s="11">
        <v>57</v>
      </c>
      <c r="F1456" s="11">
        <f t="shared" si="45"/>
        <v>57</v>
      </c>
      <c r="G1456" s="11" t="s">
        <v>14</v>
      </c>
      <c r="H1456" s="11" t="s">
        <v>56</v>
      </c>
      <c r="I1456" s="11" t="s">
        <v>16</v>
      </c>
      <c r="J1456" s="11">
        <v>16.5</v>
      </c>
      <c r="K1456" s="11">
        <v>28</v>
      </c>
      <c r="L1456" s="11" t="s">
        <v>2019</v>
      </c>
      <c r="M1456" s="11">
        <f t="shared" si="44"/>
        <v>940.5</v>
      </c>
      <c r="N1456" s="11">
        <f>IF(Table1[[#This Row],[Transaction Type]]="Sale",ABS(E1456)*K1456,0)</f>
        <v>0</v>
      </c>
      <c r="O1456" s="29">
        <f>IF(Table1[[#This Row],[Transaction Type]]="Purchase",E1456*J1456,0)</f>
        <v>940.5</v>
      </c>
    </row>
    <row r="1457" spans="1:15" x14ac:dyDescent="0.35">
      <c r="A1457" s="27" t="s">
        <v>2020</v>
      </c>
      <c r="B1457" s="12">
        <v>46100</v>
      </c>
      <c r="C1457" s="11" t="s">
        <v>136</v>
      </c>
      <c r="D1457" s="11" t="s">
        <v>13</v>
      </c>
      <c r="E1457" s="11">
        <v>-7</v>
      </c>
      <c r="F1457" s="11">
        <f t="shared" si="45"/>
        <v>-7</v>
      </c>
      <c r="G1457" s="11" t="s">
        <v>14</v>
      </c>
      <c r="H1457" s="11" t="s">
        <v>33</v>
      </c>
      <c r="I1457" s="11" t="s">
        <v>34</v>
      </c>
      <c r="J1457" s="11">
        <v>34</v>
      </c>
      <c r="K1457" s="11">
        <v>55</v>
      </c>
      <c r="L1457" s="11"/>
      <c r="M1457" s="11">
        <f t="shared" si="44"/>
        <v>238</v>
      </c>
      <c r="N1457" s="11">
        <f>IF(Table1[[#This Row],[Transaction Type]]="Sale",ABS(E1457)*K1457,0)</f>
        <v>385</v>
      </c>
      <c r="O1457" s="29">
        <f>IF(Table1[[#This Row],[Transaction Type]]="Purchase",E1457*J1457,0)</f>
        <v>0</v>
      </c>
    </row>
    <row r="1458" spans="1:15" x14ac:dyDescent="0.35">
      <c r="A1458" s="27" t="s">
        <v>2021</v>
      </c>
      <c r="B1458" s="12">
        <v>46100</v>
      </c>
      <c r="C1458" s="11" t="s">
        <v>350</v>
      </c>
      <c r="D1458" s="11" t="s">
        <v>40</v>
      </c>
      <c r="E1458" s="11">
        <v>31</v>
      </c>
      <c r="F1458" s="11">
        <f t="shared" si="45"/>
        <v>31</v>
      </c>
      <c r="G1458" s="11" t="s">
        <v>14</v>
      </c>
      <c r="H1458" s="11" t="s">
        <v>74</v>
      </c>
      <c r="I1458" s="11" t="s">
        <v>75</v>
      </c>
      <c r="J1458" s="11">
        <v>145</v>
      </c>
      <c r="K1458" s="11">
        <v>210</v>
      </c>
      <c r="L1458" s="11" t="s">
        <v>2022</v>
      </c>
      <c r="M1458" s="11">
        <f t="shared" si="44"/>
        <v>4495</v>
      </c>
      <c r="N1458" s="11">
        <f>IF(Table1[[#This Row],[Transaction Type]]="Sale",ABS(E1458)*K1458,0)</f>
        <v>0</v>
      </c>
      <c r="O1458" s="29">
        <f>IF(Table1[[#This Row],[Transaction Type]]="Purchase",E1458*J1458,0)</f>
        <v>4495</v>
      </c>
    </row>
    <row r="1459" spans="1:15" x14ac:dyDescent="0.35">
      <c r="A1459" s="27" t="s">
        <v>2023</v>
      </c>
      <c r="B1459" s="12">
        <v>46101</v>
      </c>
      <c r="C1459" s="11" t="s">
        <v>36</v>
      </c>
      <c r="D1459" s="11" t="s">
        <v>13</v>
      </c>
      <c r="E1459" s="11">
        <v>-5</v>
      </c>
      <c r="F1459" s="11">
        <f t="shared" si="45"/>
        <v>-5</v>
      </c>
      <c r="G1459" s="11" t="s">
        <v>14</v>
      </c>
      <c r="H1459" s="11" t="s">
        <v>37</v>
      </c>
      <c r="I1459" s="11" t="s">
        <v>16</v>
      </c>
      <c r="J1459" s="11">
        <v>7.2</v>
      </c>
      <c r="K1459" s="11">
        <v>12.5</v>
      </c>
      <c r="L1459" s="11"/>
      <c r="M1459" s="11">
        <f t="shared" si="44"/>
        <v>36</v>
      </c>
      <c r="N1459" s="11">
        <f>IF(Table1[[#This Row],[Transaction Type]]="Sale",ABS(E1459)*K1459,0)</f>
        <v>62.5</v>
      </c>
      <c r="O1459" s="29">
        <f>IF(Table1[[#This Row],[Transaction Type]]="Purchase",E1459*J1459,0)</f>
        <v>0</v>
      </c>
    </row>
    <row r="1460" spans="1:15" x14ac:dyDescent="0.35">
      <c r="A1460" s="27" t="s">
        <v>2024</v>
      </c>
      <c r="B1460" s="12">
        <v>46101</v>
      </c>
      <c r="C1460" s="11" t="s">
        <v>12</v>
      </c>
      <c r="D1460" s="11" t="s">
        <v>66</v>
      </c>
      <c r="E1460" s="11">
        <v>3</v>
      </c>
      <c r="F1460" s="11">
        <f t="shared" si="45"/>
        <v>3</v>
      </c>
      <c r="G1460" s="11" t="s">
        <v>24</v>
      </c>
      <c r="H1460" s="11" t="s">
        <v>15</v>
      </c>
      <c r="I1460" s="11" t="s">
        <v>16</v>
      </c>
      <c r="J1460" s="11">
        <v>13.5</v>
      </c>
      <c r="K1460" s="11">
        <v>24</v>
      </c>
      <c r="L1460" s="11"/>
      <c r="M1460" s="11">
        <f t="shared" si="44"/>
        <v>40.5</v>
      </c>
      <c r="N1460" s="11">
        <f>IF(Table1[[#This Row],[Transaction Type]]="Sale",ABS(E1460)*K1460,0)</f>
        <v>0</v>
      </c>
      <c r="O1460" s="29">
        <f>IF(Table1[[#This Row],[Transaction Type]]="Purchase",E1460*J1460,0)</f>
        <v>0</v>
      </c>
    </row>
    <row r="1461" spans="1:15" x14ac:dyDescent="0.35">
      <c r="A1461" s="27" t="s">
        <v>2025</v>
      </c>
      <c r="B1461" s="12">
        <v>46101</v>
      </c>
      <c r="C1461" s="11" t="s">
        <v>55</v>
      </c>
      <c r="D1461" s="11" t="s">
        <v>13</v>
      </c>
      <c r="E1461" s="11">
        <v>-2</v>
      </c>
      <c r="F1461" s="11">
        <f t="shared" si="45"/>
        <v>-2</v>
      </c>
      <c r="G1461" s="11" t="s">
        <v>19</v>
      </c>
      <c r="H1461" s="11" t="s">
        <v>56</v>
      </c>
      <c r="I1461" s="11" t="s">
        <v>16</v>
      </c>
      <c r="J1461" s="11">
        <v>4.2</v>
      </c>
      <c r="K1461" s="11">
        <v>10</v>
      </c>
      <c r="L1461" s="11"/>
      <c r="M1461" s="11">
        <f t="shared" si="44"/>
        <v>8.4</v>
      </c>
      <c r="N1461" s="11">
        <f>IF(Table1[[#This Row],[Transaction Type]]="Sale",ABS(E1461)*K1461,0)</f>
        <v>20</v>
      </c>
      <c r="O1461" s="29">
        <f>IF(Table1[[#This Row],[Transaction Type]]="Purchase",E1461*J1461,0)</f>
        <v>0</v>
      </c>
    </row>
    <row r="1462" spans="1:15" x14ac:dyDescent="0.35">
      <c r="A1462" s="27" t="s">
        <v>2026</v>
      </c>
      <c r="B1462" s="12">
        <v>46101</v>
      </c>
      <c r="C1462" s="11" t="s">
        <v>77</v>
      </c>
      <c r="D1462" s="11" t="s">
        <v>13</v>
      </c>
      <c r="E1462" s="11">
        <v>-8</v>
      </c>
      <c r="F1462" s="11">
        <f t="shared" si="45"/>
        <v>-8</v>
      </c>
      <c r="G1462" s="11" t="s">
        <v>19</v>
      </c>
      <c r="H1462" s="11" t="s">
        <v>78</v>
      </c>
      <c r="I1462" s="11" t="s">
        <v>16</v>
      </c>
      <c r="J1462" s="11">
        <v>25</v>
      </c>
      <c r="K1462" s="11">
        <v>42</v>
      </c>
      <c r="L1462" s="11"/>
      <c r="M1462" s="11">
        <f t="shared" si="44"/>
        <v>200</v>
      </c>
      <c r="N1462" s="11">
        <f>IF(Table1[[#This Row],[Transaction Type]]="Sale",ABS(E1462)*K1462,0)</f>
        <v>336</v>
      </c>
      <c r="O1462" s="29">
        <f>IF(Table1[[#This Row],[Transaction Type]]="Purchase",E1462*J1462,0)</f>
        <v>0</v>
      </c>
    </row>
    <row r="1463" spans="1:15" x14ac:dyDescent="0.35">
      <c r="A1463" s="27" t="s">
        <v>2027</v>
      </c>
      <c r="B1463" s="12">
        <v>46101</v>
      </c>
      <c r="C1463" s="11" t="s">
        <v>23</v>
      </c>
      <c r="D1463" s="11" t="s">
        <v>66</v>
      </c>
      <c r="E1463" s="11">
        <v>2</v>
      </c>
      <c r="F1463" s="11">
        <f t="shared" si="45"/>
        <v>2</v>
      </c>
      <c r="G1463" s="11" t="s">
        <v>19</v>
      </c>
      <c r="H1463" s="11" t="s">
        <v>25</v>
      </c>
      <c r="I1463" s="11" t="s">
        <v>26</v>
      </c>
      <c r="J1463" s="11">
        <v>3</v>
      </c>
      <c r="K1463" s="11">
        <v>7</v>
      </c>
      <c r="L1463" s="11"/>
      <c r="M1463" s="11">
        <f t="shared" si="44"/>
        <v>6</v>
      </c>
      <c r="N1463" s="11">
        <f>IF(Table1[[#This Row],[Transaction Type]]="Sale",ABS(E1463)*K1463,0)</f>
        <v>0</v>
      </c>
      <c r="O1463" s="29">
        <f>IF(Table1[[#This Row],[Transaction Type]]="Purchase",E1463*J1463,0)</f>
        <v>0</v>
      </c>
    </row>
    <row r="1464" spans="1:15" x14ac:dyDescent="0.35">
      <c r="A1464" s="27" t="s">
        <v>2028</v>
      </c>
      <c r="B1464" s="12">
        <v>46101</v>
      </c>
      <c r="C1464" s="11" t="s">
        <v>81</v>
      </c>
      <c r="D1464" s="11" t="s">
        <v>40</v>
      </c>
      <c r="E1464" s="11">
        <v>29</v>
      </c>
      <c r="F1464" s="11">
        <f t="shared" si="45"/>
        <v>29</v>
      </c>
      <c r="G1464" s="11" t="s">
        <v>24</v>
      </c>
      <c r="H1464" s="11" t="s">
        <v>30</v>
      </c>
      <c r="I1464" s="11" t="s">
        <v>16</v>
      </c>
      <c r="J1464" s="11">
        <v>8</v>
      </c>
      <c r="K1464" s="11">
        <v>15</v>
      </c>
      <c r="L1464" s="11" t="s">
        <v>2029</v>
      </c>
      <c r="M1464" s="11">
        <f t="shared" si="44"/>
        <v>232</v>
      </c>
      <c r="N1464" s="11">
        <f>IF(Table1[[#This Row],[Transaction Type]]="Sale",ABS(E1464)*K1464,0)</f>
        <v>0</v>
      </c>
      <c r="O1464" s="29">
        <f>IF(Table1[[#This Row],[Transaction Type]]="Purchase",E1464*J1464,0)</f>
        <v>232</v>
      </c>
    </row>
    <row r="1465" spans="1:15" x14ac:dyDescent="0.35">
      <c r="A1465" s="27" t="s">
        <v>2030</v>
      </c>
      <c r="B1465" s="12">
        <v>46102</v>
      </c>
      <c r="C1465" s="11" t="s">
        <v>139</v>
      </c>
      <c r="D1465" s="11" t="s">
        <v>40</v>
      </c>
      <c r="E1465" s="11">
        <v>37</v>
      </c>
      <c r="F1465" s="11">
        <f t="shared" si="45"/>
        <v>37</v>
      </c>
      <c r="G1465" s="11" t="s">
        <v>14</v>
      </c>
      <c r="H1465" s="11" t="s">
        <v>56</v>
      </c>
      <c r="I1465" s="11" t="s">
        <v>16</v>
      </c>
      <c r="J1465" s="11">
        <v>16.5</v>
      </c>
      <c r="K1465" s="11">
        <v>28</v>
      </c>
      <c r="L1465" s="11" t="s">
        <v>2031</v>
      </c>
      <c r="M1465" s="11">
        <f t="shared" si="44"/>
        <v>610.5</v>
      </c>
      <c r="N1465" s="11">
        <f>IF(Table1[[#This Row],[Transaction Type]]="Sale",ABS(E1465)*K1465,0)</f>
        <v>0</v>
      </c>
      <c r="O1465" s="29">
        <f>IF(Table1[[#This Row],[Transaction Type]]="Purchase",E1465*J1465,0)</f>
        <v>610.5</v>
      </c>
    </row>
    <row r="1466" spans="1:15" x14ac:dyDescent="0.35">
      <c r="A1466" s="27" t="s">
        <v>2032</v>
      </c>
      <c r="B1466" s="12">
        <v>46102</v>
      </c>
      <c r="C1466" s="11" t="s">
        <v>60</v>
      </c>
      <c r="D1466" s="11" t="s">
        <v>40</v>
      </c>
      <c r="E1466" s="11">
        <v>109</v>
      </c>
      <c r="F1466" s="11">
        <f t="shared" si="45"/>
        <v>109</v>
      </c>
      <c r="G1466" s="11" t="s">
        <v>14</v>
      </c>
      <c r="H1466" s="11" t="s">
        <v>61</v>
      </c>
      <c r="I1466" s="11" t="s">
        <v>62</v>
      </c>
      <c r="J1466" s="11">
        <v>3.4</v>
      </c>
      <c r="K1466" s="11">
        <v>8</v>
      </c>
      <c r="L1466" s="11" t="s">
        <v>1456</v>
      </c>
      <c r="M1466" s="11">
        <f t="shared" si="44"/>
        <v>370.59999999999997</v>
      </c>
      <c r="N1466" s="11">
        <f>IF(Table1[[#This Row],[Transaction Type]]="Sale",ABS(E1466)*K1466,0)</f>
        <v>0</v>
      </c>
      <c r="O1466" s="29">
        <f>IF(Table1[[#This Row],[Transaction Type]]="Purchase",E1466*J1466,0)</f>
        <v>370.59999999999997</v>
      </c>
    </row>
    <row r="1467" spans="1:15" x14ac:dyDescent="0.35">
      <c r="A1467" s="27" t="s">
        <v>2033</v>
      </c>
      <c r="B1467" s="12">
        <v>46102</v>
      </c>
      <c r="C1467" s="11" t="s">
        <v>32</v>
      </c>
      <c r="D1467" s="11" t="s">
        <v>13</v>
      </c>
      <c r="E1467" s="11">
        <v>-3</v>
      </c>
      <c r="F1467" s="11">
        <f t="shared" si="45"/>
        <v>-3</v>
      </c>
      <c r="G1467" s="11" t="s">
        <v>19</v>
      </c>
      <c r="H1467" s="11" t="s">
        <v>33</v>
      </c>
      <c r="I1467" s="11" t="s">
        <v>34</v>
      </c>
      <c r="J1467" s="11">
        <v>20</v>
      </c>
      <c r="K1467" s="11">
        <v>35</v>
      </c>
      <c r="L1467" s="11"/>
      <c r="M1467" s="11">
        <f t="shared" si="44"/>
        <v>60</v>
      </c>
      <c r="N1467" s="11">
        <f>IF(Table1[[#This Row],[Transaction Type]]="Sale",ABS(E1467)*K1467,0)</f>
        <v>105</v>
      </c>
      <c r="O1467" s="29">
        <f>IF(Table1[[#This Row],[Transaction Type]]="Purchase",E1467*J1467,0)</f>
        <v>0</v>
      </c>
    </row>
    <row r="1468" spans="1:15" x14ac:dyDescent="0.35">
      <c r="A1468" s="27" t="s">
        <v>2034</v>
      </c>
      <c r="B1468" s="12">
        <v>46103</v>
      </c>
      <c r="C1468" s="11" t="s">
        <v>77</v>
      </c>
      <c r="D1468" s="11" t="s">
        <v>40</v>
      </c>
      <c r="E1468" s="11">
        <v>94</v>
      </c>
      <c r="F1468" s="11">
        <f t="shared" si="45"/>
        <v>94</v>
      </c>
      <c r="G1468" s="11" t="s">
        <v>14</v>
      </c>
      <c r="H1468" s="11" t="s">
        <v>78</v>
      </c>
      <c r="I1468" s="11" t="s">
        <v>16</v>
      </c>
      <c r="J1468" s="11">
        <v>25</v>
      </c>
      <c r="K1468" s="11">
        <v>42</v>
      </c>
      <c r="L1468" s="11" t="s">
        <v>2035</v>
      </c>
      <c r="M1468" s="11">
        <f t="shared" si="44"/>
        <v>2350</v>
      </c>
      <c r="N1468" s="11">
        <f>IF(Table1[[#This Row],[Transaction Type]]="Sale",ABS(E1468)*K1468,0)</f>
        <v>0</v>
      </c>
      <c r="O1468" s="29">
        <f>IF(Table1[[#This Row],[Transaction Type]]="Purchase",E1468*J1468,0)</f>
        <v>2350</v>
      </c>
    </row>
    <row r="1469" spans="1:15" x14ac:dyDescent="0.35">
      <c r="A1469" s="27" t="s">
        <v>2036</v>
      </c>
      <c r="B1469" s="12">
        <v>46103</v>
      </c>
      <c r="C1469" s="11" t="s">
        <v>77</v>
      </c>
      <c r="D1469" s="11" t="s">
        <v>40</v>
      </c>
      <c r="E1469" s="11">
        <v>65</v>
      </c>
      <c r="F1469" s="11">
        <f t="shared" si="45"/>
        <v>65</v>
      </c>
      <c r="G1469" s="11" t="s">
        <v>14</v>
      </c>
      <c r="H1469" s="11" t="s">
        <v>78</v>
      </c>
      <c r="I1469" s="11" t="s">
        <v>16</v>
      </c>
      <c r="J1469" s="11">
        <v>25</v>
      </c>
      <c r="K1469" s="11">
        <v>42</v>
      </c>
      <c r="L1469" s="11" t="s">
        <v>2037</v>
      </c>
      <c r="M1469" s="11">
        <f t="shared" si="44"/>
        <v>1625</v>
      </c>
      <c r="N1469" s="11">
        <f>IF(Table1[[#This Row],[Transaction Type]]="Sale",ABS(E1469)*K1469,0)</f>
        <v>0</v>
      </c>
      <c r="O1469" s="29">
        <f>IF(Table1[[#This Row],[Transaction Type]]="Purchase",E1469*J1469,0)</f>
        <v>1625</v>
      </c>
    </row>
    <row r="1470" spans="1:15" x14ac:dyDescent="0.35">
      <c r="A1470" s="27" t="s">
        <v>2038</v>
      </c>
      <c r="B1470" s="12">
        <v>46103</v>
      </c>
      <c r="C1470" s="11" t="s">
        <v>43</v>
      </c>
      <c r="D1470" s="11" t="s">
        <v>13</v>
      </c>
      <c r="E1470" s="11">
        <v>-6</v>
      </c>
      <c r="F1470" s="11">
        <f t="shared" si="45"/>
        <v>-6</v>
      </c>
      <c r="G1470" s="11" t="s">
        <v>19</v>
      </c>
      <c r="H1470" s="11" t="s">
        <v>44</v>
      </c>
      <c r="I1470" s="11" t="s">
        <v>45</v>
      </c>
      <c r="J1470" s="11">
        <v>5.2</v>
      </c>
      <c r="K1470" s="11">
        <v>11</v>
      </c>
      <c r="L1470" s="11"/>
      <c r="M1470" s="11">
        <f t="shared" si="44"/>
        <v>31.200000000000003</v>
      </c>
      <c r="N1470" s="11">
        <f>IF(Table1[[#This Row],[Transaction Type]]="Sale",ABS(E1470)*K1470,0)</f>
        <v>66</v>
      </c>
      <c r="O1470" s="29">
        <f>IF(Table1[[#This Row],[Transaction Type]]="Purchase",E1470*J1470,0)</f>
        <v>0</v>
      </c>
    </row>
    <row r="1471" spans="1:15" x14ac:dyDescent="0.35">
      <c r="A1471" s="27" t="s">
        <v>2039</v>
      </c>
      <c r="B1471" s="12">
        <v>46103</v>
      </c>
      <c r="C1471" s="11" t="s">
        <v>32</v>
      </c>
      <c r="D1471" s="11" t="s">
        <v>13</v>
      </c>
      <c r="E1471" s="11">
        <v>-6</v>
      </c>
      <c r="F1471" s="11">
        <f t="shared" si="45"/>
        <v>-6</v>
      </c>
      <c r="G1471" s="11" t="s">
        <v>14</v>
      </c>
      <c r="H1471" s="11" t="s">
        <v>33</v>
      </c>
      <c r="I1471" s="11" t="s">
        <v>34</v>
      </c>
      <c r="J1471" s="11">
        <v>20</v>
      </c>
      <c r="K1471" s="11">
        <v>35</v>
      </c>
      <c r="L1471" s="11"/>
      <c r="M1471" s="11">
        <f t="shared" si="44"/>
        <v>120</v>
      </c>
      <c r="N1471" s="11">
        <f>IF(Table1[[#This Row],[Transaction Type]]="Sale",ABS(E1471)*K1471,0)</f>
        <v>210</v>
      </c>
      <c r="O1471" s="29">
        <f>IF(Table1[[#This Row],[Transaction Type]]="Purchase",E1471*J1471,0)</f>
        <v>0</v>
      </c>
    </row>
    <row r="1472" spans="1:15" x14ac:dyDescent="0.35">
      <c r="A1472" s="27" t="s">
        <v>2040</v>
      </c>
      <c r="B1472" s="12">
        <v>46103</v>
      </c>
      <c r="C1472" s="11" t="s">
        <v>109</v>
      </c>
      <c r="D1472" s="11" t="s">
        <v>40</v>
      </c>
      <c r="E1472" s="11">
        <v>41</v>
      </c>
      <c r="F1472" s="11">
        <f t="shared" si="45"/>
        <v>41</v>
      </c>
      <c r="G1472" s="11" t="s">
        <v>14</v>
      </c>
      <c r="H1472" s="11" t="s">
        <v>110</v>
      </c>
      <c r="I1472" s="11" t="s">
        <v>26</v>
      </c>
      <c r="J1472" s="11">
        <v>105</v>
      </c>
      <c r="K1472" s="11">
        <v>165</v>
      </c>
      <c r="L1472" s="11" t="s">
        <v>2041</v>
      </c>
      <c r="M1472" s="11">
        <f t="shared" si="44"/>
        <v>4305</v>
      </c>
      <c r="N1472" s="11">
        <f>IF(Table1[[#This Row],[Transaction Type]]="Sale",ABS(E1472)*K1472,0)</f>
        <v>0</v>
      </c>
      <c r="O1472" s="29">
        <f>IF(Table1[[#This Row],[Transaction Type]]="Purchase",E1472*J1472,0)</f>
        <v>4305</v>
      </c>
    </row>
    <row r="1473" spans="1:15" x14ac:dyDescent="0.35">
      <c r="A1473" s="27" t="s">
        <v>2042</v>
      </c>
      <c r="B1473" s="12">
        <v>46103</v>
      </c>
      <c r="C1473" s="11" t="s">
        <v>55</v>
      </c>
      <c r="D1473" s="11" t="s">
        <v>40</v>
      </c>
      <c r="E1473" s="11">
        <v>64</v>
      </c>
      <c r="F1473" s="11">
        <f t="shared" si="45"/>
        <v>64</v>
      </c>
      <c r="G1473" s="11" t="s">
        <v>24</v>
      </c>
      <c r="H1473" s="11" t="s">
        <v>56</v>
      </c>
      <c r="I1473" s="11" t="s">
        <v>16</v>
      </c>
      <c r="J1473" s="11">
        <v>4.2</v>
      </c>
      <c r="K1473" s="11">
        <v>10</v>
      </c>
      <c r="L1473" s="11" t="s">
        <v>2043</v>
      </c>
      <c r="M1473" s="11">
        <f t="shared" si="44"/>
        <v>268.8</v>
      </c>
      <c r="N1473" s="11">
        <f>IF(Table1[[#This Row],[Transaction Type]]="Sale",ABS(E1473)*K1473,0)</f>
        <v>0</v>
      </c>
      <c r="O1473" s="29">
        <f>IF(Table1[[#This Row],[Transaction Type]]="Purchase",E1473*J1473,0)</f>
        <v>268.8</v>
      </c>
    </row>
    <row r="1474" spans="1:15" x14ac:dyDescent="0.35">
      <c r="A1474" s="27" t="s">
        <v>2044</v>
      </c>
      <c r="B1474" s="12">
        <v>46104</v>
      </c>
      <c r="C1474" s="11" t="s">
        <v>87</v>
      </c>
      <c r="D1474" s="11" t="s">
        <v>13</v>
      </c>
      <c r="E1474" s="11">
        <v>-11</v>
      </c>
      <c r="F1474" s="11">
        <f t="shared" si="45"/>
        <v>-11</v>
      </c>
      <c r="G1474" s="11" t="s">
        <v>24</v>
      </c>
      <c r="H1474" s="11" t="s">
        <v>88</v>
      </c>
      <c r="I1474" s="11" t="s">
        <v>16</v>
      </c>
      <c r="J1474" s="11">
        <v>6</v>
      </c>
      <c r="K1474" s="11">
        <v>14</v>
      </c>
      <c r="L1474" s="11"/>
      <c r="M1474" s="11">
        <f t="shared" ref="M1474:M1537" si="46">ABS(E1474)*J1474</f>
        <v>66</v>
      </c>
      <c r="N1474" s="11">
        <f>IF(Table1[[#This Row],[Transaction Type]]="Sale",ABS(E1474)*K1474,0)</f>
        <v>154</v>
      </c>
      <c r="O1474" s="29">
        <f>IF(Table1[[#This Row],[Transaction Type]]="Purchase",E1474*J1474,0)</f>
        <v>0</v>
      </c>
    </row>
    <row r="1475" spans="1:15" x14ac:dyDescent="0.35">
      <c r="A1475" s="27" t="s">
        <v>2045</v>
      </c>
      <c r="B1475" s="12">
        <v>46104</v>
      </c>
      <c r="C1475" s="11" t="s">
        <v>87</v>
      </c>
      <c r="D1475" s="11" t="s">
        <v>40</v>
      </c>
      <c r="E1475" s="11">
        <v>111</v>
      </c>
      <c r="F1475" s="11">
        <f t="shared" ref="F1475:F1538" si="47">E1475</f>
        <v>111</v>
      </c>
      <c r="G1475" s="11" t="s">
        <v>19</v>
      </c>
      <c r="H1475" s="11" t="s">
        <v>88</v>
      </c>
      <c r="I1475" s="11" t="s">
        <v>16</v>
      </c>
      <c r="J1475" s="11">
        <v>6</v>
      </c>
      <c r="K1475" s="11">
        <v>14</v>
      </c>
      <c r="L1475" s="11" t="s">
        <v>2046</v>
      </c>
      <c r="M1475" s="11">
        <f t="shared" si="46"/>
        <v>666</v>
      </c>
      <c r="N1475" s="11">
        <f>IF(Table1[[#This Row],[Transaction Type]]="Sale",ABS(E1475)*K1475,0)</f>
        <v>0</v>
      </c>
      <c r="O1475" s="29">
        <f>IF(Table1[[#This Row],[Transaction Type]]="Purchase",E1475*J1475,0)</f>
        <v>666</v>
      </c>
    </row>
    <row r="1476" spans="1:15" x14ac:dyDescent="0.35">
      <c r="A1476" s="27" t="s">
        <v>2047</v>
      </c>
      <c r="B1476" s="12">
        <v>46104</v>
      </c>
      <c r="C1476" s="11" t="s">
        <v>83</v>
      </c>
      <c r="D1476" s="11" t="s">
        <v>13</v>
      </c>
      <c r="E1476" s="11">
        <v>-10</v>
      </c>
      <c r="F1476" s="11">
        <f t="shared" si="47"/>
        <v>-10</v>
      </c>
      <c r="G1476" s="11" t="s">
        <v>14</v>
      </c>
      <c r="H1476" s="11" t="s">
        <v>84</v>
      </c>
      <c r="I1476" s="11" t="s">
        <v>45</v>
      </c>
      <c r="J1476" s="11">
        <v>130</v>
      </c>
      <c r="K1476" s="11">
        <v>185</v>
      </c>
      <c r="L1476" s="11"/>
      <c r="M1476" s="11">
        <f t="shared" si="46"/>
        <v>1300</v>
      </c>
      <c r="N1476" s="11">
        <f>IF(Table1[[#This Row],[Transaction Type]]="Sale",ABS(E1476)*K1476,0)</f>
        <v>1850</v>
      </c>
      <c r="O1476" s="29">
        <f>IF(Table1[[#This Row],[Transaction Type]]="Purchase",E1476*J1476,0)</f>
        <v>0</v>
      </c>
    </row>
    <row r="1477" spans="1:15" x14ac:dyDescent="0.35">
      <c r="A1477" s="27" t="s">
        <v>2048</v>
      </c>
      <c r="B1477" s="12">
        <v>46104</v>
      </c>
      <c r="C1477" s="11" t="s">
        <v>43</v>
      </c>
      <c r="D1477" s="11" t="s">
        <v>40</v>
      </c>
      <c r="E1477" s="11">
        <v>81</v>
      </c>
      <c r="F1477" s="11">
        <f t="shared" si="47"/>
        <v>81</v>
      </c>
      <c r="G1477" s="11" t="s">
        <v>24</v>
      </c>
      <c r="H1477" s="11" t="s">
        <v>44</v>
      </c>
      <c r="I1477" s="11" t="s">
        <v>45</v>
      </c>
      <c r="J1477" s="11">
        <v>5.2</v>
      </c>
      <c r="K1477" s="11">
        <v>11</v>
      </c>
      <c r="L1477" s="11" t="s">
        <v>2049</v>
      </c>
      <c r="M1477" s="11">
        <f t="shared" si="46"/>
        <v>421.2</v>
      </c>
      <c r="N1477" s="11">
        <f>IF(Table1[[#This Row],[Transaction Type]]="Sale",ABS(E1477)*K1477,0)</f>
        <v>0</v>
      </c>
      <c r="O1477" s="29">
        <f>IF(Table1[[#This Row],[Transaction Type]]="Purchase",E1477*J1477,0)</f>
        <v>421.2</v>
      </c>
    </row>
    <row r="1478" spans="1:15" x14ac:dyDescent="0.35">
      <c r="A1478" s="27" t="s">
        <v>2050</v>
      </c>
      <c r="B1478" s="12">
        <v>46105</v>
      </c>
      <c r="C1478" s="11" t="s">
        <v>43</v>
      </c>
      <c r="D1478" s="11" t="s">
        <v>13</v>
      </c>
      <c r="E1478" s="11">
        <v>-3</v>
      </c>
      <c r="F1478" s="11">
        <f t="shared" si="47"/>
        <v>-3</v>
      </c>
      <c r="G1478" s="11" t="s">
        <v>24</v>
      </c>
      <c r="H1478" s="11" t="s">
        <v>44</v>
      </c>
      <c r="I1478" s="11" t="s">
        <v>45</v>
      </c>
      <c r="J1478" s="11">
        <v>5.2</v>
      </c>
      <c r="K1478" s="11">
        <v>11</v>
      </c>
      <c r="L1478" s="11"/>
      <c r="M1478" s="11">
        <f t="shared" si="46"/>
        <v>15.600000000000001</v>
      </c>
      <c r="N1478" s="11">
        <f>IF(Table1[[#This Row],[Transaction Type]]="Sale",ABS(E1478)*K1478,0)</f>
        <v>33</v>
      </c>
      <c r="O1478" s="29">
        <f>IF(Table1[[#This Row],[Transaction Type]]="Purchase",E1478*J1478,0)</f>
        <v>0</v>
      </c>
    </row>
    <row r="1479" spans="1:15" x14ac:dyDescent="0.35">
      <c r="A1479" s="27" t="s">
        <v>2051</v>
      </c>
      <c r="B1479" s="12">
        <v>46106</v>
      </c>
      <c r="C1479" s="11" t="s">
        <v>36</v>
      </c>
      <c r="D1479" s="11" t="s">
        <v>13</v>
      </c>
      <c r="E1479" s="11">
        <v>-8</v>
      </c>
      <c r="F1479" s="11">
        <f t="shared" si="47"/>
        <v>-8</v>
      </c>
      <c r="G1479" s="11" t="s">
        <v>24</v>
      </c>
      <c r="H1479" s="11" t="s">
        <v>37</v>
      </c>
      <c r="I1479" s="11" t="s">
        <v>16</v>
      </c>
      <c r="J1479" s="11">
        <v>7.2</v>
      </c>
      <c r="K1479" s="11">
        <v>12.5</v>
      </c>
      <c r="L1479" s="11"/>
      <c r="M1479" s="11">
        <f t="shared" si="46"/>
        <v>57.6</v>
      </c>
      <c r="N1479" s="11">
        <f>IF(Table1[[#This Row],[Transaction Type]]="Sale",ABS(E1479)*K1479,0)</f>
        <v>100</v>
      </c>
      <c r="O1479" s="29">
        <f>IF(Table1[[#This Row],[Transaction Type]]="Purchase",E1479*J1479,0)</f>
        <v>0</v>
      </c>
    </row>
    <row r="1480" spans="1:15" x14ac:dyDescent="0.35">
      <c r="A1480" s="27" t="s">
        <v>2052</v>
      </c>
      <c r="B1480" s="12">
        <v>46107</v>
      </c>
      <c r="C1480" s="11" t="s">
        <v>73</v>
      </c>
      <c r="D1480" s="11" t="s">
        <v>40</v>
      </c>
      <c r="E1480" s="11">
        <v>69</v>
      </c>
      <c r="F1480" s="11">
        <f t="shared" si="47"/>
        <v>69</v>
      </c>
      <c r="G1480" s="11" t="s">
        <v>19</v>
      </c>
      <c r="H1480" s="11" t="s">
        <v>74</v>
      </c>
      <c r="I1480" s="11" t="s">
        <v>75</v>
      </c>
      <c r="J1480" s="11">
        <v>30</v>
      </c>
      <c r="K1480" s="11">
        <v>48</v>
      </c>
      <c r="L1480" s="11" t="s">
        <v>2053</v>
      </c>
      <c r="M1480" s="11">
        <f t="shared" si="46"/>
        <v>2070</v>
      </c>
      <c r="N1480" s="11">
        <f>IF(Table1[[#This Row],[Transaction Type]]="Sale",ABS(E1480)*K1480,0)</f>
        <v>0</v>
      </c>
      <c r="O1480" s="29">
        <f>IF(Table1[[#This Row],[Transaction Type]]="Purchase",E1480*J1480,0)</f>
        <v>2070</v>
      </c>
    </row>
    <row r="1481" spans="1:15" x14ac:dyDescent="0.35">
      <c r="A1481" s="27" t="s">
        <v>2054</v>
      </c>
      <c r="B1481" s="12">
        <v>46107</v>
      </c>
      <c r="C1481" s="11" t="s">
        <v>87</v>
      </c>
      <c r="D1481" s="11" t="s">
        <v>13</v>
      </c>
      <c r="E1481" s="11">
        <v>-7</v>
      </c>
      <c r="F1481" s="11">
        <f t="shared" si="47"/>
        <v>-7</v>
      </c>
      <c r="G1481" s="11" t="s">
        <v>19</v>
      </c>
      <c r="H1481" s="11" t="s">
        <v>88</v>
      </c>
      <c r="I1481" s="11" t="s">
        <v>16</v>
      </c>
      <c r="J1481" s="11">
        <v>6</v>
      </c>
      <c r="K1481" s="11">
        <v>14</v>
      </c>
      <c r="L1481" s="11"/>
      <c r="M1481" s="11">
        <f t="shared" si="46"/>
        <v>42</v>
      </c>
      <c r="N1481" s="11">
        <f>IF(Table1[[#This Row],[Transaction Type]]="Sale",ABS(E1481)*K1481,0)</f>
        <v>98</v>
      </c>
      <c r="O1481" s="29">
        <f>IF(Table1[[#This Row],[Transaction Type]]="Purchase",E1481*J1481,0)</f>
        <v>0</v>
      </c>
    </row>
    <row r="1482" spans="1:15" x14ac:dyDescent="0.35">
      <c r="A1482" s="27" t="s">
        <v>2055</v>
      </c>
      <c r="B1482" s="12">
        <v>46107</v>
      </c>
      <c r="C1482" s="11" t="s">
        <v>48</v>
      </c>
      <c r="D1482" s="11" t="s">
        <v>40</v>
      </c>
      <c r="E1482" s="11">
        <v>75</v>
      </c>
      <c r="F1482" s="11">
        <f t="shared" si="47"/>
        <v>75</v>
      </c>
      <c r="G1482" s="11" t="s">
        <v>14</v>
      </c>
      <c r="H1482" s="11" t="s">
        <v>49</v>
      </c>
      <c r="I1482" s="11" t="s">
        <v>21</v>
      </c>
      <c r="J1482" s="11">
        <v>8.5</v>
      </c>
      <c r="K1482" s="11">
        <v>18</v>
      </c>
      <c r="L1482" s="11" t="s">
        <v>2056</v>
      </c>
      <c r="M1482" s="11">
        <f t="shared" si="46"/>
        <v>637.5</v>
      </c>
      <c r="N1482" s="11">
        <f>IF(Table1[[#This Row],[Transaction Type]]="Sale",ABS(E1482)*K1482,0)</f>
        <v>0</v>
      </c>
      <c r="O1482" s="29">
        <f>IF(Table1[[#This Row],[Transaction Type]]="Purchase",E1482*J1482,0)</f>
        <v>637.5</v>
      </c>
    </row>
    <row r="1483" spans="1:15" x14ac:dyDescent="0.35">
      <c r="A1483" s="27" t="s">
        <v>2057</v>
      </c>
      <c r="B1483" s="12">
        <v>46109</v>
      </c>
      <c r="C1483" s="11" t="s">
        <v>136</v>
      </c>
      <c r="D1483" s="11" t="s">
        <v>13</v>
      </c>
      <c r="E1483" s="11">
        <v>-5</v>
      </c>
      <c r="F1483" s="11">
        <f t="shared" si="47"/>
        <v>-5</v>
      </c>
      <c r="G1483" s="11" t="s">
        <v>14</v>
      </c>
      <c r="H1483" s="11" t="s">
        <v>33</v>
      </c>
      <c r="I1483" s="11" t="s">
        <v>34</v>
      </c>
      <c r="J1483" s="11">
        <v>34</v>
      </c>
      <c r="K1483" s="11">
        <v>55</v>
      </c>
      <c r="L1483" s="11"/>
      <c r="M1483" s="11">
        <f t="shared" si="46"/>
        <v>170</v>
      </c>
      <c r="N1483" s="11">
        <f>IF(Table1[[#This Row],[Transaction Type]]="Sale",ABS(E1483)*K1483,0)</f>
        <v>275</v>
      </c>
      <c r="O1483" s="29">
        <f>IF(Table1[[#This Row],[Transaction Type]]="Purchase",E1483*J1483,0)</f>
        <v>0</v>
      </c>
    </row>
    <row r="1484" spans="1:15" x14ac:dyDescent="0.35">
      <c r="A1484" s="27" t="s">
        <v>2058</v>
      </c>
      <c r="B1484" s="12">
        <v>46109</v>
      </c>
      <c r="C1484" s="11" t="s">
        <v>55</v>
      </c>
      <c r="D1484" s="11" t="s">
        <v>58</v>
      </c>
      <c r="E1484" s="11">
        <v>4</v>
      </c>
      <c r="F1484" s="11">
        <f t="shared" si="47"/>
        <v>4</v>
      </c>
      <c r="G1484" s="11" t="s">
        <v>14</v>
      </c>
      <c r="H1484" s="11" t="s">
        <v>56</v>
      </c>
      <c r="I1484" s="11" t="s">
        <v>16</v>
      </c>
      <c r="J1484" s="11">
        <v>4.2</v>
      </c>
      <c r="K1484" s="11">
        <v>10</v>
      </c>
      <c r="L1484" s="11"/>
      <c r="M1484" s="11">
        <f t="shared" si="46"/>
        <v>16.8</v>
      </c>
      <c r="N1484" s="11">
        <f>IF(Table1[[#This Row],[Transaction Type]]="Sale",ABS(E1484)*K1484,0)</f>
        <v>0</v>
      </c>
      <c r="O1484" s="29">
        <f>IF(Table1[[#This Row],[Transaction Type]]="Purchase",E1484*J1484,0)</f>
        <v>0</v>
      </c>
    </row>
    <row r="1485" spans="1:15" x14ac:dyDescent="0.35">
      <c r="A1485" s="27" t="s">
        <v>2059</v>
      </c>
      <c r="B1485" s="12">
        <v>46109</v>
      </c>
      <c r="C1485" s="11" t="s">
        <v>18</v>
      </c>
      <c r="D1485" s="11" t="s">
        <v>40</v>
      </c>
      <c r="E1485" s="11">
        <v>104</v>
      </c>
      <c r="F1485" s="11">
        <f t="shared" si="47"/>
        <v>104</v>
      </c>
      <c r="G1485" s="11" t="s">
        <v>14</v>
      </c>
      <c r="H1485" s="11" t="s">
        <v>20</v>
      </c>
      <c r="I1485" s="11" t="s">
        <v>21</v>
      </c>
      <c r="J1485" s="11">
        <v>2.6</v>
      </c>
      <c r="K1485" s="11">
        <v>5.5</v>
      </c>
      <c r="L1485" s="11" t="s">
        <v>2060</v>
      </c>
      <c r="M1485" s="11">
        <f t="shared" si="46"/>
        <v>270.40000000000003</v>
      </c>
      <c r="N1485" s="11">
        <f>IF(Table1[[#This Row],[Transaction Type]]="Sale",ABS(E1485)*K1485,0)</f>
        <v>0</v>
      </c>
      <c r="O1485" s="29">
        <f>IF(Table1[[#This Row],[Transaction Type]]="Purchase",E1485*J1485,0)</f>
        <v>270.40000000000003</v>
      </c>
    </row>
    <row r="1486" spans="1:15" x14ac:dyDescent="0.35">
      <c r="A1486" s="27" t="s">
        <v>2061</v>
      </c>
      <c r="B1486" s="12">
        <v>46110</v>
      </c>
      <c r="C1486" s="11" t="s">
        <v>12</v>
      </c>
      <c r="D1486" s="11" t="s">
        <v>13</v>
      </c>
      <c r="E1486" s="11">
        <v>-14</v>
      </c>
      <c r="F1486" s="11">
        <f t="shared" si="47"/>
        <v>-14</v>
      </c>
      <c r="G1486" s="11" t="s">
        <v>19</v>
      </c>
      <c r="H1486" s="11" t="s">
        <v>15</v>
      </c>
      <c r="I1486" s="11" t="s">
        <v>16</v>
      </c>
      <c r="J1486" s="11">
        <v>13.5</v>
      </c>
      <c r="K1486" s="11">
        <v>24</v>
      </c>
      <c r="L1486" s="11"/>
      <c r="M1486" s="11">
        <f t="shared" si="46"/>
        <v>189</v>
      </c>
      <c r="N1486" s="11">
        <f>IF(Table1[[#This Row],[Transaction Type]]="Sale",ABS(E1486)*K1486,0)</f>
        <v>336</v>
      </c>
      <c r="O1486" s="29">
        <f>IF(Table1[[#This Row],[Transaction Type]]="Purchase",E1486*J1486,0)</f>
        <v>0</v>
      </c>
    </row>
    <row r="1487" spans="1:15" x14ac:dyDescent="0.35">
      <c r="A1487" s="27" t="s">
        <v>2062</v>
      </c>
      <c r="B1487" s="12">
        <v>46110</v>
      </c>
      <c r="C1487" s="11" t="s">
        <v>36</v>
      </c>
      <c r="D1487" s="11" t="s">
        <v>40</v>
      </c>
      <c r="E1487" s="11">
        <v>68</v>
      </c>
      <c r="F1487" s="11">
        <f t="shared" si="47"/>
        <v>68</v>
      </c>
      <c r="G1487" s="11" t="s">
        <v>14</v>
      </c>
      <c r="H1487" s="11" t="s">
        <v>37</v>
      </c>
      <c r="I1487" s="11" t="s">
        <v>16</v>
      </c>
      <c r="J1487" s="11">
        <v>7.2</v>
      </c>
      <c r="K1487" s="11">
        <v>12.5</v>
      </c>
      <c r="L1487" s="11" t="s">
        <v>2063</v>
      </c>
      <c r="M1487" s="11">
        <f t="shared" si="46"/>
        <v>489.6</v>
      </c>
      <c r="N1487" s="11">
        <f>IF(Table1[[#This Row],[Transaction Type]]="Sale",ABS(E1487)*K1487,0)</f>
        <v>0</v>
      </c>
      <c r="O1487" s="29">
        <f>IF(Table1[[#This Row],[Transaction Type]]="Purchase",E1487*J1487,0)</f>
        <v>489.6</v>
      </c>
    </row>
    <row r="1488" spans="1:15" x14ac:dyDescent="0.35">
      <c r="A1488" s="27" t="s">
        <v>2064</v>
      </c>
      <c r="B1488" s="12">
        <v>46110</v>
      </c>
      <c r="C1488" s="11" t="s">
        <v>32</v>
      </c>
      <c r="D1488" s="11" t="s">
        <v>13</v>
      </c>
      <c r="E1488" s="11">
        <v>-2</v>
      </c>
      <c r="F1488" s="11">
        <f t="shared" si="47"/>
        <v>-2</v>
      </c>
      <c r="G1488" s="11" t="s">
        <v>14</v>
      </c>
      <c r="H1488" s="11" t="s">
        <v>33</v>
      </c>
      <c r="I1488" s="11" t="s">
        <v>34</v>
      </c>
      <c r="J1488" s="11">
        <v>20</v>
      </c>
      <c r="K1488" s="11">
        <v>35</v>
      </c>
      <c r="L1488" s="11"/>
      <c r="M1488" s="11">
        <f t="shared" si="46"/>
        <v>40</v>
      </c>
      <c r="N1488" s="11">
        <f>IF(Table1[[#This Row],[Transaction Type]]="Sale",ABS(E1488)*K1488,0)</f>
        <v>70</v>
      </c>
      <c r="O1488" s="29">
        <f>IF(Table1[[#This Row],[Transaction Type]]="Purchase",E1488*J1488,0)</f>
        <v>0</v>
      </c>
    </row>
    <row r="1489" spans="1:15" x14ac:dyDescent="0.35">
      <c r="A1489" s="27" t="s">
        <v>2065</v>
      </c>
      <c r="B1489" s="12">
        <v>46111</v>
      </c>
      <c r="C1489" s="11" t="s">
        <v>77</v>
      </c>
      <c r="D1489" s="11" t="s">
        <v>40</v>
      </c>
      <c r="E1489" s="11">
        <v>40</v>
      </c>
      <c r="F1489" s="11">
        <f t="shared" si="47"/>
        <v>40</v>
      </c>
      <c r="G1489" s="11" t="s">
        <v>14</v>
      </c>
      <c r="H1489" s="11" t="s">
        <v>78</v>
      </c>
      <c r="I1489" s="11" t="s">
        <v>16</v>
      </c>
      <c r="J1489" s="11">
        <v>25</v>
      </c>
      <c r="K1489" s="11">
        <v>42</v>
      </c>
      <c r="L1489" s="11" t="s">
        <v>2066</v>
      </c>
      <c r="M1489" s="11">
        <f t="shared" si="46"/>
        <v>1000</v>
      </c>
      <c r="N1489" s="11">
        <f>IF(Table1[[#This Row],[Transaction Type]]="Sale",ABS(E1489)*K1489,0)</f>
        <v>0</v>
      </c>
      <c r="O1489" s="29">
        <f>IF(Table1[[#This Row],[Transaction Type]]="Purchase",E1489*J1489,0)</f>
        <v>1000</v>
      </c>
    </row>
    <row r="1490" spans="1:15" x14ac:dyDescent="0.35">
      <c r="A1490" s="27" t="s">
        <v>2067</v>
      </c>
      <c r="B1490" s="12">
        <v>46111</v>
      </c>
      <c r="C1490" s="11" t="s">
        <v>73</v>
      </c>
      <c r="D1490" s="11" t="s">
        <v>40</v>
      </c>
      <c r="E1490" s="11">
        <v>101</v>
      </c>
      <c r="F1490" s="11">
        <f t="shared" si="47"/>
        <v>101</v>
      </c>
      <c r="G1490" s="11" t="s">
        <v>14</v>
      </c>
      <c r="H1490" s="11" t="s">
        <v>74</v>
      </c>
      <c r="I1490" s="11" t="s">
        <v>75</v>
      </c>
      <c r="J1490" s="11">
        <v>30</v>
      </c>
      <c r="K1490" s="11">
        <v>48</v>
      </c>
      <c r="L1490" s="11" t="s">
        <v>2068</v>
      </c>
      <c r="M1490" s="11">
        <f t="shared" si="46"/>
        <v>3030</v>
      </c>
      <c r="N1490" s="11">
        <f>IF(Table1[[#This Row],[Transaction Type]]="Sale",ABS(E1490)*K1490,0)</f>
        <v>0</v>
      </c>
      <c r="O1490" s="29">
        <f>IF(Table1[[#This Row],[Transaction Type]]="Purchase",E1490*J1490,0)</f>
        <v>3030</v>
      </c>
    </row>
    <row r="1491" spans="1:15" x14ac:dyDescent="0.35">
      <c r="A1491" s="27" t="s">
        <v>2069</v>
      </c>
      <c r="B1491" s="12">
        <v>46112</v>
      </c>
      <c r="C1491" s="11" t="s">
        <v>65</v>
      </c>
      <c r="D1491" s="11" t="s">
        <v>40</v>
      </c>
      <c r="E1491" s="11">
        <v>73</v>
      </c>
      <c r="F1491" s="11">
        <f t="shared" si="47"/>
        <v>73</v>
      </c>
      <c r="G1491" s="11" t="s">
        <v>24</v>
      </c>
      <c r="H1491" s="11" t="s">
        <v>67</v>
      </c>
      <c r="I1491" s="11" t="s">
        <v>21</v>
      </c>
      <c r="J1491" s="11">
        <v>11</v>
      </c>
      <c r="K1491" s="11">
        <v>22</v>
      </c>
      <c r="L1491" s="11" t="s">
        <v>2070</v>
      </c>
      <c r="M1491" s="11">
        <f t="shared" si="46"/>
        <v>803</v>
      </c>
      <c r="N1491" s="11">
        <f>IF(Table1[[#This Row],[Transaction Type]]="Sale",ABS(E1491)*K1491,0)</f>
        <v>0</v>
      </c>
      <c r="O1491" s="29">
        <f>IF(Table1[[#This Row],[Transaction Type]]="Purchase",E1491*J1491,0)</f>
        <v>803</v>
      </c>
    </row>
    <row r="1492" spans="1:15" x14ac:dyDescent="0.35">
      <c r="A1492" s="27" t="s">
        <v>2071</v>
      </c>
      <c r="B1492" s="12">
        <v>46112</v>
      </c>
      <c r="C1492" s="11" t="s">
        <v>23</v>
      </c>
      <c r="D1492" s="11" t="s">
        <v>13</v>
      </c>
      <c r="E1492" s="11">
        <v>-2</v>
      </c>
      <c r="F1492" s="11">
        <f t="shared" si="47"/>
        <v>-2</v>
      </c>
      <c r="G1492" s="11" t="s">
        <v>24</v>
      </c>
      <c r="H1492" s="11" t="s">
        <v>25</v>
      </c>
      <c r="I1492" s="11" t="s">
        <v>26</v>
      </c>
      <c r="J1492" s="11">
        <v>3</v>
      </c>
      <c r="K1492" s="11">
        <v>7</v>
      </c>
      <c r="L1492" s="11"/>
      <c r="M1492" s="11">
        <f t="shared" si="46"/>
        <v>6</v>
      </c>
      <c r="N1492" s="11">
        <f>IF(Table1[[#This Row],[Transaction Type]]="Sale",ABS(E1492)*K1492,0)</f>
        <v>14</v>
      </c>
      <c r="O1492" s="29">
        <f>IF(Table1[[#This Row],[Transaction Type]]="Purchase",E1492*J1492,0)</f>
        <v>0</v>
      </c>
    </row>
    <row r="1493" spans="1:15" x14ac:dyDescent="0.35">
      <c r="A1493" s="27" t="s">
        <v>2072</v>
      </c>
      <c r="B1493" s="12">
        <v>46112</v>
      </c>
      <c r="C1493" s="11" t="s">
        <v>48</v>
      </c>
      <c r="D1493" s="11" t="s">
        <v>13</v>
      </c>
      <c r="E1493" s="11">
        <v>-10</v>
      </c>
      <c r="F1493" s="11">
        <f t="shared" si="47"/>
        <v>-10</v>
      </c>
      <c r="G1493" s="11" t="s">
        <v>24</v>
      </c>
      <c r="H1493" s="11" t="s">
        <v>49</v>
      </c>
      <c r="I1493" s="11" t="s">
        <v>21</v>
      </c>
      <c r="J1493" s="11">
        <v>8.5</v>
      </c>
      <c r="K1493" s="11">
        <v>18</v>
      </c>
      <c r="L1493" s="11"/>
      <c r="M1493" s="11">
        <f t="shared" si="46"/>
        <v>85</v>
      </c>
      <c r="N1493" s="11">
        <f>IF(Table1[[#This Row],[Transaction Type]]="Sale",ABS(E1493)*K1493,0)</f>
        <v>180</v>
      </c>
      <c r="O1493" s="29">
        <f>IF(Table1[[#This Row],[Transaction Type]]="Purchase",E1493*J1493,0)</f>
        <v>0</v>
      </c>
    </row>
    <row r="1494" spans="1:15" x14ac:dyDescent="0.35">
      <c r="A1494" s="27" t="s">
        <v>2073</v>
      </c>
      <c r="B1494" s="12">
        <v>46112</v>
      </c>
      <c r="C1494" s="11" t="s">
        <v>194</v>
      </c>
      <c r="D1494" s="11" t="s">
        <v>13</v>
      </c>
      <c r="E1494" s="11">
        <v>-13</v>
      </c>
      <c r="F1494" s="11">
        <f t="shared" si="47"/>
        <v>-13</v>
      </c>
      <c r="G1494" s="11" t="s">
        <v>14</v>
      </c>
      <c r="H1494" s="11" t="s">
        <v>195</v>
      </c>
      <c r="I1494" s="11" t="s">
        <v>21</v>
      </c>
      <c r="J1494" s="11">
        <v>220</v>
      </c>
      <c r="K1494" s="11">
        <v>320</v>
      </c>
      <c r="L1494" s="11"/>
      <c r="M1494" s="11">
        <f t="shared" si="46"/>
        <v>2860</v>
      </c>
      <c r="N1494" s="11">
        <f>IF(Table1[[#This Row],[Transaction Type]]="Sale",ABS(E1494)*K1494,0)</f>
        <v>4160</v>
      </c>
      <c r="O1494" s="29">
        <f>IF(Table1[[#This Row],[Transaction Type]]="Purchase",E1494*J1494,0)</f>
        <v>0</v>
      </c>
    </row>
    <row r="1495" spans="1:15" x14ac:dyDescent="0.35">
      <c r="A1495" s="27" t="s">
        <v>2074</v>
      </c>
      <c r="B1495" s="12">
        <v>46113</v>
      </c>
      <c r="C1495" s="11" t="s">
        <v>73</v>
      </c>
      <c r="D1495" s="11" t="s">
        <v>40</v>
      </c>
      <c r="E1495" s="11">
        <v>39</v>
      </c>
      <c r="F1495" s="11">
        <f t="shared" si="47"/>
        <v>39</v>
      </c>
      <c r="G1495" s="11" t="s">
        <v>24</v>
      </c>
      <c r="H1495" s="11" t="s">
        <v>74</v>
      </c>
      <c r="I1495" s="11" t="s">
        <v>75</v>
      </c>
      <c r="J1495" s="11">
        <v>30</v>
      </c>
      <c r="K1495" s="11">
        <v>48</v>
      </c>
      <c r="L1495" s="11" t="s">
        <v>2075</v>
      </c>
      <c r="M1495" s="11">
        <f t="shared" si="46"/>
        <v>1170</v>
      </c>
      <c r="N1495" s="11">
        <f>IF(Table1[[#This Row],[Transaction Type]]="Sale",ABS(E1495)*K1495,0)</f>
        <v>0</v>
      </c>
      <c r="O1495" s="29">
        <f>IF(Table1[[#This Row],[Transaction Type]]="Purchase",E1495*J1495,0)</f>
        <v>1170</v>
      </c>
    </row>
    <row r="1496" spans="1:15" x14ac:dyDescent="0.35">
      <c r="A1496" s="27" t="s">
        <v>2076</v>
      </c>
      <c r="B1496" s="12">
        <v>46113</v>
      </c>
      <c r="C1496" s="11" t="s">
        <v>12</v>
      </c>
      <c r="D1496" s="11" t="s">
        <v>13</v>
      </c>
      <c r="E1496" s="11">
        <v>-6</v>
      </c>
      <c r="F1496" s="11">
        <f t="shared" si="47"/>
        <v>-6</v>
      </c>
      <c r="G1496" s="11" t="s">
        <v>14</v>
      </c>
      <c r="H1496" s="11" t="s">
        <v>15</v>
      </c>
      <c r="I1496" s="11" t="s">
        <v>16</v>
      </c>
      <c r="J1496" s="11">
        <v>13.5</v>
      </c>
      <c r="K1496" s="11">
        <v>24</v>
      </c>
      <c r="L1496" s="11"/>
      <c r="M1496" s="11">
        <f t="shared" si="46"/>
        <v>81</v>
      </c>
      <c r="N1496" s="11">
        <f>IF(Table1[[#This Row],[Transaction Type]]="Sale",ABS(E1496)*K1496,0)</f>
        <v>144</v>
      </c>
      <c r="O1496" s="29">
        <f>IF(Table1[[#This Row],[Transaction Type]]="Purchase",E1496*J1496,0)</f>
        <v>0</v>
      </c>
    </row>
    <row r="1497" spans="1:15" x14ac:dyDescent="0.35">
      <c r="A1497" s="27" t="s">
        <v>2077</v>
      </c>
      <c r="B1497" s="12">
        <v>46114</v>
      </c>
      <c r="C1497" s="11" t="s">
        <v>69</v>
      </c>
      <c r="D1497" s="11" t="s">
        <v>40</v>
      </c>
      <c r="E1497" s="11">
        <v>22</v>
      </c>
      <c r="F1497" s="11">
        <f t="shared" si="47"/>
        <v>22</v>
      </c>
      <c r="G1497" s="11" t="s">
        <v>14</v>
      </c>
      <c r="H1497" s="11" t="s">
        <v>70</v>
      </c>
      <c r="I1497" s="11" t="s">
        <v>16</v>
      </c>
      <c r="J1497" s="11">
        <v>23</v>
      </c>
      <c r="K1497" s="11">
        <v>38</v>
      </c>
      <c r="L1497" s="11" t="s">
        <v>2078</v>
      </c>
      <c r="M1497" s="11">
        <f t="shared" si="46"/>
        <v>506</v>
      </c>
      <c r="N1497" s="11">
        <f>IF(Table1[[#This Row],[Transaction Type]]="Sale",ABS(E1497)*K1497,0)</f>
        <v>0</v>
      </c>
      <c r="O1497" s="29">
        <f>IF(Table1[[#This Row],[Transaction Type]]="Purchase",E1497*J1497,0)</f>
        <v>506</v>
      </c>
    </row>
    <row r="1498" spans="1:15" x14ac:dyDescent="0.35">
      <c r="A1498" s="27" t="s">
        <v>2079</v>
      </c>
      <c r="B1498" s="12">
        <v>46114</v>
      </c>
      <c r="C1498" s="11" t="s">
        <v>23</v>
      </c>
      <c r="D1498" s="11" t="s">
        <v>40</v>
      </c>
      <c r="E1498" s="11">
        <v>106</v>
      </c>
      <c r="F1498" s="11">
        <f t="shared" si="47"/>
        <v>106</v>
      </c>
      <c r="G1498" s="11" t="s">
        <v>14</v>
      </c>
      <c r="H1498" s="11" t="s">
        <v>25</v>
      </c>
      <c r="I1498" s="11" t="s">
        <v>26</v>
      </c>
      <c r="J1498" s="11">
        <v>3</v>
      </c>
      <c r="K1498" s="11">
        <v>7</v>
      </c>
      <c r="L1498" s="11" t="s">
        <v>2080</v>
      </c>
      <c r="M1498" s="11">
        <f t="shared" si="46"/>
        <v>318</v>
      </c>
      <c r="N1498" s="11">
        <f>IF(Table1[[#This Row],[Transaction Type]]="Sale",ABS(E1498)*K1498,0)</f>
        <v>0</v>
      </c>
      <c r="O1498" s="29">
        <f>IF(Table1[[#This Row],[Transaction Type]]="Purchase",E1498*J1498,0)</f>
        <v>318</v>
      </c>
    </row>
    <row r="1499" spans="1:15" x14ac:dyDescent="0.35">
      <c r="A1499" s="27" t="s">
        <v>2081</v>
      </c>
      <c r="B1499" s="12">
        <v>46115</v>
      </c>
      <c r="C1499" s="11" t="s">
        <v>32</v>
      </c>
      <c r="D1499" s="11" t="s">
        <v>40</v>
      </c>
      <c r="E1499" s="11">
        <v>80</v>
      </c>
      <c r="F1499" s="11">
        <f t="shared" si="47"/>
        <v>80</v>
      </c>
      <c r="G1499" s="11" t="s">
        <v>19</v>
      </c>
      <c r="H1499" s="11" t="s">
        <v>33</v>
      </c>
      <c r="I1499" s="11" t="s">
        <v>34</v>
      </c>
      <c r="J1499" s="11">
        <v>20</v>
      </c>
      <c r="K1499" s="11">
        <v>35</v>
      </c>
      <c r="L1499" s="11" t="s">
        <v>2082</v>
      </c>
      <c r="M1499" s="11">
        <f t="shared" si="46"/>
        <v>1600</v>
      </c>
      <c r="N1499" s="11">
        <f>IF(Table1[[#This Row],[Transaction Type]]="Sale",ABS(E1499)*K1499,0)</f>
        <v>0</v>
      </c>
      <c r="O1499" s="29">
        <f>IF(Table1[[#This Row],[Transaction Type]]="Purchase",E1499*J1499,0)</f>
        <v>1600</v>
      </c>
    </row>
    <row r="1500" spans="1:15" x14ac:dyDescent="0.35">
      <c r="A1500" s="27" t="s">
        <v>2083</v>
      </c>
      <c r="B1500" s="12">
        <v>46116</v>
      </c>
      <c r="C1500" s="11" t="s">
        <v>18</v>
      </c>
      <c r="D1500" s="11" t="s">
        <v>40</v>
      </c>
      <c r="E1500" s="11">
        <v>20</v>
      </c>
      <c r="F1500" s="11">
        <f t="shared" si="47"/>
        <v>20</v>
      </c>
      <c r="G1500" s="11" t="s">
        <v>24</v>
      </c>
      <c r="H1500" s="11" t="s">
        <v>20</v>
      </c>
      <c r="I1500" s="11" t="s">
        <v>21</v>
      </c>
      <c r="J1500" s="11">
        <v>2.6</v>
      </c>
      <c r="K1500" s="11">
        <v>5.5</v>
      </c>
      <c r="L1500" s="11" t="s">
        <v>2084</v>
      </c>
      <c r="M1500" s="11">
        <f t="shared" si="46"/>
        <v>52</v>
      </c>
      <c r="N1500" s="11">
        <f>IF(Table1[[#This Row],[Transaction Type]]="Sale",ABS(E1500)*K1500,0)</f>
        <v>0</v>
      </c>
      <c r="O1500" s="29">
        <f>IF(Table1[[#This Row],[Transaction Type]]="Purchase",E1500*J1500,0)</f>
        <v>52</v>
      </c>
    </row>
    <row r="1501" spans="1:15" x14ac:dyDescent="0.35">
      <c r="A1501" s="27" t="s">
        <v>2085</v>
      </c>
      <c r="B1501" s="12">
        <v>46116</v>
      </c>
      <c r="C1501" s="11" t="s">
        <v>141</v>
      </c>
      <c r="D1501" s="11" t="s">
        <v>66</v>
      </c>
      <c r="E1501" s="11">
        <v>4</v>
      </c>
      <c r="F1501" s="11">
        <f t="shared" si="47"/>
        <v>4</v>
      </c>
      <c r="G1501" s="11" t="s">
        <v>24</v>
      </c>
      <c r="H1501" s="11" t="s">
        <v>25</v>
      </c>
      <c r="I1501" s="11" t="s">
        <v>26</v>
      </c>
      <c r="J1501" s="11">
        <v>4</v>
      </c>
      <c r="K1501" s="11">
        <v>9</v>
      </c>
      <c r="L1501" s="11"/>
      <c r="M1501" s="11">
        <f t="shared" si="46"/>
        <v>16</v>
      </c>
      <c r="N1501" s="11">
        <f>IF(Table1[[#This Row],[Transaction Type]]="Sale",ABS(E1501)*K1501,0)</f>
        <v>0</v>
      </c>
      <c r="O1501" s="29">
        <f>IF(Table1[[#This Row],[Transaction Type]]="Purchase",E1501*J1501,0)</f>
        <v>0</v>
      </c>
    </row>
    <row r="1502" spans="1:15" x14ac:dyDescent="0.35">
      <c r="A1502" s="27" t="s">
        <v>2086</v>
      </c>
      <c r="B1502" s="12">
        <v>46116</v>
      </c>
      <c r="C1502" s="11" t="s">
        <v>52</v>
      </c>
      <c r="D1502" s="11" t="s">
        <v>13</v>
      </c>
      <c r="E1502" s="11">
        <v>-6</v>
      </c>
      <c r="F1502" s="11">
        <f t="shared" si="47"/>
        <v>-6</v>
      </c>
      <c r="G1502" s="11" t="s">
        <v>24</v>
      </c>
      <c r="H1502" s="11" t="s">
        <v>20</v>
      </c>
      <c r="I1502" s="11" t="s">
        <v>21</v>
      </c>
      <c r="J1502" s="11">
        <v>5.5</v>
      </c>
      <c r="K1502" s="11">
        <v>12</v>
      </c>
      <c r="L1502" s="11"/>
      <c r="M1502" s="11">
        <f t="shared" si="46"/>
        <v>33</v>
      </c>
      <c r="N1502" s="11">
        <f>IF(Table1[[#This Row],[Transaction Type]]="Sale",ABS(E1502)*K1502,0)</f>
        <v>72</v>
      </c>
      <c r="O1502" s="29">
        <f>IF(Table1[[#This Row],[Transaction Type]]="Purchase",E1502*J1502,0)</f>
        <v>0</v>
      </c>
    </row>
    <row r="1503" spans="1:15" x14ac:dyDescent="0.35">
      <c r="A1503" s="27" t="s">
        <v>2087</v>
      </c>
      <c r="B1503" s="12">
        <v>46116</v>
      </c>
      <c r="C1503" s="11" t="s">
        <v>185</v>
      </c>
      <c r="D1503" s="11" t="s">
        <v>40</v>
      </c>
      <c r="E1503" s="11">
        <v>53</v>
      </c>
      <c r="F1503" s="11">
        <f t="shared" si="47"/>
        <v>53</v>
      </c>
      <c r="G1503" s="11" t="s">
        <v>24</v>
      </c>
      <c r="H1503" s="11" t="s">
        <v>44</v>
      </c>
      <c r="I1503" s="11" t="s">
        <v>45</v>
      </c>
      <c r="J1503" s="11">
        <v>63</v>
      </c>
      <c r="K1503" s="11">
        <v>95</v>
      </c>
      <c r="L1503" s="11" t="s">
        <v>2088</v>
      </c>
      <c r="M1503" s="11">
        <f t="shared" si="46"/>
        <v>3339</v>
      </c>
      <c r="N1503" s="11">
        <f>IF(Table1[[#This Row],[Transaction Type]]="Sale",ABS(E1503)*K1503,0)</f>
        <v>0</v>
      </c>
      <c r="O1503" s="29">
        <f>IF(Table1[[#This Row],[Transaction Type]]="Purchase",E1503*J1503,0)</f>
        <v>3339</v>
      </c>
    </row>
    <row r="1504" spans="1:15" x14ac:dyDescent="0.35">
      <c r="A1504" s="27" t="s">
        <v>2089</v>
      </c>
      <c r="B1504" s="12">
        <v>46117</v>
      </c>
      <c r="C1504" s="11" t="s">
        <v>12</v>
      </c>
      <c r="D1504" s="11" t="s">
        <v>58</v>
      </c>
      <c r="E1504" s="11">
        <v>-8</v>
      </c>
      <c r="F1504" s="11">
        <f t="shared" si="47"/>
        <v>-8</v>
      </c>
      <c r="G1504" s="11" t="s">
        <v>24</v>
      </c>
      <c r="H1504" s="11" t="s">
        <v>15</v>
      </c>
      <c r="I1504" s="11" t="s">
        <v>16</v>
      </c>
      <c r="J1504" s="11">
        <v>13.5</v>
      </c>
      <c r="K1504" s="11">
        <v>24</v>
      </c>
      <c r="L1504" s="11"/>
      <c r="M1504" s="11">
        <f t="shared" si="46"/>
        <v>108</v>
      </c>
      <c r="N1504" s="11">
        <f>IF(Table1[[#This Row],[Transaction Type]]="Sale",ABS(E1504)*K1504,0)</f>
        <v>0</v>
      </c>
      <c r="O1504" s="29">
        <f>IF(Table1[[#This Row],[Transaction Type]]="Purchase",E1504*J1504,0)</f>
        <v>0</v>
      </c>
    </row>
    <row r="1505" spans="1:15" x14ac:dyDescent="0.35">
      <c r="A1505" s="27" t="s">
        <v>2090</v>
      </c>
      <c r="B1505" s="12">
        <v>46117</v>
      </c>
      <c r="C1505" s="11" t="s">
        <v>94</v>
      </c>
      <c r="D1505" s="11" t="s">
        <v>13</v>
      </c>
      <c r="E1505" s="11">
        <v>-9</v>
      </c>
      <c r="F1505" s="11">
        <f t="shared" si="47"/>
        <v>-9</v>
      </c>
      <c r="G1505" s="11" t="s">
        <v>19</v>
      </c>
      <c r="H1505" s="11" t="s">
        <v>95</v>
      </c>
      <c r="I1505" s="11" t="s">
        <v>16</v>
      </c>
      <c r="J1505" s="11">
        <v>18.5</v>
      </c>
      <c r="K1505" s="11">
        <v>31</v>
      </c>
      <c r="L1505" s="11"/>
      <c r="M1505" s="11">
        <f t="shared" si="46"/>
        <v>166.5</v>
      </c>
      <c r="N1505" s="11">
        <f>IF(Table1[[#This Row],[Transaction Type]]="Sale",ABS(E1505)*K1505,0)</f>
        <v>279</v>
      </c>
      <c r="O1505" s="29">
        <f>IF(Table1[[#This Row],[Transaction Type]]="Purchase",E1505*J1505,0)</f>
        <v>0</v>
      </c>
    </row>
    <row r="1506" spans="1:15" x14ac:dyDescent="0.35">
      <c r="A1506" s="27" t="s">
        <v>2091</v>
      </c>
      <c r="B1506" s="12">
        <v>46117</v>
      </c>
      <c r="C1506" s="11" t="s">
        <v>36</v>
      </c>
      <c r="D1506" s="11" t="s">
        <v>40</v>
      </c>
      <c r="E1506" s="11">
        <v>54</v>
      </c>
      <c r="F1506" s="11">
        <f t="shared" si="47"/>
        <v>54</v>
      </c>
      <c r="G1506" s="11" t="s">
        <v>24</v>
      </c>
      <c r="H1506" s="11" t="s">
        <v>37</v>
      </c>
      <c r="I1506" s="11" t="s">
        <v>16</v>
      </c>
      <c r="J1506" s="11">
        <v>7.2</v>
      </c>
      <c r="K1506" s="11">
        <v>12.5</v>
      </c>
      <c r="L1506" s="11" t="s">
        <v>2092</v>
      </c>
      <c r="M1506" s="11">
        <f t="shared" si="46"/>
        <v>388.8</v>
      </c>
      <c r="N1506" s="11">
        <f>IF(Table1[[#This Row],[Transaction Type]]="Sale",ABS(E1506)*K1506,0)</f>
        <v>0</v>
      </c>
      <c r="O1506" s="29">
        <f>IF(Table1[[#This Row],[Transaction Type]]="Purchase",E1506*J1506,0)</f>
        <v>388.8</v>
      </c>
    </row>
    <row r="1507" spans="1:15" x14ac:dyDescent="0.35">
      <c r="A1507" s="27" t="s">
        <v>2093</v>
      </c>
      <c r="B1507" s="12">
        <v>46118</v>
      </c>
      <c r="C1507" s="11" t="s">
        <v>139</v>
      </c>
      <c r="D1507" s="11" t="s">
        <v>13</v>
      </c>
      <c r="E1507" s="11">
        <v>-13</v>
      </c>
      <c r="F1507" s="11">
        <f t="shared" si="47"/>
        <v>-13</v>
      </c>
      <c r="G1507" s="11" t="s">
        <v>14</v>
      </c>
      <c r="H1507" s="11" t="s">
        <v>56</v>
      </c>
      <c r="I1507" s="11" t="s">
        <v>16</v>
      </c>
      <c r="J1507" s="11">
        <v>16.5</v>
      </c>
      <c r="K1507" s="11">
        <v>28</v>
      </c>
      <c r="L1507" s="11"/>
      <c r="M1507" s="11">
        <f t="shared" si="46"/>
        <v>214.5</v>
      </c>
      <c r="N1507" s="11">
        <f>IF(Table1[[#This Row],[Transaction Type]]="Sale",ABS(E1507)*K1507,0)</f>
        <v>364</v>
      </c>
      <c r="O1507" s="29">
        <f>IF(Table1[[#This Row],[Transaction Type]]="Purchase",E1507*J1507,0)</f>
        <v>0</v>
      </c>
    </row>
    <row r="1508" spans="1:15" x14ac:dyDescent="0.35">
      <c r="A1508" s="27" t="s">
        <v>2094</v>
      </c>
      <c r="B1508" s="12">
        <v>46118</v>
      </c>
      <c r="C1508" s="11" t="s">
        <v>29</v>
      </c>
      <c r="D1508" s="11" t="s">
        <v>13</v>
      </c>
      <c r="E1508" s="11">
        <v>-7</v>
      </c>
      <c r="F1508" s="11">
        <f t="shared" si="47"/>
        <v>-7</v>
      </c>
      <c r="G1508" s="11" t="s">
        <v>14</v>
      </c>
      <c r="H1508" s="11" t="s">
        <v>30</v>
      </c>
      <c r="I1508" s="11" t="s">
        <v>16</v>
      </c>
      <c r="J1508" s="11">
        <v>8.8000000000000007</v>
      </c>
      <c r="K1508" s="11">
        <v>17</v>
      </c>
      <c r="L1508" s="11"/>
      <c r="M1508" s="11">
        <f t="shared" si="46"/>
        <v>61.600000000000009</v>
      </c>
      <c r="N1508" s="11">
        <f>IF(Table1[[#This Row],[Transaction Type]]="Sale",ABS(E1508)*K1508,0)</f>
        <v>119</v>
      </c>
      <c r="O1508" s="29">
        <f>IF(Table1[[#This Row],[Transaction Type]]="Purchase",E1508*J1508,0)</f>
        <v>0</v>
      </c>
    </row>
    <row r="1509" spans="1:15" x14ac:dyDescent="0.35">
      <c r="A1509" s="27" t="s">
        <v>2095</v>
      </c>
      <c r="B1509" s="12">
        <v>46118</v>
      </c>
      <c r="C1509" s="11" t="s">
        <v>29</v>
      </c>
      <c r="D1509" s="11" t="s">
        <v>13</v>
      </c>
      <c r="E1509" s="11">
        <v>-13</v>
      </c>
      <c r="F1509" s="11">
        <f t="shared" si="47"/>
        <v>-13</v>
      </c>
      <c r="G1509" s="11" t="s">
        <v>14</v>
      </c>
      <c r="H1509" s="11" t="s">
        <v>30</v>
      </c>
      <c r="I1509" s="11" t="s">
        <v>16</v>
      </c>
      <c r="J1509" s="11">
        <v>8.8000000000000007</v>
      </c>
      <c r="K1509" s="11">
        <v>17</v>
      </c>
      <c r="L1509" s="11"/>
      <c r="M1509" s="11">
        <f t="shared" si="46"/>
        <v>114.4</v>
      </c>
      <c r="N1509" s="11">
        <f>IF(Table1[[#This Row],[Transaction Type]]="Sale",ABS(E1509)*K1509,0)</f>
        <v>221</v>
      </c>
      <c r="O1509" s="29">
        <f>IF(Table1[[#This Row],[Transaction Type]]="Purchase",E1509*J1509,0)</f>
        <v>0</v>
      </c>
    </row>
    <row r="1510" spans="1:15" x14ac:dyDescent="0.35">
      <c r="A1510" s="27" t="s">
        <v>2096</v>
      </c>
      <c r="B1510" s="12">
        <v>46118</v>
      </c>
      <c r="C1510" s="11" t="s">
        <v>141</v>
      </c>
      <c r="D1510" s="11" t="s">
        <v>13</v>
      </c>
      <c r="E1510" s="11">
        <v>-8</v>
      </c>
      <c r="F1510" s="11">
        <f t="shared" si="47"/>
        <v>-8</v>
      </c>
      <c r="G1510" s="11" t="s">
        <v>14</v>
      </c>
      <c r="H1510" s="11" t="s">
        <v>25</v>
      </c>
      <c r="I1510" s="11" t="s">
        <v>26</v>
      </c>
      <c r="J1510" s="11">
        <v>4</v>
      </c>
      <c r="K1510" s="11">
        <v>9</v>
      </c>
      <c r="L1510" s="11"/>
      <c r="M1510" s="11">
        <f t="shared" si="46"/>
        <v>32</v>
      </c>
      <c r="N1510" s="11">
        <f>IF(Table1[[#This Row],[Transaction Type]]="Sale",ABS(E1510)*K1510,0)</f>
        <v>72</v>
      </c>
      <c r="O1510" s="29">
        <f>IF(Table1[[#This Row],[Transaction Type]]="Purchase",E1510*J1510,0)</f>
        <v>0</v>
      </c>
    </row>
    <row r="1511" spans="1:15" x14ac:dyDescent="0.35">
      <c r="A1511" s="27" t="s">
        <v>2097</v>
      </c>
      <c r="B1511" s="12">
        <v>46118</v>
      </c>
      <c r="C1511" s="11" t="s">
        <v>87</v>
      </c>
      <c r="D1511" s="11" t="s">
        <v>13</v>
      </c>
      <c r="E1511" s="11">
        <v>-1</v>
      </c>
      <c r="F1511" s="11">
        <f t="shared" si="47"/>
        <v>-1</v>
      </c>
      <c r="G1511" s="11" t="s">
        <v>24</v>
      </c>
      <c r="H1511" s="11" t="s">
        <v>88</v>
      </c>
      <c r="I1511" s="11" t="s">
        <v>16</v>
      </c>
      <c r="J1511" s="11">
        <v>6</v>
      </c>
      <c r="K1511" s="11">
        <v>14</v>
      </c>
      <c r="L1511" s="11"/>
      <c r="M1511" s="11">
        <f t="shared" si="46"/>
        <v>6</v>
      </c>
      <c r="N1511" s="11">
        <f>IF(Table1[[#This Row],[Transaction Type]]="Sale",ABS(E1511)*K1511,0)</f>
        <v>14</v>
      </c>
      <c r="O1511" s="29">
        <f>IF(Table1[[#This Row],[Transaction Type]]="Purchase",E1511*J1511,0)</f>
        <v>0</v>
      </c>
    </row>
    <row r="1512" spans="1:15" x14ac:dyDescent="0.35">
      <c r="A1512" s="27" t="s">
        <v>2098</v>
      </c>
      <c r="B1512" s="12">
        <v>46119</v>
      </c>
      <c r="C1512" s="11" t="s">
        <v>794</v>
      </c>
      <c r="D1512" s="11" t="s">
        <v>13</v>
      </c>
      <c r="E1512" s="11">
        <v>-9</v>
      </c>
      <c r="F1512" s="11">
        <f t="shared" si="47"/>
        <v>-9</v>
      </c>
      <c r="G1512" s="11" t="s">
        <v>14</v>
      </c>
      <c r="H1512" s="11" t="s">
        <v>74</v>
      </c>
      <c r="I1512" s="11" t="s">
        <v>75</v>
      </c>
      <c r="J1512" s="11">
        <v>82</v>
      </c>
      <c r="K1512" s="11">
        <v>135</v>
      </c>
      <c r="L1512" s="11"/>
      <c r="M1512" s="11">
        <f t="shared" si="46"/>
        <v>738</v>
      </c>
      <c r="N1512" s="11">
        <f>IF(Table1[[#This Row],[Transaction Type]]="Sale",ABS(E1512)*K1512,0)</f>
        <v>1215</v>
      </c>
      <c r="O1512" s="29">
        <f>IF(Table1[[#This Row],[Transaction Type]]="Purchase",E1512*J1512,0)</f>
        <v>0</v>
      </c>
    </row>
    <row r="1513" spans="1:15" x14ac:dyDescent="0.35">
      <c r="A1513" s="27" t="s">
        <v>2099</v>
      </c>
      <c r="B1513" s="12">
        <v>46119</v>
      </c>
      <c r="C1513" s="11" t="s">
        <v>29</v>
      </c>
      <c r="D1513" s="11" t="s">
        <v>13</v>
      </c>
      <c r="E1513" s="11">
        <v>-8</v>
      </c>
      <c r="F1513" s="11">
        <f t="shared" si="47"/>
        <v>-8</v>
      </c>
      <c r="G1513" s="11" t="s">
        <v>14</v>
      </c>
      <c r="H1513" s="11" t="s">
        <v>30</v>
      </c>
      <c r="I1513" s="11" t="s">
        <v>16</v>
      </c>
      <c r="J1513" s="11">
        <v>8.8000000000000007</v>
      </c>
      <c r="K1513" s="11">
        <v>17</v>
      </c>
      <c r="L1513" s="11"/>
      <c r="M1513" s="11">
        <f t="shared" si="46"/>
        <v>70.400000000000006</v>
      </c>
      <c r="N1513" s="11">
        <f>IF(Table1[[#This Row],[Transaction Type]]="Sale",ABS(E1513)*K1513,0)</f>
        <v>136</v>
      </c>
      <c r="O1513" s="29">
        <f>IF(Table1[[#This Row],[Transaction Type]]="Purchase",E1513*J1513,0)</f>
        <v>0</v>
      </c>
    </row>
    <row r="1514" spans="1:15" x14ac:dyDescent="0.35">
      <c r="A1514" s="27" t="s">
        <v>2100</v>
      </c>
      <c r="B1514" s="12">
        <v>46119</v>
      </c>
      <c r="C1514" s="11" t="s">
        <v>109</v>
      </c>
      <c r="D1514" s="11" t="s">
        <v>13</v>
      </c>
      <c r="E1514" s="11">
        <v>-3</v>
      </c>
      <c r="F1514" s="11">
        <f t="shared" si="47"/>
        <v>-3</v>
      </c>
      <c r="G1514" s="11" t="s">
        <v>24</v>
      </c>
      <c r="H1514" s="11" t="s">
        <v>110</v>
      </c>
      <c r="I1514" s="11" t="s">
        <v>26</v>
      </c>
      <c r="J1514" s="11">
        <v>105</v>
      </c>
      <c r="K1514" s="11">
        <v>165</v>
      </c>
      <c r="L1514" s="11"/>
      <c r="M1514" s="11">
        <f t="shared" si="46"/>
        <v>315</v>
      </c>
      <c r="N1514" s="11">
        <f>IF(Table1[[#This Row],[Transaction Type]]="Sale",ABS(E1514)*K1514,0)</f>
        <v>495</v>
      </c>
      <c r="O1514" s="29">
        <f>IF(Table1[[#This Row],[Transaction Type]]="Purchase",E1514*J1514,0)</f>
        <v>0</v>
      </c>
    </row>
    <row r="1515" spans="1:15" x14ac:dyDescent="0.35">
      <c r="A1515" s="27" t="s">
        <v>2101</v>
      </c>
      <c r="B1515" s="12">
        <v>46120</v>
      </c>
      <c r="C1515" s="11" t="s">
        <v>32</v>
      </c>
      <c r="D1515" s="11" t="s">
        <v>13</v>
      </c>
      <c r="E1515" s="11">
        <v>-12</v>
      </c>
      <c r="F1515" s="11">
        <f t="shared" si="47"/>
        <v>-12</v>
      </c>
      <c r="G1515" s="11" t="s">
        <v>14</v>
      </c>
      <c r="H1515" s="11" t="s">
        <v>33</v>
      </c>
      <c r="I1515" s="11" t="s">
        <v>34</v>
      </c>
      <c r="J1515" s="11">
        <v>20</v>
      </c>
      <c r="K1515" s="11">
        <v>35</v>
      </c>
      <c r="L1515" s="11"/>
      <c r="M1515" s="11">
        <f t="shared" si="46"/>
        <v>240</v>
      </c>
      <c r="N1515" s="11">
        <f>IF(Table1[[#This Row],[Transaction Type]]="Sale",ABS(E1515)*K1515,0)</f>
        <v>420</v>
      </c>
      <c r="O1515" s="29">
        <f>IF(Table1[[#This Row],[Transaction Type]]="Purchase",E1515*J1515,0)</f>
        <v>0</v>
      </c>
    </row>
    <row r="1516" spans="1:15" x14ac:dyDescent="0.35">
      <c r="A1516" s="27" t="s">
        <v>2102</v>
      </c>
      <c r="B1516" s="12">
        <v>46120</v>
      </c>
      <c r="C1516" s="11" t="s">
        <v>141</v>
      </c>
      <c r="D1516" s="11" t="s">
        <v>40</v>
      </c>
      <c r="E1516" s="11">
        <v>107</v>
      </c>
      <c r="F1516" s="11">
        <f t="shared" si="47"/>
        <v>107</v>
      </c>
      <c r="G1516" s="11" t="s">
        <v>19</v>
      </c>
      <c r="H1516" s="11" t="s">
        <v>25</v>
      </c>
      <c r="I1516" s="11" t="s">
        <v>26</v>
      </c>
      <c r="J1516" s="11">
        <v>4</v>
      </c>
      <c r="K1516" s="11">
        <v>9</v>
      </c>
      <c r="L1516" s="11" t="s">
        <v>2103</v>
      </c>
      <c r="M1516" s="11">
        <f t="shared" si="46"/>
        <v>428</v>
      </c>
      <c r="N1516" s="11">
        <f>IF(Table1[[#This Row],[Transaction Type]]="Sale",ABS(E1516)*K1516,0)</f>
        <v>0</v>
      </c>
      <c r="O1516" s="29">
        <f>IF(Table1[[#This Row],[Transaction Type]]="Purchase",E1516*J1516,0)</f>
        <v>428</v>
      </c>
    </row>
    <row r="1517" spans="1:15" x14ac:dyDescent="0.35">
      <c r="A1517" s="27" t="s">
        <v>2104</v>
      </c>
      <c r="B1517" s="12">
        <v>46120</v>
      </c>
      <c r="C1517" s="11" t="s">
        <v>98</v>
      </c>
      <c r="D1517" s="11" t="s">
        <v>40</v>
      </c>
      <c r="E1517" s="11">
        <v>52</v>
      </c>
      <c r="F1517" s="11">
        <f t="shared" si="47"/>
        <v>52</v>
      </c>
      <c r="G1517" s="11" t="s">
        <v>19</v>
      </c>
      <c r="H1517" s="11" t="s">
        <v>30</v>
      </c>
      <c r="I1517" s="11" t="s">
        <v>16</v>
      </c>
      <c r="J1517" s="11">
        <v>16</v>
      </c>
      <c r="K1517" s="11">
        <v>29</v>
      </c>
      <c r="L1517" s="11" t="s">
        <v>2105</v>
      </c>
      <c r="M1517" s="11">
        <f t="shared" si="46"/>
        <v>832</v>
      </c>
      <c r="N1517" s="11">
        <f>IF(Table1[[#This Row],[Transaction Type]]="Sale",ABS(E1517)*K1517,0)</f>
        <v>0</v>
      </c>
      <c r="O1517" s="29">
        <f>IF(Table1[[#This Row],[Transaction Type]]="Purchase",E1517*J1517,0)</f>
        <v>832</v>
      </c>
    </row>
    <row r="1518" spans="1:15" x14ac:dyDescent="0.35">
      <c r="A1518" s="27" t="s">
        <v>2106</v>
      </c>
      <c r="B1518" s="12">
        <v>46120</v>
      </c>
      <c r="C1518" s="11" t="s">
        <v>12</v>
      </c>
      <c r="D1518" s="11" t="s">
        <v>13</v>
      </c>
      <c r="E1518" s="11">
        <v>-9</v>
      </c>
      <c r="F1518" s="11">
        <f t="shared" si="47"/>
        <v>-9</v>
      </c>
      <c r="G1518" s="11" t="s">
        <v>14</v>
      </c>
      <c r="H1518" s="11" t="s">
        <v>15</v>
      </c>
      <c r="I1518" s="11" t="s">
        <v>16</v>
      </c>
      <c r="J1518" s="11">
        <v>13.5</v>
      </c>
      <c r="K1518" s="11">
        <v>24</v>
      </c>
      <c r="L1518" s="11"/>
      <c r="M1518" s="11">
        <f t="shared" si="46"/>
        <v>121.5</v>
      </c>
      <c r="N1518" s="11">
        <f>IF(Table1[[#This Row],[Transaction Type]]="Sale",ABS(E1518)*K1518,0)</f>
        <v>216</v>
      </c>
      <c r="O1518" s="29">
        <f>IF(Table1[[#This Row],[Transaction Type]]="Purchase",E1518*J1518,0)</f>
        <v>0</v>
      </c>
    </row>
    <row r="1519" spans="1:15" x14ac:dyDescent="0.35">
      <c r="A1519" s="27" t="s">
        <v>2107</v>
      </c>
      <c r="B1519" s="12">
        <v>46120</v>
      </c>
      <c r="C1519" s="11" t="s">
        <v>69</v>
      </c>
      <c r="D1519" s="11" t="s">
        <v>13</v>
      </c>
      <c r="E1519" s="11">
        <v>-5</v>
      </c>
      <c r="F1519" s="11">
        <f t="shared" si="47"/>
        <v>-5</v>
      </c>
      <c r="G1519" s="11" t="s">
        <v>24</v>
      </c>
      <c r="H1519" s="11" t="s">
        <v>70</v>
      </c>
      <c r="I1519" s="11" t="s">
        <v>16</v>
      </c>
      <c r="J1519" s="11">
        <v>23</v>
      </c>
      <c r="K1519" s="11">
        <v>38</v>
      </c>
      <c r="L1519" s="11"/>
      <c r="M1519" s="11">
        <f t="shared" si="46"/>
        <v>115</v>
      </c>
      <c r="N1519" s="11">
        <f>IF(Table1[[#This Row],[Transaction Type]]="Sale",ABS(E1519)*K1519,0)</f>
        <v>190</v>
      </c>
      <c r="O1519" s="29">
        <f>IF(Table1[[#This Row],[Transaction Type]]="Purchase",E1519*J1519,0)</f>
        <v>0</v>
      </c>
    </row>
    <row r="1520" spans="1:15" x14ac:dyDescent="0.35">
      <c r="A1520" s="27" t="s">
        <v>2108</v>
      </c>
      <c r="B1520" s="12">
        <v>46120</v>
      </c>
      <c r="C1520" s="11" t="s">
        <v>32</v>
      </c>
      <c r="D1520" s="11" t="s">
        <v>13</v>
      </c>
      <c r="E1520" s="11">
        <v>-4</v>
      </c>
      <c r="F1520" s="11">
        <f t="shared" si="47"/>
        <v>-4</v>
      </c>
      <c r="G1520" s="11" t="s">
        <v>14</v>
      </c>
      <c r="H1520" s="11" t="s">
        <v>33</v>
      </c>
      <c r="I1520" s="11" t="s">
        <v>34</v>
      </c>
      <c r="J1520" s="11">
        <v>20</v>
      </c>
      <c r="K1520" s="11">
        <v>35</v>
      </c>
      <c r="L1520" s="11"/>
      <c r="M1520" s="11">
        <f t="shared" si="46"/>
        <v>80</v>
      </c>
      <c r="N1520" s="11">
        <f>IF(Table1[[#This Row],[Transaction Type]]="Sale",ABS(E1520)*K1520,0)</f>
        <v>140</v>
      </c>
      <c r="O1520" s="29">
        <f>IF(Table1[[#This Row],[Transaction Type]]="Purchase",E1520*J1520,0)</f>
        <v>0</v>
      </c>
    </row>
    <row r="1521" spans="1:15" x14ac:dyDescent="0.35">
      <c r="A1521" s="27" t="s">
        <v>2109</v>
      </c>
      <c r="B1521" s="12">
        <v>46121</v>
      </c>
      <c r="C1521" s="11" t="s">
        <v>87</v>
      </c>
      <c r="D1521" s="11" t="s">
        <v>40</v>
      </c>
      <c r="E1521" s="11">
        <v>66</v>
      </c>
      <c r="F1521" s="11">
        <f t="shared" si="47"/>
        <v>66</v>
      </c>
      <c r="G1521" s="11" t="s">
        <v>19</v>
      </c>
      <c r="H1521" s="11" t="s">
        <v>88</v>
      </c>
      <c r="I1521" s="11" t="s">
        <v>16</v>
      </c>
      <c r="J1521" s="11">
        <v>6</v>
      </c>
      <c r="K1521" s="11">
        <v>14</v>
      </c>
      <c r="L1521" s="11" t="s">
        <v>2110</v>
      </c>
      <c r="M1521" s="11">
        <f t="shared" si="46"/>
        <v>396</v>
      </c>
      <c r="N1521" s="11">
        <f>IF(Table1[[#This Row],[Transaction Type]]="Sale",ABS(E1521)*K1521,0)</f>
        <v>0</v>
      </c>
      <c r="O1521" s="29">
        <f>IF(Table1[[#This Row],[Transaction Type]]="Purchase",E1521*J1521,0)</f>
        <v>396</v>
      </c>
    </row>
    <row r="1522" spans="1:15" x14ac:dyDescent="0.35">
      <c r="A1522" s="27" t="s">
        <v>2111</v>
      </c>
      <c r="B1522" s="12">
        <v>46121</v>
      </c>
      <c r="C1522" s="11" t="s">
        <v>12</v>
      </c>
      <c r="D1522" s="11" t="s">
        <v>40</v>
      </c>
      <c r="E1522" s="11">
        <v>92</v>
      </c>
      <c r="F1522" s="11">
        <f t="shared" si="47"/>
        <v>92</v>
      </c>
      <c r="G1522" s="11" t="s">
        <v>14</v>
      </c>
      <c r="H1522" s="11" t="s">
        <v>15</v>
      </c>
      <c r="I1522" s="11" t="s">
        <v>16</v>
      </c>
      <c r="J1522" s="11">
        <v>13.5</v>
      </c>
      <c r="K1522" s="11">
        <v>24</v>
      </c>
      <c r="L1522" s="11" t="s">
        <v>2112</v>
      </c>
      <c r="M1522" s="11">
        <f t="shared" si="46"/>
        <v>1242</v>
      </c>
      <c r="N1522" s="11">
        <f>IF(Table1[[#This Row],[Transaction Type]]="Sale",ABS(E1522)*K1522,0)</f>
        <v>0</v>
      </c>
      <c r="O1522" s="29">
        <f>IF(Table1[[#This Row],[Transaction Type]]="Purchase",E1522*J1522,0)</f>
        <v>1242</v>
      </c>
    </row>
    <row r="1523" spans="1:15" x14ac:dyDescent="0.35">
      <c r="A1523" s="27" t="s">
        <v>2113</v>
      </c>
      <c r="B1523" s="12">
        <v>46121</v>
      </c>
      <c r="C1523" s="11" t="s">
        <v>73</v>
      </c>
      <c r="D1523" s="11" t="s">
        <v>13</v>
      </c>
      <c r="E1523" s="11">
        <v>-14</v>
      </c>
      <c r="F1523" s="11">
        <f t="shared" si="47"/>
        <v>-14</v>
      </c>
      <c r="G1523" s="11" t="s">
        <v>19</v>
      </c>
      <c r="H1523" s="11" t="s">
        <v>74</v>
      </c>
      <c r="I1523" s="11" t="s">
        <v>75</v>
      </c>
      <c r="J1523" s="11">
        <v>30</v>
      </c>
      <c r="K1523" s="11">
        <v>48</v>
      </c>
      <c r="L1523" s="11"/>
      <c r="M1523" s="11">
        <f t="shared" si="46"/>
        <v>420</v>
      </c>
      <c r="N1523" s="11">
        <f>IF(Table1[[#This Row],[Transaction Type]]="Sale",ABS(E1523)*K1523,0)</f>
        <v>672</v>
      </c>
      <c r="O1523" s="29">
        <f>IF(Table1[[#This Row],[Transaction Type]]="Purchase",E1523*J1523,0)</f>
        <v>0</v>
      </c>
    </row>
    <row r="1524" spans="1:15" x14ac:dyDescent="0.35">
      <c r="A1524" s="27" t="s">
        <v>2114</v>
      </c>
      <c r="B1524" s="12">
        <v>46121</v>
      </c>
      <c r="C1524" s="11" t="s">
        <v>139</v>
      </c>
      <c r="D1524" s="11" t="s">
        <v>58</v>
      </c>
      <c r="E1524" s="11">
        <v>-18</v>
      </c>
      <c r="F1524" s="11">
        <f t="shared" si="47"/>
        <v>-18</v>
      </c>
      <c r="G1524" s="11" t="s">
        <v>19</v>
      </c>
      <c r="H1524" s="11" t="s">
        <v>56</v>
      </c>
      <c r="I1524" s="11" t="s">
        <v>16</v>
      </c>
      <c r="J1524" s="11">
        <v>16.5</v>
      </c>
      <c r="K1524" s="11">
        <v>28</v>
      </c>
      <c r="L1524" s="11"/>
      <c r="M1524" s="11">
        <f t="shared" si="46"/>
        <v>297</v>
      </c>
      <c r="N1524" s="11">
        <f>IF(Table1[[#This Row],[Transaction Type]]="Sale",ABS(E1524)*K1524,0)</f>
        <v>0</v>
      </c>
      <c r="O1524" s="29">
        <f>IF(Table1[[#This Row],[Transaction Type]]="Purchase",E1524*J1524,0)</f>
        <v>0</v>
      </c>
    </row>
    <row r="1525" spans="1:15" x14ac:dyDescent="0.35">
      <c r="A1525" s="27" t="s">
        <v>2115</v>
      </c>
      <c r="B1525" s="12">
        <v>46121</v>
      </c>
      <c r="C1525" s="11" t="s">
        <v>94</v>
      </c>
      <c r="D1525" s="11" t="s">
        <v>40</v>
      </c>
      <c r="E1525" s="11">
        <v>88</v>
      </c>
      <c r="F1525" s="11">
        <f t="shared" si="47"/>
        <v>88</v>
      </c>
      <c r="G1525" s="11" t="s">
        <v>19</v>
      </c>
      <c r="H1525" s="11" t="s">
        <v>95</v>
      </c>
      <c r="I1525" s="11" t="s">
        <v>16</v>
      </c>
      <c r="J1525" s="11">
        <v>18.5</v>
      </c>
      <c r="K1525" s="11">
        <v>31</v>
      </c>
      <c r="L1525" s="11" t="s">
        <v>2116</v>
      </c>
      <c r="M1525" s="11">
        <f t="shared" si="46"/>
        <v>1628</v>
      </c>
      <c r="N1525" s="11">
        <f>IF(Table1[[#This Row],[Transaction Type]]="Sale",ABS(E1525)*K1525,0)</f>
        <v>0</v>
      </c>
      <c r="O1525" s="29">
        <f>IF(Table1[[#This Row],[Transaction Type]]="Purchase",E1525*J1525,0)</f>
        <v>1628</v>
      </c>
    </row>
    <row r="1526" spans="1:15" x14ac:dyDescent="0.35">
      <c r="A1526" s="27" t="s">
        <v>2117</v>
      </c>
      <c r="B1526" s="12">
        <v>46121</v>
      </c>
      <c r="C1526" s="11" t="s">
        <v>87</v>
      </c>
      <c r="D1526" s="11" t="s">
        <v>13</v>
      </c>
      <c r="E1526" s="11">
        <v>-6</v>
      </c>
      <c r="F1526" s="11">
        <f t="shared" si="47"/>
        <v>-6</v>
      </c>
      <c r="G1526" s="11" t="s">
        <v>14</v>
      </c>
      <c r="H1526" s="11" t="s">
        <v>88</v>
      </c>
      <c r="I1526" s="11" t="s">
        <v>16</v>
      </c>
      <c r="J1526" s="11">
        <v>6</v>
      </c>
      <c r="K1526" s="11">
        <v>14</v>
      </c>
      <c r="L1526" s="11"/>
      <c r="M1526" s="11">
        <f t="shared" si="46"/>
        <v>36</v>
      </c>
      <c r="N1526" s="11">
        <f>IF(Table1[[#This Row],[Transaction Type]]="Sale",ABS(E1526)*K1526,0)</f>
        <v>84</v>
      </c>
      <c r="O1526" s="29">
        <f>IF(Table1[[#This Row],[Transaction Type]]="Purchase",E1526*J1526,0)</f>
        <v>0</v>
      </c>
    </row>
    <row r="1527" spans="1:15" x14ac:dyDescent="0.35">
      <c r="A1527" s="27" t="s">
        <v>2118</v>
      </c>
      <c r="B1527" s="12">
        <v>46123</v>
      </c>
      <c r="C1527" s="11" t="s">
        <v>194</v>
      </c>
      <c r="D1527" s="11" t="s">
        <v>13</v>
      </c>
      <c r="E1527" s="11">
        <v>-5</v>
      </c>
      <c r="F1527" s="11">
        <f t="shared" si="47"/>
        <v>-5</v>
      </c>
      <c r="G1527" s="11" t="s">
        <v>14</v>
      </c>
      <c r="H1527" s="11" t="s">
        <v>195</v>
      </c>
      <c r="I1527" s="11" t="s">
        <v>21</v>
      </c>
      <c r="J1527" s="11">
        <v>220</v>
      </c>
      <c r="K1527" s="11">
        <v>320</v>
      </c>
      <c r="L1527" s="11"/>
      <c r="M1527" s="11">
        <f t="shared" si="46"/>
        <v>1100</v>
      </c>
      <c r="N1527" s="11">
        <f>IF(Table1[[#This Row],[Transaction Type]]="Sale",ABS(E1527)*K1527,0)</f>
        <v>1600</v>
      </c>
      <c r="O1527" s="29">
        <f>IF(Table1[[#This Row],[Transaction Type]]="Purchase",E1527*J1527,0)</f>
        <v>0</v>
      </c>
    </row>
    <row r="1528" spans="1:15" x14ac:dyDescent="0.35">
      <c r="A1528" s="27" t="s">
        <v>2119</v>
      </c>
      <c r="B1528" s="12">
        <v>46123</v>
      </c>
      <c r="C1528" s="11" t="s">
        <v>65</v>
      </c>
      <c r="D1528" s="11" t="s">
        <v>66</v>
      </c>
      <c r="E1528" s="11">
        <v>2</v>
      </c>
      <c r="F1528" s="11">
        <f t="shared" si="47"/>
        <v>2</v>
      </c>
      <c r="G1528" s="11" t="s">
        <v>14</v>
      </c>
      <c r="H1528" s="11" t="s">
        <v>67</v>
      </c>
      <c r="I1528" s="11" t="s">
        <v>21</v>
      </c>
      <c r="J1528" s="11">
        <v>11</v>
      </c>
      <c r="K1528" s="11">
        <v>22</v>
      </c>
      <c r="L1528" s="11"/>
      <c r="M1528" s="11">
        <f t="shared" si="46"/>
        <v>22</v>
      </c>
      <c r="N1528" s="11">
        <f>IF(Table1[[#This Row],[Transaction Type]]="Sale",ABS(E1528)*K1528,0)</f>
        <v>0</v>
      </c>
      <c r="O1528" s="29">
        <f>IF(Table1[[#This Row],[Transaction Type]]="Purchase",E1528*J1528,0)</f>
        <v>0</v>
      </c>
    </row>
    <row r="1529" spans="1:15" x14ac:dyDescent="0.35">
      <c r="A1529" s="27" t="s">
        <v>2120</v>
      </c>
      <c r="B1529" s="12">
        <v>46123</v>
      </c>
      <c r="C1529" s="11" t="s">
        <v>23</v>
      </c>
      <c r="D1529" s="11" t="s">
        <v>13</v>
      </c>
      <c r="E1529" s="11">
        <v>-9</v>
      </c>
      <c r="F1529" s="11">
        <f t="shared" si="47"/>
        <v>-9</v>
      </c>
      <c r="G1529" s="11" t="s">
        <v>14</v>
      </c>
      <c r="H1529" s="11" t="s">
        <v>25</v>
      </c>
      <c r="I1529" s="11" t="s">
        <v>26</v>
      </c>
      <c r="J1529" s="11">
        <v>3</v>
      </c>
      <c r="K1529" s="11">
        <v>7</v>
      </c>
      <c r="L1529" s="11"/>
      <c r="M1529" s="11">
        <f t="shared" si="46"/>
        <v>27</v>
      </c>
      <c r="N1529" s="11">
        <f>IF(Table1[[#This Row],[Transaction Type]]="Sale",ABS(E1529)*K1529,0)</f>
        <v>63</v>
      </c>
      <c r="O1529" s="29">
        <f>IF(Table1[[#This Row],[Transaction Type]]="Purchase",E1529*J1529,0)</f>
        <v>0</v>
      </c>
    </row>
    <row r="1530" spans="1:15" x14ac:dyDescent="0.35">
      <c r="A1530" s="27" t="s">
        <v>2121</v>
      </c>
      <c r="B1530" s="12">
        <v>46123</v>
      </c>
      <c r="C1530" s="11" t="s">
        <v>141</v>
      </c>
      <c r="D1530" s="11" t="s">
        <v>40</v>
      </c>
      <c r="E1530" s="11">
        <v>64</v>
      </c>
      <c r="F1530" s="11">
        <f t="shared" si="47"/>
        <v>64</v>
      </c>
      <c r="G1530" s="11" t="s">
        <v>24</v>
      </c>
      <c r="H1530" s="11" t="s">
        <v>25</v>
      </c>
      <c r="I1530" s="11" t="s">
        <v>26</v>
      </c>
      <c r="J1530" s="11">
        <v>4</v>
      </c>
      <c r="K1530" s="11">
        <v>9</v>
      </c>
      <c r="L1530" s="11" t="s">
        <v>2122</v>
      </c>
      <c r="M1530" s="11">
        <f t="shared" si="46"/>
        <v>256</v>
      </c>
      <c r="N1530" s="11">
        <f>IF(Table1[[#This Row],[Transaction Type]]="Sale",ABS(E1530)*K1530,0)</f>
        <v>0</v>
      </c>
      <c r="O1530" s="29">
        <f>IF(Table1[[#This Row],[Transaction Type]]="Purchase",E1530*J1530,0)</f>
        <v>256</v>
      </c>
    </row>
    <row r="1531" spans="1:15" x14ac:dyDescent="0.35">
      <c r="A1531" s="27" t="s">
        <v>2123</v>
      </c>
      <c r="B1531" s="12">
        <v>46123</v>
      </c>
      <c r="C1531" s="11" t="s">
        <v>18</v>
      </c>
      <c r="D1531" s="11" t="s">
        <v>13</v>
      </c>
      <c r="E1531" s="11">
        <v>-12</v>
      </c>
      <c r="F1531" s="11">
        <f t="shared" si="47"/>
        <v>-12</v>
      </c>
      <c r="G1531" s="11" t="s">
        <v>14</v>
      </c>
      <c r="H1531" s="11" t="s">
        <v>20</v>
      </c>
      <c r="I1531" s="11" t="s">
        <v>21</v>
      </c>
      <c r="J1531" s="11">
        <v>2.6</v>
      </c>
      <c r="K1531" s="11">
        <v>5.5</v>
      </c>
      <c r="L1531" s="11"/>
      <c r="M1531" s="11">
        <f t="shared" si="46"/>
        <v>31.200000000000003</v>
      </c>
      <c r="N1531" s="11">
        <f>IF(Table1[[#This Row],[Transaction Type]]="Sale",ABS(E1531)*K1531,0)</f>
        <v>66</v>
      </c>
      <c r="O1531" s="29">
        <f>IF(Table1[[#This Row],[Transaction Type]]="Purchase",E1531*J1531,0)</f>
        <v>0</v>
      </c>
    </row>
    <row r="1532" spans="1:15" x14ac:dyDescent="0.35">
      <c r="A1532" s="27" t="s">
        <v>2124</v>
      </c>
      <c r="B1532" s="12">
        <v>46124</v>
      </c>
      <c r="C1532" s="11" t="s">
        <v>136</v>
      </c>
      <c r="D1532" s="11" t="s">
        <v>13</v>
      </c>
      <c r="E1532" s="11">
        <v>-1</v>
      </c>
      <c r="F1532" s="11">
        <f t="shared" si="47"/>
        <v>-1</v>
      </c>
      <c r="G1532" s="11" t="s">
        <v>14</v>
      </c>
      <c r="H1532" s="11" t="s">
        <v>33</v>
      </c>
      <c r="I1532" s="11" t="s">
        <v>34</v>
      </c>
      <c r="J1532" s="11">
        <v>34</v>
      </c>
      <c r="K1532" s="11">
        <v>55</v>
      </c>
      <c r="L1532" s="11"/>
      <c r="M1532" s="11">
        <f t="shared" si="46"/>
        <v>34</v>
      </c>
      <c r="N1532" s="11">
        <f>IF(Table1[[#This Row],[Transaction Type]]="Sale",ABS(E1532)*K1532,0)</f>
        <v>55</v>
      </c>
      <c r="O1532" s="29">
        <f>IF(Table1[[#This Row],[Transaction Type]]="Purchase",E1532*J1532,0)</f>
        <v>0</v>
      </c>
    </row>
    <row r="1533" spans="1:15" x14ac:dyDescent="0.35">
      <c r="A1533" s="27" t="s">
        <v>2125</v>
      </c>
      <c r="B1533" s="12">
        <v>46125</v>
      </c>
      <c r="C1533" s="11" t="s">
        <v>23</v>
      </c>
      <c r="D1533" s="11" t="s">
        <v>40</v>
      </c>
      <c r="E1533" s="11">
        <v>74</v>
      </c>
      <c r="F1533" s="11">
        <f t="shared" si="47"/>
        <v>74</v>
      </c>
      <c r="G1533" s="11" t="s">
        <v>14</v>
      </c>
      <c r="H1533" s="11" t="s">
        <v>25</v>
      </c>
      <c r="I1533" s="11" t="s">
        <v>26</v>
      </c>
      <c r="J1533" s="11">
        <v>3</v>
      </c>
      <c r="K1533" s="11">
        <v>7</v>
      </c>
      <c r="L1533" s="11" t="s">
        <v>2126</v>
      </c>
      <c r="M1533" s="11">
        <f t="shared" si="46"/>
        <v>222</v>
      </c>
      <c r="N1533" s="11">
        <f>IF(Table1[[#This Row],[Transaction Type]]="Sale",ABS(E1533)*K1533,0)</f>
        <v>0</v>
      </c>
      <c r="O1533" s="29">
        <f>IF(Table1[[#This Row],[Transaction Type]]="Purchase",E1533*J1533,0)</f>
        <v>222</v>
      </c>
    </row>
    <row r="1534" spans="1:15" x14ac:dyDescent="0.35">
      <c r="A1534" s="27" t="s">
        <v>2127</v>
      </c>
      <c r="B1534" s="12">
        <v>46125</v>
      </c>
      <c r="C1534" s="11" t="s">
        <v>32</v>
      </c>
      <c r="D1534" s="11" t="s">
        <v>40</v>
      </c>
      <c r="E1534" s="11">
        <v>114</v>
      </c>
      <c r="F1534" s="11">
        <f t="shared" si="47"/>
        <v>114</v>
      </c>
      <c r="G1534" s="11" t="s">
        <v>24</v>
      </c>
      <c r="H1534" s="11" t="s">
        <v>33</v>
      </c>
      <c r="I1534" s="11" t="s">
        <v>34</v>
      </c>
      <c r="J1534" s="11">
        <v>20</v>
      </c>
      <c r="K1534" s="11">
        <v>35</v>
      </c>
      <c r="L1534" s="11" t="s">
        <v>2128</v>
      </c>
      <c r="M1534" s="11">
        <f t="shared" si="46"/>
        <v>2280</v>
      </c>
      <c r="N1534" s="11">
        <f>IF(Table1[[#This Row],[Transaction Type]]="Sale",ABS(E1534)*K1534,0)</f>
        <v>0</v>
      </c>
      <c r="O1534" s="29">
        <f>IF(Table1[[#This Row],[Transaction Type]]="Purchase",E1534*J1534,0)</f>
        <v>2280</v>
      </c>
    </row>
    <row r="1535" spans="1:15" x14ac:dyDescent="0.35">
      <c r="A1535" s="27" t="s">
        <v>2129</v>
      </c>
      <c r="B1535" s="12">
        <v>46125</v>
      </c>
      <c r="C1535" s="11" t="s">
        <v>94</v>
      </c>
      <c r="D1535" s="11" t="s">
        <v>40</v>
      </c>
      <c r="E1535" s="11">
        <v>26</v>
      </c>
      <c r="F1535" s="11">
        <f t="shared" si="47"/>
        <v>26</v>
      </c>
      <c r="G1535" s="11" t="s">
        <v>14</v>
      </c>
      <c r="H1535" s="11" t="s">
        <v>95</v>
      </c>
      <c r="I1535" s="11" t="s">
        <v>16</v>
      </c>
      <c r="J1535" s="11">
        <v>18.5</v>
      </c>
      <c r="K1535" s="11">
        <v>31</v>
      </c>
      <c r="L1535" s="11" t="s">
        <v>2130</v>
      </c>
      <c r="M1535" s="11">
        <f t="shared" si="46"/>
        <v>481</v>
      </c>
      <c r="N1535" s="11">
        <f>IF(Table1[[#This Row],[Transaction Type]]="Sale",ABS(E1535)*K1535,0)</f>
        <v>0</v>
      </c>
      <c r="O1535" s="29">
        <f>IF(Table1[[#This Row],[Transaction Type]]="Purchase",E1535*J1535,0)</f>
        <v>481</v>
      </c>
    </row>
    <row r="1536" spans="1:15" x14ac:dyDescent="0.35">
      <c r="A1536" s="27" t="s">
        <v>2131</v>
      </c>
      <c r="B1536" s="12">
        <v>46126</v>
      </c>
      <c r="C1536" s="11" t="s">
        <v>29</v>
      </c>
      <c r="D1536" s="11" t="s">
        <v>13</v>
      </c>
      <c r="E1536" s="11">
        <v>-8</v>
      </c>
      <c r="F1536" s="11">
        <f t="shared" si="47"/>
        <v>-8</v>
      </c>
      <c r="G1536" s="11" t="s">
        <v>24</v>
      </c>
      <c r="H1536" s="11" t="s">
        <v>30</v>
      </c>
      <c r="I1536" s="11" t="s">
        <v>16</v>
      </c>
      <c r="J1536" s="11">
        <v>8.8000000000000007</v>
      </c>
      <c r="K1536" s="11">
        <v>17</v>
      </c>
      <c r="L1536" s="11"/>
      <c r="M1536" s="11">
        <f t="shared" si="46"/>
        <v>70.400000000000006</v>
      </c>
      <c r="N1536" s="11">
        <f>IF(Table1[[#This Row],[Transaction Type]]="Sale",ABS(E1536)*K1536,0)</f>
        <v>136</v>
      </c>
      <c r="O1536" s="29">
        <f>IF(Table1[[#This Row],[Transaction Type]]="Purchase",E1536*J1536,0)</f>
        <v>0</v>
      </c>
    </row>
    <row r="1537" spans="1:15" x14ac:dyDescent="0.35">
      <c r="A1537" s="27" t="s">
        <v>2132</v>
      </c>
      <c r="B1537" s="12">
        <v>46126</v>
      </c>
      <c r="C1537" s="11" t="s">
        <v>36</v>
      </c>
      <c r="D1537" s="11" t="s">
        <v>40</v>
      </c>
      <c r="E1537" s="11">
        <v>97</v>
      </c>
      <c r="F1537" s="11">
        <f t="shared" si="47"/>
        <v>97</v>
      </c>
      <c r="G1537" s="11" t="s">
        <v>14</v>
      </c>
      <c r="H1537" s="11" t="s">
        <v>37</v>
      </c>
      <c r="I1537" s="11" t="s">
        <v>16</v>
      </c>
      <c r="J1537" s="11">
        <v>7.2</v>
      </c>
      <c r="K1537" s="11">
        <v>12.5</v>
      </c>
      <c r="L1537" s="11" t="s">
        <v>2133</v>
      </c>
      <c r="M1537" s="11">
        <f t="shared" si="46"/>
        <v>698.4</v>
      </c>
      <c r="N1537" s="11">
        <f>IF(Table1[[#This Row],[Transaction Type]]="Sale",ABS(E1537)*K1537,0)</f>
        <v>0</v>
      </c>
      <c r="O1537" s="29">
        <f>IF(Table1[[#This Row],[Transaction Type]]="Purchase",E1537*J1537,0)</f>
        <v>698.4</v>
      </c>
    </row>
    <row r="1538" spans="1:15" x14ac:dyDescent="0.35">
      <c r="A1538" s="27" t="s">
        <v>2134</v>
      </c>
      <c r="B1538" s="12">
        <v>46127</v>
      </c>
      <c r="C1538" s="11" t="s">
        <v>73</v>
      </c>
      <c r="D1538" s="11" t="s">
        <v>40</v>
      </c>
      <c r="E1538" s="11">
        <v>23</v>
      </c>
      <c r="F1538" s="11">
        <f t="shared" si="47"/>
        <v>23</v>
      </c>
      <c r="G1538" s="11" t="s">
        <v>24</v>
      </c>
      <c r="H1538" s="11" t="s">
        <v>74</v>
      </c>
      <c r="I1538" s="11" t="s">
        <v>75</v>
      </c>
      <c r="J1538" s="11">
        <v>30</v>
      </c>
      <c r="K1538" s="11">
        <v>48</v>
      </c>
      <c r="L1538" s="11" t="s">
        <v>2135</v>
      </c>
      <c r="M1538" s="11">
        <f t="shared" ref="M1538:M1601" si="48">ABS(E1538)*J1538</f>
        <v>690</v>
      </c>
      <c r="N1538" s="11">
        <f>IF(Table1[[#This Row],[Transaction Type]]="Sale",ABS(E1538)*K1538,0)</f>
        <v>0</v>
      </c>
      <c r="O1538" s="29">
        <f>IF(Table1[[#This Row],[Transaction Type]]="Purchase",E1538*J1538,0)</f>
        <v>690</v>
      </c>
    </row>
    <row r="1539" spans="1:15" x14ac:dyDescent="0.35">
      <c r="A1539" s="27" t="s">
        <v>2136</v>
      </c>
      <c r="B1539" s="12">
        <v>46127</v>
      </c>
      <c r="C1539" s="11" t="s">
        <v>32</v>
      </c>
      <c r="D1539" s="11" t="s">
        <v>40</v>
      </c>
      <c r="E1539" s="11">
        <v>95</v>
      </c>
      <c r="F1539" s="11">
        <f t="shared" ref="F1539:F1602" si="49">E1539</f>
        <v>95</v>
      </c>
      <c r="G1539" s="11" t="s">
        <v>14</v>
      </c>
      <c r="H1539" s="11" t="s">
        <v>33</v>
      </c>
      <c r="I1539" s="11" t="s">
        <v>34</v>
      </c>
      <c r="J1539" s="11">
        <v>20</v>
      </c>
      <c r="K1539" s="11">
        <v>35</v>
      </c>
      <c r="L1539" s="11" t="s">
        <v>2137</v>
      </c>
      <c r="M1539" s="11">
        <f t="shared" si="48"/>
        <v>1900</v>
      </c>
      <c r="N1539" s="11">
        <f>IF(Table1[[#This Row],[Transaction Type]]="Sale",ABS(E1539)*K1539,0)</f>
        <v>0</v>
      </c>
      <c r="O1539" s="29">
        <f>IF(Table1[[#This Row],[Transaction Type]]="Purchase",E1539*J1539,0)</f>
        <v>1900</v>
      </c>
    </row>
    <row r="1540" spans="1:15" x14ac:dyDescent="0.35">
      <c r="A1540" s="27" t="s">
        <v>2138</v>
      </c>
      <c r="B1540" s="12">
        <v>46128</v>
      </c>
      <c r="C1540" s="11" t="s">
        <v>65</v>
      </c>
      <c r="D1540" s="11" t="s">
        <v>13</v>
      </c>
      <c r="E1540" s="11">
        <v>-7</v>
      </c>
      <c r="F1540" s="11">
        <f t="shared" si="49"/>
        <v>-7</v>
      </c>
      <c r="G1540" s="11" t="s">
        <v>19</v>
      </c>
      <c r="H1540" s="11" t="s">
        <v>67</v>
      </c>
      <c r="I1540" s="11" t="s">
        <v>21</v>
      </c>
      <c r="J1540" s="11">
        <v>11</v>
      </c>
      <c r="K1540" s="11">
        <v>22</v>
      </c>
      <c r="L1540" s="11"/>
      <c r="M1540" s="11">
        <f t="shared" si="48"/>
        <v>77</v>
      </c>
      <c r="N1540" s="11">
        <f>IF(Table1[[#This Row],[Transaction Type]]="Sale",ABS(E1540)*K1540,0)</f>
        <v>154</v>
      </c>
      <c r="O1540" s="29">
        <f>IF(Table1[[#This Row],[Transaction Type]]="Purchase",E1540*J1540,0)</f>
        <v>0</v>
      </c>
    </row>
    <row r="1541" spans="1:15" x14ac:dyDescent="0.35">
      <c r="A1541" s="27" t="s">
        <v>2139</v>
      </c>
      <c r="B1541" s="12">
        <v>46128</v>
      </c>
      <c r="C1541" s="11" t="s">
        <v>81</v>
      </c>
      <c r="D1541" s="11" t="s">
        <v>13</v>
      </c>
      <c r="E1541" s="11">
        <v>-10</v>
      </c>
      <c r="F1541" s="11">
        <f t="shared" si="49"/>
        <v>-10</v>
      </c>
      <c r="G1541" s="11" t="s">
        <v>24</v>
      </c>
      <c r="H1541" s="11" t="s">
        <v>30</v>
      </c>
      <c r="I1541" s="11" t="s">
        <v>16</v>
      </c>
      <c r="J1541" s="11">
        <v>8</v>
      </c>
      <c r="K1541" s="11">
        <v>15</v>
      </c>
      <c r="L1541" s="11"/>
      <c r="M1541" s="11">
        <f t="shared" si="48"/>
        <v>80</v>
      </c>
      <c r="N1541" s="11">
        <f>IF(Table1[[#This Row],[Transaction Type]]="Sale",ABS(E1541)*K1541,0)</f>
        <v>150</v>
      </c>
      <c r="O1541" s="29">
        <f>IF(Table1[[#This Row],[Transaction Type]]="Purchase",E1541*J1541,0)</f>
        <v>0</v>
      </c>
    </row>
    <row r="1542" spans="1:15" x14ac:dyDescent="0.35">
      <c r="A1542" s="27" t="s">
        <v>2140</v>
      </c>
      <c r="B1542" s="12">
        <v>46128</v>
      </c>
      <c r="C1542" s="11" t="s">
        <v>136</v>
      </c>
      <c r="D1542" s="11" t="s">
        <v>40</v>
      </c>
      <c r="E1542" s="11">
        <v>90</v>
      </c>
      <c r="F1542" s="11">
        <f t="shared" si="49"/>
        <v>90</v>
      </c>
      <c r="G1542" s="11" t="s">
        <v>14</v>
      </c>
      <c r="H1542" s="11" t="s">
        <v>33</v>
      </c>
      <c r="I1542" s="11" t="s">
        <v>34</v>
      </c>
      <c r="J1542" s="11">
        <v>34</v>
      </c>
      <c r="K1542" s="11">
        <v>55</v>
      </c>
      <c r="L1542" s="11" t="s">
        <v>2141</v>
      </c>
      <c r="M1542" s="11">
        <f t="shared" si="48"/>
        <v>3060</v>
      </c>
      <c r="N1542" s="11">
        <f>IF(Table1[[#This Row],[Transaction Type]]="Sale",ABS(E1542)*K1542,0)</f>
        <v>0</v>
      </c>
      <c r="O1542" s="29">
        <f>IF(Table1[[#This Row],[Transaction Type]]="Purchase",E1542*J1542,0)</f>
        <v>3060</v>
      </c>
    </row>
    <row r="1543" spans="1:15" x14ac:dyDescent="0.35">
      <c r="A1543" s="27" t="s">
        <v>2142</v>
      </c>
      <c r="B1543" s="12">
        <v>46128</v>
      </c>
      <c r="C1543" s="11" t="s">
        <v>136</v>
      </c>
      <c r="D1543" s="11" t="s">
        <v>40</v>
      </c>
      <c r="E1543" s="11">
        <v>38</v>
      </c>
      <c r="F1543" s="11">
        <f t="shared" si="49"/>
        <v>38</v>
      </c>
      <c r="G1543" s="11" t="s">
        <v>19</v>
      </c>
      <c r="H1543" s="11" t="s">
        <v>33</v>
      </c>
      <c r="I1543" s="11" t="s">
        <v>34</v>
      </c>
      <c r="J1543" s="11">
        <v>34</v>
      </c>
      <c r="K1543" s="11">
        <v>55</v>
      </c>
      <c r="L1543" s="11" t="s">
        <v>2143</v>
      </c>
      <c r="M1543" s="11">
        <f t="shared" si="48"/>
        <v>1292</v>
      </c>
      <c r="N1543" s="11">
        <f>IF(Table1[[#This Row],[Transaction Type]]="Sale",ABS(E1543)*K1543,0)</f>
        <v>0</v>
      </c>
      <c r="O1543" s="29">
        <f>IF(Table1[[#This Row],[Transaction Type]]="Purchase",E1543*J1543,0)</f>
        <v>1292</v>
      </c>
    </row>
    <row r="1544" spans="1:15" x14ac:dyDescent="0.35">
      <c r="A1544" s="27" t="s">
        <v>2144</v>
      </c>
      <c r="B1544" s="12">
        <v>46128</v>
      </c>
      <c r="C1544" s="11" t="s">
        <v>139</v>
      </c>
      <c r="D1544" s="11" t="s">
        <v>13</v>
      </c>
      <c r="E1544" s="11">
        <v>-13</v>
      </c>
      <c r="F1544" s="11">
        <f t="shared" si="49"/>
        <v>-13</v>
      </c>
      <c r="G1544" s="11" t="s">
        <v>24</v>
      </c>
      <c r="H1544" s="11" t="s">
        <v>56</v>
      </c>
      <c r="I1544" s="11" t="s">
        <v>16</v>
      </c>
      <c r="J1544" s="11">
        <v>16.5</v>
      </c>
      <c r="K1544" s="11">
        <v>28</v>
      </c>
      <c r="L1544" s="11"/>
      <c r="M1544" s="11">
        <f t="shared" si="48"/>
        <v>214.5</v>
      </c>
      <c r="N1544" s="11">
        <f>IF(Table1[[#This Row],[Transaction Type]]="Sale",ABS(E1544)*K1544,0)</f>
        <v>364</v>
      </c>
      <c r="O1544" s="29">
        <f>IF(Table1[[#This Row],[Transaction Type]]="Purchase",E1544*J1544,0)</f>
        <v>0</v>
      </c>
    </row>
    <row r="1545" spans="1:15" x14ac:dyDescent="0.35">
      <c r="A1545" s="27" t="s">
        <v>2145</v>
      </c>
      <c r="B1545" s="12">
        <v>46129</v>
      </c>
      <c r="C1545" s="11" t="s">
        <v>350</v>
      </c>
      <c r="D1545" s="11" t="s">
        <v>40</v>
      </c>
      <c r="E1545" s="11">
        <v>111</v>
      </c>
      <c r="F1545" s="11">
        <f t="shared" si="49"/>
        <v>111</v>
      </c>
      <c r="G1545" s="11" t="s">
        <v>19</v>
      </c>
      <c r="H1545" s="11" t="s">
        <v>74</v>
      </c>
      <c r="I1545" s="11" t="s">
        <v>75</v>
      </c>
      <c r="J1545" s="11">
        <v>145</v>
      </c>
      <c r="K1545" s="11">
        <v>210</v>
      </c>
      <c r="L1545" s="11" t="s">
        <v>2146</v>
      </c>
      <c r="M1545" s="11">
        <f t="shared" si="48"/>
        <v>16095</v>
      </c>
      <c r="N1545" s="11">
        <f>IF(Table1[[#This Row],[Transaction Type]]="Sale",ABS(E1545)*K1545,0)</f>
        <v>0</v>
      </c>
      <c r="O1545" s="29">
        <f>IF(Table1[[#This Row],[Transaction Type]]="Purchase",E1545*J1545,0)</f>
        <v>16095</v>
      </c>
    </row>
    <row r="1546" spans="1:15" x14ac:dyDescent="0.35">
      <c r="A1546" s="27" t="s">
        <v>2147</v>
      </c>
      <c r="B1546" s="12">
        <v>46129</v>
      </c>
      <c r="C1546" s="11" t="s">
        <v>141</v>
      </c>
      <c r="D1546" s="11" t="s">
        <v>13</v>
      </c>
      <c r="E1546" s="11">
        <v>-9</v>
      </c>
      <c r="F1546" s="11">
        <f t="shared" si="49"/>
        <v>-9</v>
      </c>
      <c r="G1546" s="11" t="s">
        <v>24</v>
      </c>
      <c r="H1546" s="11" t="s">
        <v>25</v>
      </c>
      <c r="I1546" s="11" t="s">
        <v>26</v>
      </c>
      <c r="J1546" s="11">
        <v>4</v>
      </c>
      <c r="K1546" s="11">
        <v>9</v>
      </c>
      <c r="L1546" s="11"/>
      <c r="M1546" s="11">
        <f t="shared" si="48"/>
        <v>36</v>
      </c>
      <c r="N1546" s="11">
        <f>IF(Table1[[#This Row],[Transaction Type]]="Sale",ABS(E1546)*K1546,0)</f>
        <v>81</v>
      </c>
      <c r="O1546" s="29">
        <f>IF(Table1[[#This Row],[Transaction Type]]="Purchase",E1546*J1546,0)</f>
        <v>0</v>
      </c>
    </row>
    <row r="1547" spans="1:15" x14ac:dyDescent="0.35">
      <c r="A1547" s="27" t="s">
        <v>2148</v>
      </c>
      <c r="B1547" s="12">
        <v>46129</v>
      </c>
      <c r="C1547" s="11" t="s">
        <v>23</v>
      </c>
      <c r="D1547" s="11" t="s">
        <v>40</v>
      </c>
      <c r="E1547" s="11">
        <v>54</v>
      </c>
      <c r="F1547" s="11">
        <f t="shared" si="49"/>
        <v>54</v>
      </c>
      <c r="G1547" s="11" t="s">
        <v>24</v>
      </c>
      <c r="H1547" s="11" t="s">
        <v>25</v>
      </c>
      <c r="I1547" s="11" t="s">
        <v>26</v>
      </c>
      <c r="J1547" s="11">
        <v>3</v>
      </c>
      <c r="K1547" s="11">
        <v>7</v>
      </c>
      <c r="L1547" s="11" t="s">
        <v>2149</v>
      </c>
      <c r="M1547" s="11">
        <f t="shared" si="48"/>
        <v>162</v>
      </c>
      <c r="N1547" s="11">
        <f>IF(Table1[[#This Row],[Transaction Type]]="Sale",ABS(E1547)*K1547,0)</f>
        <v>0</v>
      </c>
      <c r="O1547" s="29">
        <f>IF(Table1[[#This Row],[Transaction Type]]="Purchase",E1547*J1547,0)</f>
        <v>162</v>
      </c>
    </row>
    <row r="1548" spans="1:15" x14ac:dyDescent="0.35">
      <c r="A1548" s="27" t="s">
        <v>2150</v>
      </c>
      <c r="B1548" s="12">
        <v>46129</v>
      </c>
      <c r="C1548" s="11" t="s">
        <v>136</v>
      </c>
      <c r="D1548" s="11" t="s">
        <v>13</v>
      </c>
      <c r="E1548" s="11">
        <v>-5</v>
      </c>
      <c r="F1548" s="11">
        <f t="shared" si="49"/>
        <v>-5</v>
      </c>
      <c r="G1548" s="11" t="s">
        <v>14</v>
      </c>
      <c r="H1548" s="11" t="s">
        <v>33</v>
      </c>
      <c r="I1548" s="11" t="s">
        <v>34</v>
      </c>
      <c r="J1548" s="11">
        <v>34</v>
      </c>
      <c r="K1548" s="11">
        <v>55</v>
      </c>
      <c r="L1548" s="11"/>
      <c r="M1548" s="11">
        <f t="shared" si="48"/>
        <v>170</v>
      </c>
      <c r="N1548" s="11">
        <f>IF(Table1[[#This Row],[Transaction Type]]="Sale",ABS(E1548)*K1548,0)</f>
        <v>275</v>
      </c>
      <c r="O1548" s="29">
        <f>IF(Table1[[#This Row],[Transaction Type]]="Purchase",E1548*J1548,0)</f>
        <v>0</v>
      </c>
    </row>
    <row r="1549" spans="1:15" x14ac:dyDescent="0.35">
      <c r="A1549" s="27" t="s">
        <v>2151</v>
      </c>
      <c r="B1549" s="12">
        <v>46130</v>
      </c>
      <c r="C1549" s="11" t="s">
        <v>48</v>
      </c>
      <c r="D1549" s="11" t="s">
        <v>40</v>
      </c>
      <c r="E1549" s="11">
        <v>56</v>
      </c>
      <c r="F1549" s="11">
        <f t="shared" si="49"/>
        <v>56</v>
      </c>
      <c r="G1549" s="11" t="s">
        <v>19</v>
      </c>
      <c r="H1549" s="11" t="s">
        <v>49</v>
      </c>
      <c r="I1549" s="11" t="s">
        <v>21</v>
      </c>
      <c r="J1549" s="11">
        <v>8.5</v>
      </c>
      <c r="K1549" s="11">
        <v>18</v>
      </c>
      <c r="L1549" s="11" t="s">
        <v>2152</v>
      </c>
      <c r="M1549" s="11">
        <f t="shared" si="48"/>
        <v>476</v>
      </c>
      <c r="N1549" s="11">
        <f>IF(Table1[[#This Row],[Transaction Type]]="Sale",ABS(E1549)*K1549,0)</f>
        <v>0</v>
      </c>
      <c r="O1549" s="29">
        <f>IF(Table1[[#This Row],[Transaction Type]]="Purchase",E1549*J1549,0)</f>
        <v>476</v>
      </c>
    </row>
    <row r="1550" spans="1:15" x14ac:dyDescent="0.35">
      <c r="A1550" s="27" t="s">
        <v>2153</v>
      </c>
      <c r="B1550" s="12">
        <v>46131</v>
      </c>
      <c r="C1550" s="11" t="s">
        <v>350</v>
      </c>
      <c r="D1550" s="11" t="s">
        <v>13</v>
      </c>
      <c r="E1550" s="11">
        <v>-9</v>
      </c>
      <c r="F1550" s="11">
        <f t="shared" si="49"/>
        <v>-9</v>
      </c>
      <c r="G1550" s="11" t="s">
        <v>24</v>
      </c>
      <c r="H1550" s="11" t="s">
        <v>74</v>
      </c>
      <c r="I1550" s="11" t="s">
        <v>75</v>
      </c>
      <c r="J1550" s="11">
        <v>145</v>
      </c>
      <c r="K1550" s="11">
        <v>210</v>
      </c>
      <c r="L1550" s="11"/>
      <c r="M1550" s="11">
        <f t="shared" si="48"/>
        <v>1305</v>
      </c>
      <c r="N1550" s="11">
        <f>IF(Table1[[#This Row],[Transaction Type]]="Sale",ABS(E1550)*K1550,0)</f>
        <v>1890</v>
      </c>
      <c r="O1550" s="29">
        <f>IF(Table1[[#This Row],[Transaction Type]]="Purchase",E1550*J1550,0)</f>
        <v>0</v>
      </c>
    </row>
    <row r="1551" spans="1:15" x14ac:dyDescent="0.35">
      <c r="A1551" s="27" t="s">
        <v>2154</v>
      </c>
      <c r="B1551" s="12">
        <v>46131</v>
      </c>
      <c r="C1551" s="11" t="s">
        <v>794</v>
      </c>
      <c r="D1551" s="11" t="s">
        <v>40</v>
      </c>
      <c r="E1551" s="11">
        <v>31</v>
      </c>
      <c r="F1551" s="11">
        <f t="shared" si="49"/>
        <v>31</v>
      </c>
      <c r="G1551" s="11" t="s">
        <v>19</v>
      </c>
      <c r="H1551" s="11" t="s">
        <v>74</v>
      </c>
      <c r="I1551" s="11" t="s">
        <v>75</v>
      </c>
      <c r="J1551" s="11">
        <v>82</v>
      </c>
      <c r="K1551" s="11">
        <v>135</v>
      </c>
      <c r="L1551" s="11" t="s">
        <v>2155</v>
      </c>
      <c r="M1551" s="11">
        <f t="shared" si="48"/>
        <v>2542</v>
      </c>
      <c r="N1551" s="11">
        <f>IF(Table1[[#This Row],[Transaction Type]]="Sale",ABS(E1551)*K1551,0)</f>
        <v>0</v>
      </c>
      <c r="O1551" s="29">
        <f>IF(Table1[[#This Row],[Transaction Type]]="Purchase",E1551*J1551,0)</f>
        <v>2542</v>
      </c>
    </row>
    <row r="1552" spans="1:15" x14ac:dyDescent="0.35">
      <c r="A1552" s="27" t="s">
        <v>2156</v>
      </c>
      <c r="B1552" s="12">
        <v>46131</v>
      </c>
      <c r="C1552" s="11" t="s">
        <v>52</v>
      </c>
      <c r="D1552" s="11" t="s">
        <v>13</v>
      </c>
      <c r="E1552" s="11">
        <v>-1</v>
      </c>
      <c r="F1552" s="11">
        <f t="shared" si="49"/>
        <v>-1</v>
      </c>
      <c r="G1552" s="11" t="s">
        <v>14</v>
      </c>
      <c r="H1552" s="11" t="s">
        <v>20</v>
      </c>
      <c r="I1552" s="11" t="s">
        <v>21</v>
      </c>
      <c r="J1552" s="11">
        <v>5.5</v>
      </c>
      <c r="K1552" s="11">
        <v>12</v>
      </c>
      <c r="L1552" s="11"/>
      <c r="M1552" s="11">
        <f t="shared" si="48"/>
        <v>5.5</v>
      </c>
      <c r="N1552" s="11">
        <f>IF(Table1[[#This Row],[Transaction Type]]="Sale",ABS(E1552)*K1552,0)</f>
        <v>12</v>
      </c>
      <c r="O1552" s="29">
        <f>IF(Table1[[#This Row],[Transaction Type]]="Purchase",E1552*J1552,0)</f>
        <v>0</v>
      </c>
    </row>
    <row r="1553" spans="1:15" x14ac:dyDescent="0.35">
      <c r="A1553" s="27" t="s">
        <v>2157</v>
      </c>
      <c r="B1553" s="12">
        <v>46131</v>
      </c>
      <c r="C1553" s="11" t="s">
        <v>48</v>
      </c>
      <c r="D1553" s="11" t="s">
        <v>13</v>
      </c>
      <c r="E1553" s="11">
        <v>-7</v>
      </c>
      <c r="F1553" s="11">
        <f t="shared" si="49"/>
        <v>-7</v>
      </c>
      <c r="G1553" s="11" t="s">
        <v>24</v>
      </c>
      <c r="H1553" s="11" t="s">
        <v>49</v>
      </c>
      <c r="I1553" s="11" t="s">
        <v>21</v>
      </c>
      <c r="J1553" s="11">
        <v>8.5</v>
      </c>
      <c r="K1553" s="11">
        <v>18</v>
      </c>
      <c r="L1553" s="11"/>
      <c r="M1553" s="11">
        <f t="shared" si="48"/>
        <v>59.5</v>
      </c>
      <c r="N1553" s="11">
        <f>IF(Table1[[#This Row],[Transaction Type]]="Sale",ABS(E1553)*K1553,0)</f>
        <v>126</v>
      </c>
      <c r="O1553" s="29">
        <f>IF(Table1[[#This Row],[Transaction Type]]="Purchase",E1553*J1553,0)</f>
        <v>0</v>
      </c>
    </row>
    <row r="1554" spans="1:15" x14ac:dyDescent="0.35">
      <c r="A1554" s="27" t="s">
        <v>2158</v>
      </c>
      <c r="B1554" s="12">
        <v>46131</v>
      </c>
      <c r="C1554" s="11" t="s">
        <v>52</v>
      </c>
      <c r="D1554" s="11" t="s">
        <v>13</v>
      </c>
      <c r="E1554" s="11">
        <v>-15</v>
      </c>
      <c r="F1554" s="11">
        <f t="shared" si="49"/>
        <v>-15</v>
      </c>
      <c r="G1554" s="11" t="s">
        <v>24</v>
      </c>
      <c r="H1554" s="11" t="s">
        <v>20</v>
      </c>
      <c r="I1554" s="11" t="s">
        <v>21</v>
      </c>
      <c r="J1554" s="11">
        <v>5.5</v>
      </c>
      <c r="K1554" s="11">
        <v>12</v>
      </c>
      <c r="L1554" s="11"/>
      <c r="M1554" s="11">
        <f t="shared" si="48"/>
        <v>82.5</v>
      </c>
      <c r="N1554" s="11">
        <f>IF(Table1[[#This Row],[Transaction Type]]="Sale",ABS(E1554)*K1554,0)</f>
        <v>180</v>
      </c>
      <c r="O1554" s="29">
        <f>IF(Table1[[#This Row],[Transaction Type]]="Purchase",E1554*J1554,0)</f>
        <v>0</v>
      </c>
    </row>
    <row r="1555" spans="1:15" x14ac:dyDescent="0.35">
      <c r="A1555" s="27" t="s">
        <v>2159</v>
      </c>
      <c r="B1555" s="12">
        <v>46132</v>
      </c>
      <c r="C1555" s="11" t="s">
        <v>43</v>
      </c>
      <c r="D1555" s="11" t="s">
        <v>13</v>
      </c>
      <c r="E1555" s="11">
        <v>-15</v>
      </c>
      <c r="F1555" s="11">
        <f t="shared" si="49"/>
        <v>-15</v>
      </c>
      <c r="G1555" s="11" t="s">
        <v>19</v>
      </c>
      <c r="H1555" s="11" t="s">
        <v>44</v>
      </c>
      <c r="I1555" s="11" t="s">
        <v>45</v>
      </c>
      <c r="J1555" s="11">
        <v>5.2</v>
      </c>
      <c r="K1555" s="11">
        <v>11</v>
      </c>
      <c r="L1555" s="11"/>
      <c r="M1555" s="11">
        <f t="shared" si="48"/>
        <v>78</v>
      </c>
      <c r="N1555" s="11">
        <f>IF(Table1[[#This Row],[Transaction Type]]="Sale",ABS(E1555)*K1555,0)</f>
        <v>165</v>
      </c>
      <c r="O1555" s="29">
        <f>IF(Table1[[#This Row],[Transaction Type]]="Purchase",E1555*J1555,0)</f>
        <v>0</v>
      </c>
    </row>
    <row r="1556" spans="1:15" x14ac:dyDescent="0.35">
      <c r="A1556" s="27" t="s">
        <v>2160</v>
      </c>
      <c r="B1556" s="12">
        <v>46134</v>
      </c>
      <c r="C1556" s="11" t="s">
        <v>55</v>
      </c>
      <c r="D1556" s="11" t="s">
        <v>13</v>
      </c>
      <c r="E1556" s="11">
        <v>-4</v>
      </c>
      <c r="F1556" s="11">
        <f t="shared" si="49"/>
        <v>-4</v>
      </c>
      <c r="G1556" s="11" t="s">
        <v>14</v>
      </c>
      <c r="H1556" s="11" t="s">
        <v>56</v>
      </c>
      <c r="I1556" s="11" t="s">
        <v>16</v>
      </c>
      <c r="J1556" s="11">
        <v>4.2</v>
      </c>
      <c r="K1556" s="11">
        <v>10</v>
      </c>
      <c r="L1556" s="11"/>
      <c r="M1556" s="11">
        <f t="shared" si="48"/>
        <v>16.8</v>
      </c>
      <c r="N1556" s="11">
        <f>IF(Table1[[#This Row],[Transaction Type]]="Sale",ABS(E1556)*K1556,0)</f>
        <v>40</v>
      </c>
      <c r="O1556" s="29">
        <f>IF(Table1[[#This Row],[Transaction Type]]="Purchase",E1556*J1556,0)</f>
        <v>0</v>
      </c>
    </row>
    <row r="1557" spans="1:15" x14ac:dyDescent="0.35">
      <c r="A1557" s="27" t="s">
        <v>2161</v>
      </c>
      <c r="B1557" s="12">
        <v>46134</v>
      </c>
      <c r="C1557" s="11" t="s">
        <v>52</v>
      </c>
      <c r="D1557" s="11" t="s">
        <v>40</v>
      </c>
      <c r="E1557" s="11">
        <v>108</v>
      </c>
      <c r="F1557" s="11">
        <f t="shared" si="49"/>
        <v>108</v>
      </c>
      <c r="G1557" s="11" t="s">
        <v>24</v>
      </c>
      <c r="H1557" s="11" t="s">
        <v>20</v>
      </c>
      <c r="I1557" s="11" t="s">
        <v>21</v>
      </c>
      <c r="J1557" s="11">
        <v>5.5</v>
      </c>
      <c r="K1557" s="11">
        <v>12</v>
      </c>
      <c r="L1557" s="11" t="s">
        <v>2162</v>
      </c>
      <c r="M1557" s="11">
        <f t="shared" si="48"/>
        <v>594</v>
      </c>
      <c r="N1557" s="11">
        <f>IF(Table1[[#This Row],[Transaction Type]]="Sale",ABS(E1557)*K1557,0)</f>
        <v>0</v>
      </c>
      <c r="O1557" s="29">
        <f>IF(Table1[[#This Row],[Transaction Type]]="Purchase",E1557*J1557,0)</f>
        <v>594</v>
      </c>
    </row>
    <row r="1558" spans="1:15" x14ac:dyDescent="0.35">
      <c r="A1558" s="27" t="s">
        <v>2163</v>
      </c>
      <c r="B1558" s="12">
        <v>46134</v>
      </c>
      <c r="C1558" s="11" t="s">
        <v>77</v>
      </c>
      <c r="D1558" s="11" t="s">
        <v>40</v>
      </c>
      <c r="E1558" s="11">
        <v>115</v>
      </c>
      <c r="F1558" s="11">
        <f t="shared" si="49"/>
        <v>115</v>
      </c>
      <c r="G1558" s="11" t="s">
        <v>24</v>
      </c>
      <c r="H1558" s="11" t="s">
        <v>78</v>
      </c>
      <c r="I1558" s="11" t="s">
        <v>16</v>
      </c>
      <c r="J1558" s="11">
        <v>25</v>
      </c>
      <c r="K1558" s="11">
        <v>42</v>
      </c>
      <c r="L1558" s="11" t="s">
        <v>2164</v>
      </c>
      <c r="M1558" s="11">
        <f t="shared" si="48"/>
        <v>2875</v>
      </c>
      <c r="N1558" s="11">
        <f>IF(Table1[[#This Row],[Transaction Type]]="Sale",ABS(E1558)*K1558,0)</f>
        <v>0</v>
      </c>
      <c r="O1558" s="29">
        <f>IF(Table1[[#This Row],[Transaction Type]]="Purchase",E1558*J1558,0)</f>
        <v>2875</v>
      </c>
    </row>
    <row r="1559" spans="1:15" x14ac:dyDescent="0.35">
      <c r="A1559" s="27" t="s">
        <v>2165</v>
      </c>
      <c r="B1559" s="12">
        <v>46134</v>
      </c>
      <c r="C1559" s="11" t="s">
        <v>73</v>
      </c>
      <c r="D1559" s="11" t="s">
        <v>13</v>
      </c>
      <c r="E1559" s="11">
        <v>-2</v>
      </c>
      <c r="F1559" s="11">
        <f t="shared" si="49"/>
        <v>-2</v>
      </c>
      <c r="G1559" s="11" t="s">
        <v>24</v>
      </c>
      <c r="H1559" s="11" t="s">
        <v>74</v>
      </c>
      <c r="I1559" s="11" t="s">
        <v>75</v>
      </c>
      <c r="J1559" s="11">
        <v>30</v>
      </c>
      <c r="K1559" s="11">
        <v>48</v>
      </c>
      <c r="L1559" s="11"/>
      <c r="M1559" s="11">
        <f t="shared" si="48"/>
        <v>60</v>
      </c>
      <c r="N1559" s="11">
        <f>IF(Table1[[#This Row],[Transaction Type]]="Sale",ABS(E1559)*K1559,0)</f>
        <v>96</v>
      </c>
      <c r="O1559" s="29">
        <f>IF(Table1[[#This Row],[Transaction Type]]="Purchase",E1559*J1559,0)</f>
        <v>0</v>
      </c>
    </row>
    <row r="1560" spans="1:15" x14ac:dyDescent="0.35">
      <c r="A1560" s="27" t="s">
        <v>2166</v>
      </c>
      <c r="B1560" s="12">
        <v>46134</v>
      </c>
      <c r="C1560" s="11" t="s">
        <v>52</v>
      </c>
      <c r="D1560" s="11" t="s">
        <v>66</v>
      </c>
      <c r="E1560" s="11">
        <v>3</v>
      </c>
      <c r="F1560" s="11">
        <f t="shared" si="49"/>
        <v>3</v>
      </c>
      <c r="G1560" s="11" t="s">
        <v>14</v>
      </c>
      <c r="H1560" s="11" t="s">
        <v>20</v>
      </c>
      <c r="I1560" s="11" t="s">
        <v>21</v>
      </c>
      <c r="J1560" s="11">
        <v>5.5</v>
      </c>
      <c r="K1560" s="11">
        <v>12</v>
      </c>
      <c r="L1560" s="11"/>
      <c r="M1560" s="11">
        <f t="shared" si="48"/>
        <v>16.5</v>
      </c>
      <c r="N1560" s="11">
        <f>IF(Table1[[#This Row],[Transaction Type]]="Sale",ABS(E1560)*K1560,0)</f>
        <v>0</v>
      </c>
      <c r="O1560" s="29">
        <f>IF(Table1[[#This Row],[Transaction Type]]="Purchase",E1560*J1560,0)</f>
        <v>0</v>
      </c>
    </row>
    <row r="1561" spans="1:15" x14ac:dyDescent="0.35">
      <c r="A1561" s="27" t="s">
        <v>2167</v>
      </c>
      <c r="B1561" s="12">
        <v>46135</v>
      </c>
      <c r="C1561" s="11" t="s">
        <v>136</v>
      </c>
      <c r="D1561" s="11" t="s">
        <v>13</v>
      </c>
      <c r="E1561" s="11">
        <v>-4</v>
      </c>
      <c r="F1561" s="11">
        <f t="shared" si="49"/>
        <v>-4</v>
      </c>
      <c r="G1561" s="11" t="s">
        <v>19</v>
      </c>
      <c r="H1561" s="11" t="s">
        <v>33</v>
      </c>
      <c r="I1561" s="11" t="s">
        <v>34</v>
      </c>
      <c r="J1561" s="11">
        <v>34</v>
      </c>
      <c r="K1561" s="11">
        <v>55</v>
      </c>
      <c r="L1561" s="11"/>
      <c r="M1561" s="11">
        <f t="shared" si="48"/>
        <v>136</v>
      </c>
      <c r="N1561" s="11">
        <f>IF(Table1[[#This Row],[Transaction Type]]="Sale",ABS(E1561)*K1561,0)</f>
        <v>220</v>
      </c>
      <c r="O1561" s="29">
        <f>IF(Table1[[#This Row],[Transaction Type]]="Purchase",E1561*J1561,0)</f>
        <v>0</v>
      </c>
    </row>
    <row r="1562" spans="1:15" x14ac:dyDescent="0.35">
      <c r="A1562" s="27" t="s">
        <v>2168</v>
      </c>
      <c r="B1562" s="12">
        <v>46135</v>
      </c>
      <c r="C1562" s="11" t="s">
        <v>81</v>
      </c>
      <c r="D1562" s="11" t="s">
        <v>13</v>
      </c>
      <c r="E1562" s="11">
        <v>-1</v>
      </c>
      <c r="F1562" s="11">
        <f t="shared" si="49"/>
        <v>-1</v>
      </c>
      <c r="G1562" s="11" t="s">
        <v>14</v>
      </c>
      <c r="H1562" s="11" t="s">
        <v>30</v>
      </c>
      <c r="I1562" s="11" t="s">
        <v>16</v>
      </c>
      <c r="J1562" s="11">
        <v>8</v>
      </c>
      <c r="K1562" s="11">
        <v>15</v>
      </c>
      <c r="L1562" s="11"/>
      <c r="M1562" s="11">
        <f t="shared" si="48"/>
        <v>8</v>
      </c>
      <c r="N1562" s="11">
        <f>IF(Table1[[#This Row],[Transaction Type]]="Sale",ABS(E1562)*K1562,0)</f>
        <v>15</v>
      </c>
      <c r="O1562" s="29">
        <f>IF(Table1[[#This Row],[Transaction Type]]="Purchase",E1562*J1562,0)</f>
        <v>0</v>
      </c>
    </row>
    <row r="1563" spans="1:15" x14ac:dyDescent="0.35">
      <c r="A1563" s="27" t="s">
        <v>2169</v>
      </c>
      <c r="B1563" s="12">
        <v>46135</v>
      </c>
      <c r="C1563" s="11" t="s">
        <v>60</v>
      </c>
      <c r="D1563" s="11" t="s">
        <v>13</v>
      </c>
      <c r="E1563" s="11">
        <v>-5</v>
      </c>
      <c r="F1563" s="11">
        <f t="shared" si="49"/>
        <v>-5</v>
      </c>
      <c r="G1563" s="11" t="s">
        <v>24</v>
      </c>
      <c r="H1563" s="11" t="s">
        <v>61</v>
      </c>
      <c r="I1563" s="11" t="s">
        <v>62</v>
      </c>
      <c r="J1563" s="11">
        <v>3.4</v>
      </c>
      <c r="K1563" s="11">
        <v>8</v>
      </c>
      <c r="L1563" s="11"/>
      <c r="M1563" s="11">
        <f t="shared" si="48"/>
        <v>17</v>
      </c>
      <c r="N1563" s="11">
        <f>IF(Table1[[#This Row],[Transaction Type]]="Sale",ABS(E1563)*K1563,0)</f>
        <v>40</v>
      </c>
      <c r="O1563" s="29">
        <f>IF(Table1[[#This Row],[Transaction Type]]="Purchase",E1563*J1563,0)</f>
        <v>0</v>
      </c>
    </row>
    <row r="1564" spans="1:15" x14ac:dyDescent="0.35">
      <c r="A1564" s="27" t="s">
        <v>2170</v>
      </c>
      <c r="B1564" s="12">
        <v>46135</v>
      </c>
      <c r="C1564" s="11" t="s">
        <v>65</v>
      </c>
      <c r="D1564" s="11" t="s">
        <v>40</v>
      </c>
      <c r="E1564" s="11">
        <v>84</v>
      </c>
      <c r="F1564" s="11">
        <f t="shared" si="49"/>
        <v>84</v>
      </c>
      <c r="G1564" s="11" t="s">
        <v>24</v>
      </c>
      <c r="H1564" s="11" t="s">
        <v>67</v>
      </c>
      <c r="I1564" s="11" t="s">
        <v>21</v>
      </c>
      <c r="J1564" s="11">
        <v>11</v>
      </c>
      <c r="K1564" s="11">
        <v>22</v>
      </c>
      <c r="L1564" s="11" t="s">
        <v>2171</v>
      </c>
      <c r="M1564" s="11">
        <f t="shared" si="48"/>
        <v>924</v>
      </c>
      <c r="N1564" s="11">
        <f>IF(Table1[[#This Row],[Transaction Type]]="Sale",ABS(E1564)*K1564,0)</f>
        <v>0</v>
      </c>
      <c r="O1564" s="29">
        <f>IF(Table1[[#This Row],[Transaction Type]]="Purchase",E1564*J1564,0)</f>
        <v>924</v>
      </c>
    </row>
    <row r="1565" spans="1:15" x14ac:dyDescent="0.35">
      <c r="A1565" s="27" t="s">
        <v>2172</v>
      </c>
      <c r="B1565" s="12">
        <v>46136</v>
      </c>
      <c r="C1565" s="11" t="s">
        <v>98</v>
      </c>
      <c r="D1565" s="11" t="s">
        <v>13</v>
      </c>
      <c r="E1565" s="11">
        <v>-2</v>
      </c>
      <c r="F1565" s="11">
        <f t="shared" si="49"/>
        <v>-2</v>
      </c>
      <c r="G1565" s="11" t="s">
        <v>19</v>
      </c>
      <c r="H1565" s="11" t="s">
        <v>30</v>
      </c>
      <c r="I1565" s="11" t="s">
        <v>16</v>
      </c>
      <c r="J1565" s="11">
        <v>16</v>
      </c>
      <c r="K1565" s="11">
        <v>29</v>
      </c>
      <c r="L1565" s="11"/>
      <c r="M1565" s="11">
        <f t="shared" si="48"/>
        <v>32</v>
      </c>
      <c r="N1565" s="11">
        <f>IF(Table1[[#This Row],[Transaction Type]]="Sale",ABS(E1565)*K1565,0)</f>
        <v>58</v>
      </c>
      <c r="O1565" s="29">
        <f>IF(Table1[[#This Row],[Transaction Type]]="Purchase",E1565*J1565,0)</f>
        <v>0</v>
      </c>
    </row>
    <row r="1566" spans="1:15" x14ac:dyDescent="0.35">
      <c r="A1566" s="27" t="s">
        <v>2173</v>
      </c>
      <c r="B1566" s="12">
        <v>46136</v>
      </c>
      <c r="C1566" s="11" t="s">
        <v>136</v>
      </c>
      <c r="D1566" s="11" t="s">
        <v>40</v>
      </c>
      <c r="E1566" s="11">
        <v>111</v>
      </c>
      <c r="F1566" s="11">
        <f t="shared" si="49"/>
        <v>111</v>
      </c>
      <c r="G1566" s="11" t="s">
        <v>19</v>
      </c>
      <c r="H1566" s="11" t="s">
        <v>33</v>
      </c>
      <c r="I1566" s="11" t="s">
        <v>34</v>
      </c>
      <c r="J1566" s="11">
        <v>34</v>
      </c>
      <c r="K1566" s="11">
        <v>55</v>
      </c>
      <c r="L1566" s="11" t="s">
        <v>2174</v>
      </c>
      <c r="M1566" s="11">
        <f t="shared" si="48"/>
        <v>3774</v>
      </c>
      <c r="N1566" s="11">
        <f>IF(Table1[[#This Row],[Transaction Type]]="Sale",ABS(E1566)*K1566,0)</f>
        <v>0</v>
      </c>
      <c r="O1566" s="29">
        <f>IF(Table1[[#This Row],[Transaction Type]]="Purchase",E1566*J1566,0)</f>
        <v>3774</v>
      </c>
    </row>
    <row r="1567" spans="1:15" x14ac:dyDescent="0.35">
      <c r="A1567" s="27" t="s">
        <v>2175</v>
      </c>
      <c r="B1567" s="12">
        <v>46136</v>
      </c>
      <c r="C1567" s="11" t="s">
        <v>141</v>
      </c>
      <c r="D1567" s="11" t="s">
        <v>40</v>
      </c>
      <c r="E1567" s="11">
        <v>61</v>
      </c>
      <c r="F1567" s="11">
        <f t="shared" si="49"/>
        <v>61</v>
      </c>
      <c r="G1567" s="11" t="s">
        <v>2522</v>
      </c>
      <c r="H1567" s="11" t="s">
        <v>25</v>
      </c>
      <c r="I1567" s="11" t="s">
        <v>26</v>
      </c>
      <c r="J1567" s="11">
        <v>4</v>
      </c>
      <c r="K1567" s="11">
        <v>9</v>
      </c>
      <c r="L1567" s="11" t="s">
        <v>2176</v>
      </c>
      <c r="M1567" s="11">
        <f t="shared" si="48"/>
        <v>244</v>
      </c>
      <c r="N1567" s="11">
        <f>IF(Table1[[#This Row],[Transaction Type]]="Sale",ABS(E1567)*K1567,0)</f>
        <v>0</v>
      </c>
      <c r="O1567" s="29">
        <f>IF(Table1[[#This Row],[Transaction Type]]="Purchase",E1567*J1567,0)</f>
        <v>244</v>
      </c>
    </row>
    <row r="1568" spans="1:15" x14ac:dyDescent="0.35">
      <c r="A1568" s="27" t="s">
        <v>2177</v>
      </c>
      <c r="B1568" s="12">
        <v>46136</v>
      </c>
      <c r="C1568" s="11" t="s">
        <v>87</v>
      </c>
      <c r="D1568" s="11" t="s">
        <v>40</v>
      </c>
      <c r="E1568" s="11">
        <v>53</v>
      </c>
      <c r="F1568" s="11">
        <f t="shared" si="49"/>
        <v>53</v>
      </c>
      <c r="G1568" s="11" t="s">
        <v>24</v>
      </c>
      <c r="H1568" s="11" t="s">
        <v>88</v>
      </c>
      <c r="I1568" s="11" t="s">
        <v>16</v>
      </c>
      <c r="J1568" s="11">
        <v>6</v>
      </c>
      <c r="K1568" s="11">
        <v>14</v>
      </c>
      <c r="L1568" s="11" t="s">
        <v>2178</v>
      </c>
      <c r="M1568" s="11">
        <f t="shared" si="48"/>
        <v>318</v>
      </c>
      <c r="N1568" s="11">
        <f>IF(Table1[[#This Row],[Transaction Type]]="Sale",ABS(E1568)*K1568,0)</f>
        <v>0</v>
      </c>
      <c r="O1568" s="29">
        <f>IF(Table1[[#This Row],[Transaction Type]]="Purchase",E1568*J1568,0)</f>
        <v>318</v>
      </c>
    </row>
    <row r="1569" spans="1:15" x14ac:dyDescent="0.35">
      <c r="A1569" s="27" t="s">
        <v>2179</v>
      </c>
      <c r="B1569" s="12">
        <v>46136</v>
      </c>
      <c r="C1569" s="11" t="s">
        <v>83</v>
      </c>
      <c r="D1569" s="11" t="s">
        <v>40</v>
      </c>
      <c r="E1569" s="11">
        <v>26</v>
      </c>
      <c r="F1569" s="11">
        <f t="shared" si="49"/>
        <v>26</v>
      </c>
      <c r="G1569" s="11" t="s">
        <v>14</v>
      </c>
      <c r="H1569" s="11" t="s">
        <v>84</v>
      </c>
      <c r="I1569" s="11" t="s">
        <v>45</v>
      </c>
      <c r="J1569" s="11">
        <v>130</v>
      </c>
      <c r="K1569" s="11">
        <v>185</v>
      </c>
      <c r="L1569" s="11" t="s">
        <v>2180</v>
      </c>
      <c r="M1569" s="11">
        <f t="shared" si="48"/>
        <v>3380</v>
      </c>
      <c r="N1569" s="11">
        <f>IF(Table1[[#This Row],[Transaction Type]]="Sale",ABS(E1569)*K1569,0)</f>
        <v>0</v>
      </c>
      <c r="O1569" s="29">
        <f>IF(Table1[[#This Row],[Transaction Type]]="Purchase",E1569*J1569,0)</f>
        <v>3380</v>
      </c>
    </row>
    <row r="1570" spans="1:15" x14ac:dyDescent="0.35">
      <c r="A1570" s="27" t="s">
        <v>2181</v>
      </c>
      <c r="B1570" s="12">
        <v>46136</v>
      </c>
      <c r="C1570" s="11" t="s">
        <v>43</v>
      </c>
      <c r="D1570" s="11" t="s">
        <v>40</v>
      </c>
      <c r="E1570" s="11">
        <v>64</v>
      </c>
      <c r="F1570" s="11">
        <f t="shared" si="49"/>
        <v>64</v>
      </c>
      <c r="G1570" s="11" t="s">
        <v>24</v>
      </c>
      <c r="H1570" s="11" t="s">
        <v>44</v>
      </c>
      <c r="I1570" s="11" t="s">
        <v>45</v>
      </c>
      <c r="J1570" s="11">
        <v>5.2</v>
      </c>
      <c r="K1570" s="11">
        <v>11</v>
      </c>
      <c r="L1570" s="11" t="s">
        <v>2182</v>
      </c>
      <c r="M1570" s="11">
        <f t="shared" si="48"/>
        <v>332.8</v>
      </c>
      <c r="N1570" s="11">
        <f>IF(Table1[[#This Row],[Transaction Type]]="Sale",ABS(E1570)*K1570,0)</f>
        <v>0</v>
      </c>
      <c r="O1570" s="29">
        <f>IF(Table1[[#This Row],[Transaction Type]]="Purchase",E1570*J1570,0)</f>
        <v>332.8</v>
      </c>
    </row>
    <row r="1571" spans="1:15" x14ac:dyDescent="0.35">
      <c r="A1571" s="27" t="s">
        <v>2183</v>
      </c>
      <c r="B1571" s="12">
        <v>46137</v>
      </c>
      <c r="C1571" s="11" t="s">
        <v>141</v>
      </c>
      <c r="D1571" s="11" t="s">
        <v>40</v>
      </c>
      <c r="E1571" s="11">
        <v>81</v>
      </c>
      <c r="F1571" s="11">
        <f t="shared" si="49"/>
        <v>81</v>
      </c>
      <c r="G1571" s="11" t="s">
        <v>19</v>
      </c>
      <c r="H1571" s="11" t="s">
        <v>25</v>
      </c>
      <c r="I1571" s="11" t="s">
        <v>26</v>
      </c>
      <c r="J1571" s="11">
        <v>4</v>
      </c>
      <c r="K1571" s="11">
        <v>9</v>
      </c>
      <c r="L1571" s="11" t="s">
        <v>2184</v>
      </c>
      <c r="M1571" s="11">
        <f t="shared" si="48"/>
        <v>324</v>
      </c>
      <c r="N1571" s="11">
        <f>IF(Table1[[#This Row],[Transaction Type]]="Sale",ABS(E1571)*K1571,0)</f>
        <v>0</v>
      </c>
      <c r="O1571" s="29">
        <f>IF(Table1[[#This Row],[Transaction Type]]="Purchase",E1571*J1571,0)</f>
        <v>324</v>
      </c>
    </row>
    <row r="1572" spans="1:15" x14ac:dyDescent="0.35">
      <c r="A1572" s="27" t="s">
        <v>2185</v>
      </c>
      <c r="B1572" s="12">
        <v>46137</v>
      </c>
      <c r="C1572" s="11" t="s">
        <v>12</v>
      </c>
      <c r="D1572" s="11" t="s">
        <v>13</v>
      </c>
      <c r="E1572" s="11">
        <v>-3</v>
      </c>
      <c r="F1572" s="11">
        <f t="shared" si="49"/>
        <v>-3</v>
      </c>
      <c r="G1572" s="11" t="s">
        <v>19</v>
      </c>
      <c r="H1572" s="11" t="s">
        <v>15</v>
      </c>
      <c r="I1572" s="11" t="s">
        <v>16</v>
      </c>
      <c r="J1572" s="11">
        <v>13.5</v>
      </c>
      <c r="K1572" s="11">
        <v>24</v>
      </c>
      <c r="L1572" s="11"/>
      <c r="M1572" s="11">
        <f t="shared" si="48"/>
        <v>40.5</v>
      </c>
      <c r="N1572" s="11">
        <f>IF(Table1[[#This Row],[Transaction Type]]="Sale",ABS(E1572)*K1572,0)</f>
        <v>72</v>
      </c>
      <c r="O1572" s="29">
        <f>IF(Table1[[#This Row],[Transaction Type]]="Purchase",E1572*J1572,0)</f>
        <v>0</v>
      </c>
    </row>
    <row r="1573" spans="1:15" x14ac:dyDescent="0.35">
      <c r="A1573" s="27" t="s">
        <v>2186</v>
      </c>
      <c r="B1573" s="12">
        <v>46137</v>
      </c>
      <c r="C1573" s="11" t="s">
        <v>81</v>
      </c>
      <c r="D1573" s="11" t="s">
        <v>13</v>
      </c>
      <c r="E1573" s="11">
        <v>-14</v>
      </c>
      <c r="F1573" s="11">
        <f t="shared" si="49"/>
        <v>-14</v>
      </c>
      <c r="G1573" s="11" t="s">
        <v>14</v>
      </c>
      <c r="H1573" s="11" t="s">
        <v>30</v>
      </c>
      <c r="I1573" s="11" t="s">
        <v>16</v>
      </c>
      <c r="J1573" s="11">
        <v>8</v>
      </c>
      <c r="K1573" s="11">
        <v>15</v>
      </c>
      <c r="L1573" s="11"/>
      <c r="M1573" s="11">
        <f t="shared" si="48"/>
        <v>112</v>
      </c>
      <c r="N1573" s="11">
        <f>IF(Table1[[#This Row],[Transaction Type]]="Sale",ABS(E1573)*K1573,0)</f>
        <v>210</v>
      </c>
      <c r="O1573" s="29">
        <f>IF(Table1[[#This Row],[Transaction Type]]="Purchase",E1573*J1573,0)</f>
        <v>0</v>
      </c>
    </row>
    <row r="1574" spans="1:15" x14ac:dyDescent="0.35">
      <c r="A1574" s="27" t="s">
        <v>2187</v>
      </c>
      <c r="B1574" s="12">
        <v>46137</v>
      </c>
      <c r="C1574" s="11" t="s">
        <v>52</v>
      </c>
      <c r="D1574" s="11" t="s">
        <v>40</v>
      </c>
      <c r="E1574" s="11">
        <v>89</v>
      </c>
      <c r="F1574" s="11">
        <f t="shared" si="49"/>
        <v>89</v>
      </c>
      <c r="G1574" s="11" t="s">
        <v>14</v>
      </c>
      <c r="H1574" s="11" t="s">
        <v>20</v>
      </c>
      <c r="I1574" s="11" t="s">
        <v>21</v>
      </c>
      <c r="J1574" s="11">
        <v>5.5</v>
      </c>
      <c r="K1574" s="11">
        <v>12</v>
      </c>
      <c r="L1574" s="11" t="s">
        <v>2188</v>
      </c>
      <c r="M1574" s="11">
        <f t="shared" si="48"/>
        <v>489.5</v>
      </c>
      <c r="N1574" s="11">
        <f>IF(Table1[[#This Row],[Transaction Type]]="Sale",ABS(E1574)*K1574,0)</f>
        <v>0</v>
      </c>
      <c r="O1574" s="29">
        <f>IF(Table1[[#This Row],[Transaction Type]]="Purchase",E1574*J1574,0)</f>
        <v>489.5</v>
      </c>
    </row>
    <row r="1575" spans="1:15" x14ac:dyDescent="0.35">
      <c r="A1575" s="27" t="s">
        <v>2189</v>
      </c>
      <c r="B1575" s="12">
        <v>46137</v>
      </c>
      <c r="C1575" s="11" t="s">
        <v>60</v>
      </c>
      <c r="D1575" s="11" t="s">
        <v>13</v>
      </c>
      <c r="E1575" s="11">
        <v>-9</v>
      </c>
      <c r="F1575" s="11">
        <f t="shared" si="49"/>
        <v>-9</v>
      </c>
      <c r="G1575" s="11" t="s">
        <v>14</v>
      </c>
      <c r="H1575" s="11" t="s">
        <v>61</v>
      </c>
      <c r="I1575" s="11" t="s">
        <v>62</v>
      </c>
      <c r="J1575" s="11">
        <v>3.4</v>
      </c>
      <c r="K1575" s="11">
        <v>8</v>
      </c>
      <c r="L1575" s="11"/>
      <c r="M1575" s="11">
        <f t="shared" si="48"/>
        <v>30.599999999999998</v>
      </c>
      <c r="N1575" s="11">
        <f>IF(Table1[[#This Row],[Transaction Type]]="Sale",ABS(E1575)*K1575,0)</f>
        <v>72</v>
      </c>
      <c r="O1575" s="29">
        <f>IF(Table1[[#This Row],[Transaction Type]]="Purchase",E1575*J1575,0)</f>
        <v>0</v>
      </c>
    </row>
    <row r="1576" spans="1:15" x14ac:dyDescent="0.35">
      <c r="A1576" s="27" t="s">
        <v>2190</v>
      </c>
      <c r="B1576" s="12">
        <v>46137</v>
      </c>
      <c r="C1576" s="11" t="s">
        <v>94</v>
      </c>
      <c r="D1576" s="11" t="s">
        <v>13</v>
      </c>
      <c r="E1576" s="11">
        <v>-9</v>
      </c>
      <c r="F1576" s="11">
        <f t="shared" si="49"/>
        <v>-9</v>
      </c>
      <c r="G1576" s="11" t="s">
        <v>24</v>
      </c>
      <c r="H1576" s="11" t="s">
        <v>95</v>
      </c>
      <c r="I1576" s="11" t="s">
        <v>16</v>
      </c>
      <c r="J1576" s="11">
        <v>18.5</v>
      </c>
      <c r="K1576" s="11">
        <v>31</v>
      </c>
      <c r="L1576" s="11"/>
      <c r="M1576" s="11">
        <f t="shared" si="48"/>
        <v>166.5</v>
      </c>
      <c r="N1576" s="11">
        <f>IF(Table1[[#This Row],[Transaction Type]]="Sale",ABS(E1576)*K1576,0)</f>
        <v>279</v>
      </c>
      <c r="O1576" s="29">
        <f>IF(Table1[[#This Row],[Transaction Type]]="Purchase",E1576*J1576,0)</f>
        <v>0</v>
      </c>
    </row>
    <row r="1577" spans="1:15" x14ac:dyDescent="0.35">
      <c r="A1577" s="27" t="s">
        <v>2191</v>
      </c>
      <c r="B1577" s="12">
        <v>46139</v>
      </c>
      <c r="C1577" s="11" t="s">
        <v>36</v>
      </c>
      <c r="D1577" s="11" t="s">
        <v>40</v>
      </c>
      <c r="E1577" s="11">
        <v>99</v>
      </c>
      <c r="F1577" s="11">
        <f t="shared" si="49"/>
        <v>99</v>
      </c>
      <c r="G1577" s="11" t="s">
        <v>19</v>
      </c>
      <c r="H1577" s="11" t="s">
        <v>37</v>
      </c>
      <c r="I1577" s="11" t="s">
        <v>16</v>
      </c>
      <c r="J1577" s="11">
        <v>7.2</v>
      </c>
      <c r="K1577" s="11">
        <v>12.5</v>
      </c>
      <c r="L1577" s="11" t="s">
        <v>2192</v>
      </c>
      <c r="M1577" s="11">
        <f t="shared" si="48"/>
        <v>712.80000000000007</v>
      </c>
      <c r="N1577" s="11">
        <f>IF(Table1[[#This Row],[Transaction Type]]="Sale",ABS(E1577)*K1577,0)</f>
        <v>0</v>
      </c>
      <c r="O1577" s="29">
        <f>IF(Table1[[#This Row],[Transaction Type]]="Purchase",E1577*J1577,0)</f>
        <v>712.80000000000007</v>
      </c>
    </row>
    <row r="1578" spans="1:15" x14ac:dyDescent="0.35">
      <c r="A1578" s="27" t="s">
        <v>2193</v>
      </c>
      <c r="B1578" s="12">
        <v>46139</v>
      </c>
      <c r="C1578" s="11" t="s">
        <v>136</v>
      </c>
      <c r="D1578" s="11" t="s">
        <v>66</v>
      </c>
      <c r="E1578" s="11">
        <v>5</v>
      </c>
      <c r="F1578" s="11">
        <f t="shared" si="49"/>
        <v>5</v>
      </c>
      <c r="G1578" s="11" t="s">
        <v>24</v>
      </c>
      <c r="H1578" s="11" t="s">
        <v>33</v>
      </c>
      <c r="I1578" s="11" t="s">
        <v>34</v>
      </c>
      <c r="J1578" s="11">
        <v>34</v>
      </c>
      <c r="K1578" s="11">
        <v>55</v>
      </c>
      <c r="L1578" s="11"/>
      <c r="M1578" s="11">
        <f t="shared" si="48"/>
        <v>170</v>
      </c>
      <c r="N1578" s="11">
        <f>IF(Table1[[#This Row],[Transaction Type]]="Sale",ABS(E1578)*K1578,0)</f>
        <v>0</v>
      </c>
      <c r="O1578" s="29">
        <f>IF(Table1[[#This Row],[Transaction Type]]="Purchase",E1578*J1578,0)</f>
        <v>0</v>
      </c>
    </row>
    <row r="1579" spans="1:15" x14ac:dyDescent="0.35">
      <c r="A1579" s="27" t="s">
        <v>2194</v>
      </c>
      <c r="B1579" s="12">
        <v>46139</v>
      </c>
      <c r="C1579" s="11" t="s">
        <v>48</v>
      </c>
      <c r="D1579" s="11" t="s">
        <v>13</v>
      </c>
      <c r="E1579" s="11">
        <v>-3</v>
      </c>
      <c r="F1579" s="11">
        <f t="shared" si="49"/>
        <v>-3</v>
      </c>
      <c r="G1579" s="11" t="s">
        <v>24</v>
      </c>
      <c r="H1579" s="11" t="s">
        <v>49</v>
      </c>
      <c r="I1579" s="11" t="s">
        <v>21</v>
      </c>
      <c r="J1579" s="11">
        <v>8.5</v>
      </c>
      <c r="K1579" s="11">
        <v>18</v>
      </c>
      <c r="L1579" s="11"/>
      <c r="M1579" s="11">
        <f t="shared" si="48"/>
        <v>25.5</v>
      </c>
      <c r="N1579" s="11">
        <f>IF(Table1[[#This Row],[Transaction Type]]="Sale",ABS(E1579)*K1579,0)</f>
        <v>54</v>
      </c>
      <c r="O1579" s="29">
        <f>IF(Table1[[#This Row],[Transaction Type]]="Purchase",E1579*J1579,0)</f>
        <v>0</v>
      </c>
    </row>
    <row r="1580" spans="1:15" x14ac:dyDescent="0.35">
      <c r="A1580" s="27" t="s">
        <v>2195</v>
      </c>
      <c r="B1580" s="12">
        <v>46140</v>
      </c>
      <c r="C1580" s="11" t="s">
        <v>29</v>
      </c>
      <c r="D1580" s="11" t="s">
        <v>13</v>
      </c>
      <c r="E1580" s="11">
        <v>-8</v>
      </c>
      <c r="F1580" s="11">
        <f t="shared" si="49"/>
        <v>-8</v>
      </c>
      <c r="G1580" s="11" t="s">
        <v>14</v>
      </c>
      <c r="H1580" s="11" t="s">
        <v>30</v>
      </c>
      <c r="I1580" s="11" t="s">
        <v>16</v>
      </c>
      <c r="J1580" s="11">
        <v>8.8000000000000007</v>
      </c>
      <c r="K1580" s="11">
        <v>17</v>
      </c>
      <c r="L1580" s="11"/>
      <c r="M1580" s="11">
        <f t="shared" si="48"/>
        <v>70.400000000000006</v>
      </c>
      <c r="N1580" s="11">
        <f>IF(Table1[[#This Row],[Transaction Type]]="Sale",ABS(E1580)*K1580,0)</f>
        <v>136</v>
      </c>
      <c r="O1580" s="29">
        <f>IF(Table1[[#This Row],[Transaction Type]]="Purchase",E1580*J1580,0)</f>
        <v>0</v>
      </c>
    </row>
    <row r="1581" spans="1:15" x14ac:dyDescent="0.35">
      <c r="A1581" s="27" t="s">
        <v>2196</v>
      </c>
      <c r="B1581" s="12">
        <v>46140</v>
      </c>
      <c r="C1581" s="11" t="s">
        <v>73</v>
      </c>
      <c r="D1581" s="11" t="s">
        <v>58</v>
      </c>
      <c r="E1581" s="11">
        <v>-5</v>
      </c>
      <c r="F1581" s="11">
        <f t="shared" si="49"/>
        <v>-5</v>
      </c>
      <c r="G1581" s="11" t="s">
        <v>14</v>
      </c>
      <c r="H1581" s="11" t="s">
        <v>74</v>
      </c>
      <c r="I1581" s="11" t="s">
        <v>75</v>
      </c>
      <c r="J1581" s="11">
        <v>30</v>
      </c>
      <c r="K1581" s="11">
        <v>48</v>
      </c>
      <c r="L1581" s="11"/>
      <c r="M1581" s="11">
        <f t="shared" si="48"/>
        <v>150</v>
      </c>
      <c r="N1581" s="11">
        <f>IF(Table1[[#This Row],[Transaction Type]]="Sale",ABS(E1581)*K1581,0)</f>
        <v>0</v>
      </c>
      <c r="O1581" s="29">
        <f>IF(Table1[[#This Row],[Transaction Type]]="Purchase",E1581*J1581,0)</f>
        <v>0</v>
      </c>
    </row>
    <row r="1582" spans="1:15" x14ac:dyDescent="0.35">
      <c r="A1582" s="27" t="s">
        <v>2197</v>
      </c>
      <c r="B1582" s="12">
        <v>46140</v>
      </c>
      <c r="C1582" s="11" t="s">
        <v>43</v>
      </c>
      <c r="D1582" s="11" t="s">
        <v>13</v>
      </c>
      <c r="E1582" s="11">
        <v>-12</v>
      </c>
      <c r="F1582" s="11">
        <f t="shared" si="49"/>
        <v>-12</v>
      </c>
      <c r="G1582" s="11" t="s">
        <v>19</v>
      </c>
      <c r="H1582" s="11" t="s">
        <v>44</v>
      </c>
      <c r="I1582" s="11" t="s">
        <v>45</v>
      </c>
      <c r="J1582" s="11">
        <v>5.2</v>
      </c>
      <c r="K1582" s="11">
        <v>11</v>
      </c>
      <c r="L1582" s="11"/>
      <c r="M1582" s="11">
        <f t="shared" si="48"/>
        <v>62.400000000000006</v>
      </c>
      <c r="N1582" s="11">
        <f>IF(Table1[[#This Row],[Transaction Type]]="Sale",ABS(E1582)*K1582,0)</f>
        <v>132</v>
      </c>
      <c r="O1582" s="29">
        <f>IF(Table1[[#This Row],[Transaction Type]]="Purchase",E1582*J1582,0)</f>
        <v>0</v>
      </c>
    </row>
    <row r="1583" spans="1:15" x14ac:dyDescent="0.35">
      <c r="A1583" s="27" t="s">
        <v>2198</v>
      </c>
      <c r="B1583" s="12">
        <v>46141</v>
      </c>
      <c r="C1583" s="11" t="s">
        <v>32</v>
      </c>
      <c r="D1583" s="11" t="s">
        <v>13</v>
      </c>
      <c r="E1583" s="11">
        <v>-4</v>
      </c>
      <c r="F1583" s="11">
        <f t="shared" si="49"/>
        <v>-4</v>
      </c>
      <c r="G1583" s="11" t="s">
        <v>19</v>
      </c>
      <c r="H1583" s="11" t="s">
        <v>33</v>
      </c>
      <c r="I1583" s="11" t="s">
        <v>34</v>
      </c>
      <c r="J1583" s="11">
        <v>20</v>
      </c>
      <c r="K1583" s="11">
        <v>35</v>
      </c>
      <c r="L1583" s="11"/>
      <c r="M1583" s="11">
        <f t="shared" si="48"/>
        <v>80</v>
      </c>
      <c r="N1583" s="11">
        <f>IF(Table1[[#This Row],[Transaction Type]]="Sale",ABS(E1583)*K1583,0)</f>
        <v>140</v>
      </c>
      <c r="O1583" s="29">
        <f>IF(Table1[[#This Row],[Transaction Type]]="Purchase",E1583*J1583,0)</f>
        <v>0</v>
      </c>
    </row>
    <row r="1584" spans="1:15" x14ac:dyDescent="0.35">
      <c r="A1584" s="27" t="s">
        <v>2199</v>
      </c>
      <c r="B1584" s="12">
        <v>46141</v>
      </c>
      <c r="C1584" s="11" t="s">
        <v>60</v>
      </c>
      <c r="D1584" s="11" t="s">
        <v>58</v>
      </c>
      <c r="E1584" s="11">
        <v>12</v>
      </c>
      <c r="F1584" s="11">
        <f t="shared" si="49"/>
        <v>12</v>
      </c>
      <c r="G1584" s="11" t="s">
        <v>19</v>
      </c>
      <c r="H1584" s="11" t="s">
        <v>61</v>
      </c>
      <c r="I1584" s="11" t="s">
        <v>62</v>
      </c>
      <c r="J1584" s="11">
        <v>3.4</v>
      </c>
      <c r="K1584" s="11">
        <v>8</v>
      </c>
      <c r="L1584" s="11"/>
      <c r="M1584" s="11">
        <f t="shared" si="48"/>
        <v>40.799999999999997</v>
      </c>
      <c r="N1584" s="11">
        <f>IF(Table1[[#This Row],[Transaction Type]]="Sale",ABS(E1584)*K1584,0)</f>
        <v>0</v>
      </c>
      <c r="O1584" s="29">
        <f>IF(Table1[[#This Row],[Transaction Type]]="Purchase",E1584*J1584,0)</f>
        <v>0</v>
      </c>
    </row>
    <row r="1585" spans="1:15" x14ac:dyDescent="0.35">
      <c r="A1585" s="27" t="s">
        <v>2200</v>
      </c>
      <c r="B1585" s="12">
        <v>46141</v>
      </c>
      <c r="C1585" s="11" t="s">
        <v>52</v>
      </c>
      <c r="D1585" s="11" t="s">
        <v>40</v>
      </c>
      <c r="E1585" s="11">
        <v>26</v>
      </c>
      <c r="F1585" s="11">
        <f t="shared" si="49"/>
        <v>26</v>
      </c>
      <c r="G1585" s="11" t="s">
        <v>24</v>
      </c>
      <c r="H1585" s="11" t="s">
        <v>20</v>
      </c>
      <c r="I1585" s="11" t="s">
        <v>21</v>
      </c>
      <c r="J1585" s="11">
        <v>5.5</v>
      </c>
      <c r="K1585" s="11">
        <v>12</v>
      </c>
      <c r="L1585" s="11" t="s">
        <v>2201</v>
      </c>
      <c r="M1585" s="11">
        <f t="shared" si="48"/>
        <v>143</v>
      </c>
      <c r="N1585" s="11">
        <f>IF(Table1[[#This Row],[Transaction Type]]="Sale",ABS(E1585)*K1585,0)</f>
        <v>0</v>
      </c>
      <c r="O1585" s="29">
        <f>IF(Table1[[#This Row],[Transaction Type]]="Purchase",E1585*J1585,0)</f>
        <v>143</v>
      </c>
    </row>
    <row r="1586" spans="1:15" x14ac:dyDescent="0.35">
      <c r="A1586" s="27" t="s">
        <v>2202</v>
      </c>
      <c r="B1586" s="12">
        <v>46142</v>
      </c>
      <c r="C1586" s="11" t="s">
        <v>43</v>
      </c>
      <c r="D1586" s="11" t="s">
        <v>40</v>
      </c>
      <c r="E1586" s="11">
        <v>92</v>
      </c>
      <c r="F1586" s="11">
        <f t="shared" si="49"/>
        <v>92</v>
      </c>
      <c r="G1586" s="11" t="s">
        <v>14</v>
      </c>
      <c r="H1586" s="11" t="s">
        <v>44</v>
      </c>
      <c r="I1586" s="11" t="s">
        <v>45</v>
      </c>
      <c r="J1586" s="11">
        <v>5.2</v>
      </c>
      <c r="K1586" s="11">
        <v>11</v>
      </c>
      <c r="L1586" s="11" t="s">
        <v>2203</v>
      </c>
      <c r="M1586" s="11">
        <f t="shared" si="48"/>
        <v>478.40000000000003</v>
      </c>
      <c r="N1586" s="11">
        <f>IF(Table1[[#This Row],[Transaction Type]]="Sale",ABS(E1586)*K1586,0)</f>
        <v>0</v>
      </c>
      <c r="O1586" s="29">
        <f>IF(Table1[[#This Row],[Transaction Type]]="Purchase",E1586*J1586,0)</f>
        <v>478.40000000000003</v>
      </c>
    </row>
    <row r="1587" spans="1:15" x14ac:dyDescent="0.35">
      <c r="A1587" s="27" t="s">
        <v>2204</v>
      </c>
      <c r="B1587" s="12">
        <v>46142</v>
      </c>
      <c r="C1587" s="11" t="s">
        <v>87</v>
      </c>
      <c r="D1587" s="11" t="s">
        <v>40</v>
      </c>
      <c r="E1587" s="11">
        <v>67</v>
      </c>
      <c r="F1587" s="11">
        <f t="shared" si="49"/>
        <v>67</v>
      </c>
      <c r="G1587" s="11" t="s">
        <v>24</v>
      </c>
      <c r="H1587" s="11" t="s">
        <v>88</v>
      </c>
      <c r="I1587" s="11" t="s">
        <v>16</v>
      </c>
      <c r="J1587" s="11">
        <v>6</v>
      </c>
      <c r="K1587" s="11">
        <v>14</v>
      </c>
      <c r="L1587" s="11" t="s">
        <v>2205</v>
      </c>
      <c r="M1587" s="11">
        <f t="shared" si="48"/>
        <v>402</v>
      </c>
      <c r="N1587" s="11">
        <f>IF(Table1[[#This Row],[Transaction Type]]="Sale",ABS(E1587)*K1587,0)</f>
        <v>0</v>
      </c>
      <c r="O1587" s="29">
        <f>IF(Table1[[#This Row],[Transaction Type]]="Purchase",E1587*J1587,0)</f>
        <v>402</v>
      </c>
    </row>
    <row r="1588" spans="1:15" x14ac:dyDescent="0.35">
      <c r="A1588" s="27" t="s">
        <v>2206</v>
      </c>
      <c r="B1588" s="12">
        <v>46143</v>
      </c>
      <c r="C1588" s="11" t="s">
        <v>194</v>
      </c>
      <c r="D1588" s="11" t="s">
        <v>40</v>
      </c>
      <c r="E1588" s="11">
        <v>48</v>
      </c>
      <c r="F1588" s="11">
        <f t="shared" si="49"/>
        <v>48</v>
      </c>
      <c r="G1588" s="11" t="s">
        <v>14</v>
      </c>
      <c r="H1588" s="11" t="s">
        <v>195</v>
      </c>
      <c r="I1588" s="11" t="s">
        <v>21</v>
      </c>
      <c r="J1588" s="11">
        <v>220</v>
      </c>
      <c r="K1588" s="11">
        <v>320</v>
      </c>
      <c r="L1588" s="11" t="s">
        <v>2207</v>
      </c>
      <c r="M1588" s="11">
        <f t="shared" si="48"/>
        <v>10560</v>
      </c>
      <c r="N1588" s="11">
        <f>IF(Table1[[#This Row],[Transaction Type]]="Sale",ABS(E1588)*K1588,0)</f>
        <v>0</v>
      </c>
      <c r="O1588" s="29">
        <f>IF(Table1[[#This Row],[Transaction Type]]="Purchase",E1588*J1588,0)</f>
        <v>10560</v>
      </c>
    </row>
    <row r="1589" spans="1:15" x14ac:dyDescent="0.35">
      <c r="A1589" s="27" t="s">
        <v>2208</v>
      </c>
      <c r="B1589" s="12">
        <v>46143</v>
      </c>
      <c r="C1589" s="11" t="s">
        <v>87</v>
      </c>
      <c r="D1589" s="11" t="s">
        <v>58</v>
      </c>
      <c r="E1589" s="11">
        <v>8</v>
      </c>
      <c r="F1589" s="11">
        <f t="shared" si="49"/>
        <v>8</v>
      </c>
      <c r="G1589" s="11" t="s">
        <v>14</v>
      </c>
      <c r="H1589" s="11" t="s">
        <v>88</v>
      </c>
      <c r="I1589" s="11" t="s">
        <v>16</v>
      </c>
      <c r="J1589" s="11">
        <v>6</v>
      </c>
      <c r="K1589" s="11">
        <v>14</v>
      </c>
      <c r="L1589" s="11"/>
      <c r="M1589" s="11">
        <f t="shared" si="48"/>
        <v>48</v>
      </c>
      <c r="N1589" s="11">
        <f>IF(Table1[[#This Row],[Transaction Type]]="Sale",ABS(E1589)*K1589,0)</f>
        <v>0</v>
      </c>
      <c r="O1589" s="29">
        <f>IF(Table1[[#This Row],[Transaction Type]]="Purchase",E1589*J1589,0)</f>
        <v>0</v>
      </c>
    </row>
    <row r="1590" spans="1:15" x14ac:dyDescent="0.35">
      <c r="A1590" s="27" t="s">
        <v>2209</v>
      </c>
      <c r="B1590" s="12">
        <v>46143</v>
      </c>
      <c r="C1590" s="11" t="s">
        <v>55</v>
      </c>
      <c r="D1590" s="11" t="s">
        <v>40</v>
      </c>
      <c r="E1590" s="11">
        <v>44</v>
      </c>
      <c r="F1590" s="11">
        <f t="shared" si="49"/>
        <v>44</v>
      </c>
      <c r="G1590" s="11" t="s">
        <v>24</v>
      </c>
      <c r="H1590" s="11" t="s">
        <v>56</v>
      </c>
      <c r="I1590" s="11" t="s">
        <v>16</v>
      </c>
      <c r="J1590" s="11">
        <v>4.2</v>
      </c>
      <c r="K1590" s="11">
        <v>10</v>
      </c>
      <c r="L1590" s="11" t="s">
        <v>2210</v>
      </c>
      <c r="M1590" s="11">
        <f t="shared" si="48"/>
        <v>184.8</v>
      </c>
      <c r="N1590" s="11">
        <f>IF(Table1[[#This Row],[Transaction Type]]="Sale",ABS(E1590)*K1590,0)</f>
        <v>0</v>
      </c>
      <c r="O1590" s="29">
        <f>IF(Table1[[#This Row],[Transaction Type]]="Purchase",E1590*J1590,0)</f>
        <v>184.8</v>
      </c>
    </row>
    <row r="1591" spans="1:15" x14ac:dyDescent="0.35">
      <c r="A1591" s="27" t="s">
        <v>2211</v>
      </c>
      <c r="B1591" s="12">
        <v>46143</v>
      </c>
      <c r="C1591" s="11" t="s">
        <v>139</v>
      </c>
      <c r="D1591" s="11" t="s">
        <v>40</v>
      </c>
      <c r="E1591" s="11">
        <v>61</v>
      </c>
      <c r="F1591" s="11">
        <f t="shared" si="49"/>
        <v>61</v>
      </c>
      <c r="G1591" s="11" t="s">
        <v>24</v>
      </c>
      <c r="H1591" s="11" t="s">
        <v>56</v>
      </c>
      <c r="I1591" s="11" t="s">
        <v>16</v>
      </c>
      <c r="J1591" s="11">
        <v>16.5</v>
      </c>
      <c r="K1591" s="11">
        <v>28</v>
      </c>
      <c r="L1591" s="11" t="s">
        <v>2212</v>
      </c>
      <c r="M1591" s="11">
        <f t="shared" si="48"/>
        <v>1006.5</v>
      </c>
      <c r="N1591" s="11">
        <f>IF(Table1[[#This Row],[Transaction Type]]="Sale",ABS(E1591)*K1591,0)</f>
        <v>0</v>
      </c>
      <c r="O1591" s="29">
        <f>IF(Table1[[#This Row],[Transaction Type]]="Purchase",E1591*J1591,0)</f>
        <v>1006.5</v>
      </c>
    </row>
    <row r="1592" spans="1:15" x14ac:dyDescent="0.35">
      <c r="A1592" s="27" t="s">
        <v>2213</v>
      </c>
      <c r="B1592" s="12">
        <v>46143</v>
      </c>
      <c r="C1592" s="11" t="s">
        <v>12</v>
      </c>
      <c r="D1592" s="11" t="s">
        <v>40</v>
      </c>
      <c r="E1592" s="11">
        <v>43</v>
      </c>
      <c r="F1592" s="11">
        <f t="shared" si="49"/>
        <v>43</v>
      </c>
      <c r="G1592" s="11" t="s">
        <v>14</v>
      </c>
      <c r="H1592" s="11" t="s">
        <v>15</v>
      </c>
      <c r="I1592" s="11" t="s">
        <v>16</v>
      </c>
      <c r="J1592" s="11">
        <v>13.5</v>
      </c>
      <c r="K1592" s="11">
        <v>24</v>
      </c>
      <c r="L1592" s="11" t="s">
        <v>2214</v>
      </c>
      <c r="M1592" s="11">
        <f t="shared" si="48"/>
        <v>580.5</v>
      </c>
      <c r="N1592" s="11">
        <f>IF(Table1[[#This Row],[Transaction Type]]="Sale",ABS(E1592)*K1592,0)</f>
        <v>0</v>
      </c>
      <c r="O1592" s="29">
        <f>IF(Table1[[#This Row],[Transaction Type]]="Purchase",E1592*J1592,0)</f>
        <v>580.5</v>
      </c>
    </row>
    <row r="1593" spans="1:15" x14ac:dyDescent="0.35">
      <c r="A1593" s="27" t="s">
        <v>2215</v>
      </c>
      <c r="B1593" s="12">
        <v>46143</v>
      </c>
      <c r="C1593" s="11" t="s">
        <v>32</v>
      </c>
      <c r="D1593" s="11" t="s">
        <v>40</v>
      </c>
      <c r="E1593" s="11">
        <v>103</v>
      </c>
      <c r="F1593" s="11">
        <f t="shared" si="49"/>
        <v>103</v>
      </c>
      <c r="G1593" s="11" t="s">
        <v>14</v>
      </c>
      <c r="H1593" s="11" t="s">
        <v>33</v>
      </c>
      <c r="I1593" s="11" t="s">
        <v>34</v>
      </c>
      <c r="J1593" s="11">
        <v>20</v>
      </c>
      <c r="K1593" s="11">
        <v>35</v>
      </c>
      <c r="L1593" s="11" t="s">
        <v>2216</v>
      </c>
      <c r="M1593" s="11">
        <f t="shared" si="48"/>
        <v>2060</v>
      </c>
      <c r="N1593" s="11">
        <f>IF(Table1[[#This Row],[Transaction Type]]="Sale",ABS(E1593)*K1593,0)</f>
        <v>0</v>
      </c>
      <c r="O1593" s="29">
        <f>IF(Table1[[#This Row],[Transaction Type]]="Purchase",E1593*J1593,0)</f>
        <v>2060</v>
      </c>
    </row>
    <row r="1594" spans="1:15" x14ac:dyDescent="0.35">
      <c r="A1594" s="27" t="s">
        <v>2217</v>
      </c>
      <c r="B1594" s="12">
        <v>46144</v>
      </c>
      <c r="C1594" s="11" t="s">
        <v>52</v>
      </c>
      <c r="D1594" s="11" t="s">
        <v>40</v>
      </c>
      <c r="E1594" s="11">
        <v>29</v>
      </c>
      <c r="F1594" s="11">
        <f t="shared" si="49"/>
        <v>29</v>
      </c>
      <c r="G1594" s="11" t="s">
        <v>24</v>
      </c>
      <c r="H1594" s="11" t="s">
        <v>20</v>
      </c>
      <c r="I1594" s="11" t="s">
        <v>21</v>
      </c>
      <c r="J1594" s="11">
        <v>5.5</v>
      </c>
      <c r="K1594" s="11">
        <v>12</v>
      </c>
      <c r="L1594" s="11" t="s">
        <v>2218</v>
      </c>
      <c r="M1594" s="11">
        <f t="shared" si="48"/>
        <v>159.5</v>
      </c>
      <c r="N1594" s="11">
        <f>IF(Table1[[#This Row],[Transaction Type]]="Sale",ABS(E1594)*K1594,0)</f>
        <v>0</v>
      </c>
      <c r="O1594" s="29">
        <f>IF(Table1[[#This Row],[Transaction Type]]="Purchase",E1594*J1594,0)</f>
        <v>159.5</v>
      </c>
    </row>
    <row r="1595" spans="1:15" x14ac:dyDescent="0.35">
      <c r="A1595" s="27" t="s">
        <v>2219</v>
      </c>
      <c r="B1595" s="12">
        <v>46144</v>
      </c>
      <c r="C1595" s="11" t="s">
        <v>43</v>
      </c>
      <c r="D1595" s="11" t="s">
        <v>13</v>
      </c>
      <c r="E1595" s="11">
        <v>-6</v>
      </c>
      <c r="F1595" s="11">
        <f t="shared" si="49"/>
        <v>-6</v>
      </c>
      <c r="G1595" s="11" t="s">
        <v>14</v>
      </c>
      <c r="H1595" s="11" t="s">
        <v>44</v>
      </c>
      <c r="I1595" s="11" t="s">
        <v>45</v>
      </c>
      <c r="J1595" s="11">
        <v>5.2</v>
      </c>
      <c r="K1595" s="11">
        <v>11</v>
      </c>
      <c r="L1595" s="11"/>
      <c r="M1595" s="11">
        <f t="shared" si="48"/>
        <v>31.200000000000003</v>
      </c>
      <c r="N1595" s="11">
        <f>IF(Table1[[#This Row],[Transaction Type]]="Sale",ABS(E1595)*K1595,0)</f>
        <v>66</v>
      </c>
      <c r="O1595" s="29">
        <f>IF(Table1[[#This Row],[Transaction Type]]="Purchase",E1595*J1595,0)</f>
        <v>0</v>
      </c>
    </row>
    <row r="1596" spans="1:15" x14ac:dyDescent="0.35">
      <c r="A1596" s="27" t="s">
        <v>2220</v>
      </c>
      <c r="B1596" s="12">
        <v>46145</v>
      </c>
      <c r="C1596" s="11" t="s">
        <v>36</v>
      </c>
      <c r="D1596" s="11" t="s">
        <v>40</v>
      </c>
      <c r="E1596" s="11">
        <v>65</v>
      </c>
      <c r="F1596" s="11">
        <f t="shared" si="49"/>
        <v>65</v>
      </c>
      <c r="G1596" s="11" t="s">
        <v>24</v>
      </c>
      <c r="H1596" s="11" t="s">
        <v>37</v>
      </c>
      <c r="I1596" s="11" t="s">
        <v>16</v>
      </c>
      <c r="J1596" s="11">
        <v>7.2</v>
      </c>
      <c r="K1596" s="11">
        <v>12.5</v>
      </c>
      <c r="L1596" s="11" t="s">
        <v>2221</v>
      </c>
      <c r="M1596" s="11">
        <f t="shared" si="48"/>
        <v>468</v>
      </c>
      <c r="N1596" s="11">
        <f>IF(Table1[[#This Row],[Transaction Type]]="Sale",ABS(E1596)*K1596,0)</f>
        <v>0</v>
      </c>
      <c r="O1596" s="29">
        <f>IF(Table1[[#This Row],[Transaction Type]]="Purchase",E1596*J1596,0)</f>
        <v>468</v>
      </c>
    </row>
    <row r="1597" spans="1:15" x14ac:dyDescent="0.35">
      <c r="A1597" s="27" t="s">
        <v>2222</v>
      </c>
      <c r="B1597" s="12">
        <v>46145</v>
      </c>
      <c r="C1597" s="11" t="s">
        <v>52</v>
      </c>
      <c r="D1597" s="11" t="s">
        <v>13</v>
      </c>
      <c r="E1597" s="11">
        <v>-12</v>
      </c>
      <c r="F1597" s="11">
        <f t="shared" si="49"/>
        <v>-12</v>
      </c>
      <c r="G1597" s="11" t="s">
        <v>14</v>
      </c>
      <c r="H1597" s="11" t="s">
        <v>20</v>
      </c>
      <c r="I1597" s="11" t="s">
        <v>21</v>
      </c>
      <c r="J1597" s="11">
        <v>5.5</v>
      </c>
      <c r="K1597" s="11">
        <v>12</v>
      </c>
      <c r="L1597" s="11"/>
      <c r="M1597" s="11">
        <f t="shared" si="48"/>
        <v>66</v>
      </c>
      <c r="N1597" s="11">
        <f>IF(Table1[[#This Row],[Transaction Type]]="Sale",ABS(E1597)*K1597,0)</f>
        <v>144</v>
      </c>
      <c r="O1597" s="29">
        <f>IF(Table1[[#This Row],[Transaction Type]]="Purchase",E1597*J1597,0)</f>
        <v>0</v>
      </c>
    </row>
    <row r="1598" spans="1:15" x14ac:dyDescent="0.35">
      <c r="A1598" s="27" t="s">
        <v>2223</v>
      </c>
      <c r="B1598" s="12">
        <v>46147</v>
      </c>
      <c r="C1598" s="11" t="s">
        <v>23</v>
      </c>
      <c r="D1598" s="11" t="s">
        <v>13</v>
      </c>
      <c r="E1598" s="11">
        <v>-13</v>
      </c>
      <c r="F1598" s="11">
        <f t="shared" si="49"/>
        <v>-13</v>
      </c>
      <c r="G1598" s="11" t="s">
        <v>19</v>
      </c>
      <c r="H1598" s="11" t="s">
        <v>25</v>
      </c>
      <c r="I1598" s="11" t="s">
        <v>26</v>
      </c>
      <c r="J1598" s="11">
        <v>3</v>
      </c>
      <c r="K1598" s="11">
        <v>7</v>
      </c>
      <c r="L1598" s="11"/>
      <c r="M1598" s="11">
        <f t="shared" si="48"/>
        <v>39</v>
      </c>
      <c r="N1598" s="11">
        <f>IF(Table1[[#This Row],[Transaction Type]]="Sale",ABS(E1598)*K1598,0)</f>
        <v>91</v>
      </c>
      <c r="O1598" s="29">
        <f>IF(Table1[[#This Row],[Transaction Type]]="Purchase",E1598*J1598,0)</f>
        <v>0</v>
      </c>
    </row>
    <row r="1599" spans="1:15" x14ac:dyDescent="0.35">
      <c r="A1599" s="27" t="s">
        <v>2224</v>
      </c>
      <c r="B1599" s="12">
        <v>46148</v>
      </c>
      <c r="C1599" s="11" t="s">
        <v>87</v>
      </c>
      <c r="D1599" s="11" t="s">
        <v>13</v>
      </c>
      <c r="E1599" s="11">
        <v>-3</v>
      </c>
      <c r="F1599" s="11">
        <f t="shared" si="49"/>
        <v>-3</v>
      </c>
      <c r="G1599" s="11" t="s">
        <v>19</v>
      </c>
      <c r="H1599" s="11" t="s">
        <v>88</v>
      </c>
      <c r="I1599" s="11" t="s">
        <v>16</v>
      </c>
      <c r="J1599" s="11">
        <v>6</v>
      </c>
      <c r="K1599" s="11">
        <v>14</v>
      </c>
      <c r="L1599" s="11"/>
      <c r="M1599" s="11">
        <f t="shared" si="48"/>
        <v>18</v>
      </c>
      <c r="N1599" s="11">
        <f>IF(Table1[[#This Row],[Transaction Type]]="Sale",ABS(E1599)*K1599,0)</f>
        <v>42</v>
      </c>
      <c r="O1599" s="29">
        <f>IF(Table1[[#This Row],[Transaction Type]]="Purchase",E1599*J1599,0)</f>
        <v>0</v>
      </c>
    </row>
    <row r="1600" spans="1:15" x14ac:dyDescent="0.35">
      <c r="A1600" s="27" t="s">
        <v>2225</v>
      </c>
      <c r="B1600" s="12">
        <v>46149</v>
      </c>
      <c r="C1600" s="11" t="s">
        <v>52</v>
      </c>
      <c r="D1600" s="11" t="s">
        <v>13</v>
      </c>
      <c r="E1600" s="11">
        <v>-13</v>
      </c>
      <c r="F1600" s="11">
        <f t="shared" si="49"/>
        <v>-13</v>
      </c>
      <c r="G1600" s="11" t="s">
        <v>24</v>
      </c>
      <c r="H1600" s="11" t="s">
        <v>20</v>
      </c>
      <c r="I1600" s="11" t="s">
        <v>21</v>
      </c>
      <c r="J1600" s="11">
        <v>5.5</v>
      </c>
      <c r="K1600" s="11">
        <v>12</v>
      </c>
      <c r="L1600" s="11"/>
      <c r="M1600" s="11">
        <f t="shared" si="48"/>
        <v>71.5</v>
      </c>
      <c r="N1600" s="11">
        <f>IF(Table1[[#This Row],[Transaction Type]]="Sale",ABS(E1600)*K1600,0)</f>
        <v>156</v>
      </c>
      <c r="O1600" s="29">
        <f>IF(Table1[[#This Row],[Transaction Type]]="Purchase",E1600*J1600,0)</f>
        <v>0</v>
      </c>
    </row>
    <row r="1601" spans="1:15" x14ac:dyDescent="0.35">
      <c r="A1601" s="27" t="s">
        <v>2226</v>
      </c>
      <c r="B1601" s="12">
        <v>46149</v>
      </c>
      <c r="C1601" s="11" t="s">
        <v>227</v>
      </c>
      <c r="D1601" s="11" t="s">
        <v>40</v>
      </c>
      <c r="E1601" s="11">
        <v>66</v>
      </c>
      <c r="F1601" s="11">
        <f t="shared" si="49"/>
        <v>66</v>
      </c>
      <c r="G1601" s="11" t="s">
        <v>14</v>
      </c>
      <c r="H1601" s="11" t="s">
        <v>228</v>
      </c>
      <c r="I1601" s="11" t="s">
        <v>16</v>
      </c>
      <c r="J1601" s="11">
        <v>78</v>
      </c>
      <c r="K1601" s="11">
        <v>125</v>
      </c>
      <c r="L1601" s="11" t="s">
        <v>2227</v>
      </c>
      <c r="M1601" s="11">
        <f t="shared" si="48"/>
        <v>5148</v>
      </c>
      <c r="N1601" s="11">
        <f>IF(Table1[[#This Row],[Transaction Type]]="Sale",ABS(E1601)*K1601,0)</f>
        <v>0</v>
      </c>
      <c r="O1601" s="29">
        <f>IF(Table1[[#This Row],[Transaction Type]]="Purchase",E1601*J1601,0)</f>
        <v>5148</v>
      </c>
    </row>
    <row r="1602" spans="1:15" x14ac:dyDescent="0.35">
      <c r="A1602" s="27" t="s">
        <v>2228</v>
      </c>
      <c r="B1602" s="12">
        <v>46149</v>
      </c>
      <c r="C1602" s="11" t="s">
        <v>36</v>
      </c>
      <c r="D1602" s="11" t="s">
        <v>13</v>
      </c>
      <c r="E1602" s="11">
        <v>-15</v>
      </c>
      <c r="F1602" s="11">
        <f t="shared" si="49"/>
        <v>-15</v>
      </c>
      <c r="G1602" s="11" t="s">
        <v>14</v>
      </c>
      <c r="H1602" s="11" t="s">
        <v>37</v>
      </c>
      <c r="I1602" s="11" t="s">
        <v>16</v>
      </c>
      <c r="J1602" s="11">
        <v>7.2</v>
      </c>
      <c r="K1602" s="11">
        <v>12.5</v>
      </c>
      <c r="L1602" s="11"/>
      <c r="M1602" s="11">
        <f t="shared" ref="M1602:M1665" si="50">ABS(E1602)*J1602</f>
        <v>108</v>
      </c>
      <c r="N1602" s="11">
        <f>IF(Table1[[#This Row],[Transaction Type]]="Sale",ABS(E1602)*K1602,0)</f>
        <v>187.5</v>
      </c>
      <c r="O1602" s="29">
        <f>IF(Table1[[#This Row],[Transaction Type]]="Purchase",E1602*J1602,0)</f>
        <v>0</v>
      </c>
    </row>
    <row r="1603" spans="1:15" x14ac:dyDescent="0.35">
      <c r="A1603" s="27" t="s">
        <v>2229</v>
      </c>
      <c r="B1603" s="12">
        <v>46150</v>
      </c>
      <c r="C1603" s="11" t="s">
        <v>18</v>
      </c>
      <c r="D1603" s="11" t="s">
        <v>13</v>
      </c>
      <c r="E1603" s="11">
        <v>-2</v>
      </c>
      <c r="F1603" s="11">
        <f t="shared" ref="F1603:F1666" si="51">E1603</f>
        <v>-2</v>
      </c>
      <c r="G1603" s="11" t="s">
        <v>14</v>
      </c>
      <c r="H1603" s="11" t="s">
        <v>20</v>
      </c>
      <c r="I1603" s="11" t="s">
        <v>21</v>
      </c>
      <c r="J1603" s="11">
        <v>2.6</v>
      </c>
      <c r="K1603" s="11">
        <v>5.5</v>
      </c>
      <c r="L1603" s="11"/>
      <c r="M1603" s="11">
        <f t="shared" si="50"/>
        <v>5.2</v>
      </c>
      <c r="N1603" s="11">
        <f>IF(Table1[[#This Row],[Transaction Type]]="Sale",ABS(E1603)*K1603,0)</f>
        <v>11</v>
      </c>
      <c r="O1603" s="29">
        <f>IF(Table1[[#This Row],[Transaction Type]]="Purchase",E1603*J1603,0)</f>
        <v>0</v>
      </c>
    </row>
    <row r="1604" spans="1:15" x14ac:dyDescent="0.35">
      <c r="A1604" s="27" t="s">
        <v>2230</v>
      </c>
      <c r="B1604" s="12">
        <v>46150</v>
      </c>
      <c r="C1604" s="11" t="s">
        <v>36</v>
      </c>
      <c r="D1604" s="11" t="s">
        <v>40</v>
      </c>
      <c r="E1604" s="11">
        <v>89</v>
      </c>
      <c r="F1604" s="11">
        <f t="shared" si="51"/>
        <v>89</v>
      </c>
      <c r="G1604" s="11" t="s">
        <v>24</v>
      </c>
      <c r="H1604" s="11" t="s">
        <v>37</v>
      </c>
      <c r="I1604" s="11" t="s">
        <v>16</v>
      </c>
      <c r="J1604" s="11">
        <v>7.2</v>
      </c>
      <c r="K1604" s="11">
        <v>12.5</v>
      </c>
      <c r="L1604" s="11" t="s">
        <v>2231</v>
      </c>
      <c r="M1604" s="11">
        <f t="shared" si="50"/>
        <v>640.80000000000007</v>
      </c>
      <c r="N1604" s="11">
        <f>IF(Table1[[#This Row],[Transaction Type]]="Sale",ABS(E1604)*K1604,0)</f>
        <v>0</v>
      </c>
      <c r="O1604" s="29">
        <f>IF(Table1[[#This Row],[Transaction Type]]="Purchase",E1604*J1604,0)</f>
        <v>640.80000000000007</v>
      </c>
    </row>
    <row r="1605" spans="1:15" x14ac:dyDescent="0.35">
      <c r="A1605" s="27" t="s">
        <v>2232</v>
      </c>
      <c r="B1605" s="12">
        <v>46151</v>
      </c>
      <c r="C1605" s="11" t="s">
        <v>65</v>
      </c>
      <c r="D1605" s="11" t="s">
        <v>13</v>
      </c>
      <c r="E1605" s="11">
        <v>-10</v>
      </c>
      <c r="F1605" s="11">
        <f t="shared" si="51"/>
        <v>-10</v>
      </c>
      <c r="G1605" s="11" t="s">
        <v>24</v>
      </c>
      <c r="H1605" s="11" t="s">
        <v>67</v>
      </c>
      <c r="I1605" s="11" t="s">
        <v>21</v>
      </c>
      <c r="J1605" s="11">
        <v>11</v>
      </c>
      <c r="K1605" s="11">
        <v>22</v>
      </c>
      <c r="L1605" s="11"/>
      <c r="M1605" s="11">
        <f t="shared" si="50"/>
        <v>110</v>
      </c>
      <c r="N1605" s="11">
        <f>IF(Table1[[#This Row],[Transaction Type]]="Sale",ABS(E1605)*K1605,0)</f>
        <v>220</v>
      </c>
      <c r="O1605" s="29">
        <f>IF(Table1[[#This Row],[Transaction Type]]="Purchase",E1605*J1605,0)</f>
        <v>0</v>
      </c>
    </row>
    <row r="1606" spans="1:15" x14ac:dyDescent="0.35">
      <c r="A1606" s="27" t="s">
        <v>2233</v>
      </c>
      <c r="B1606" s="12">
        <v>46151</v>
      </c>
      <c r="C1606" s="11" t="s">
        <v>194</v>
      </c>
      <c r="D1606" s="11" t="s">
        <v>13</v>
      </c>
      <c r="E1606" s="11">
        <v>-8</v>
      </c>
      <c r="F1606" s="11">
        <f t="shared" si="51"/>
        <v>-8</v>
      </c>
      <c r="G1606" s="11" t="s">
        <v>24</v>
      </c>
      <c r="H1606" s="11" t="s">
        <v>195</v>
      </c>
      <c r="I1606" s="11" t="s">
        <v>21</v>
      </c>
      <c r="J1606" s="11">
        <v>220</v>
      </c>
      <c r="K1606" s="11">
        <v>320</v>
      </c>
      <c r="L1606" s="11"/>
      <c r="M1606" s="11">
        <f t="shared" si="50"/>
        <v>1760</v>
      </c>
      <c r="N1606" s="11">
        <f>IF(Table1[[#This Row],[Transaction Type]]="Sale",ABS(E1606)*K1606,0)</f>
        <v>2560</v>
      </c>
      <c r="O1606" s="29">
        <f>IF(Table1[[#This Row],[Transaction Type]]="Purchase",E1606*J1606,0)</f>
        <v>0</v>
      </c>
    </row>
    <row r="1607" spans="1:15" x14ac:dyDescent="0.35">
      <c r="A1607" s="27" t="s">
        <v>2234</v>
      </c>
      <c r="B1607" s="12">
        <v>46151</v>
      </c>
      <c r="C1607" s="11" t="s">
        <v>52</v>
      </c>
      <c r="D1607" s="11" t="s">
        <v>13</v>
      </c>
      <c r="E1607" s="11">
        <v>-13</v>
      </c>
      <c r="F1607" s="11">
        <f t="shared" si="51"/>
        <v>-13</v>
      </c>
      <c r="G1607" s="11" t="s">
        <v>19</v>
      </c>
      <c r="H1607" s="11" t="s">
        <v>20</v>
      </c>
      <c r="I1607" s="11" t="s">
        <v>21</v>
      </c>
      <c r="J1607" s="11">
        <v>5.5</v>
      </c>
      <c r="K1607" s="11">
        <v>12</v>
      </c>
      <c r="L1607" s="11"/>
      <c r="M1607" s="11">
        <f t="shared" si="50"/>
        <v>71.5</v>
      </c>
      <c r="N1607" s="11">
        <f>IF(Table1[[#This Row],[Transaction Type]]="Sale",ABS(E1607)*K1607,0)</f>
        <v>156</v>
      </c>
      <c r="O1607" s="29">
        <f>IF(Table1[[#This Row],[Transaction Type]]="Purchase",E1607*J1607,0)</f>
        <v>0</v>
      </c>
    </row>
    <row r="1608" spans="1:15" x14ac:dyDescent="0.35">
      <c r="A1608" s="27" t="s">
        <v>2235</v>
      </c>
      <c r="B1608" s="12">
        <v>46152</v>
      </c>
      <c r="C1608" s="11" t="s">
        <v>55</v>
      </c>
      <c r="D1608" s="11" t="s">
        <v>13</v>
      </c>
      <c r="E1608" s="11">
        <v>-8</v>
      </c>
      <c r="F1608" s="11">
        <f t="shared" si="51"/>
        <v>-8</v>
      </c>
      <c r="G1608" s="11" t="s">
        <v>14</v>
      </c>
      <c r="H1608" s="11" t="s">
        <v>56</v>
      </c>
      <c r="I1608" s="11" t="s">
        <v>16</v>
      </c>
      <c r="J1608" s="11">
        <v>4.2</v>
      </c>
      <c r="K1608" s="11">
        <v>10</v>
      </c>
      <c r="L1608" s="11"/>
      <c r="M1608" s="11">
        <f t="shared" si="50"/>
        <v>33.6</v>
      </c>
      <c r="N1608" s="11">
        <f>IF(Table1[[#This Row],[Transaction Type]]="Sale",ABS(E1608)*K1608,0)</f>
        <v>80</v>
      </c>
      <c r="O1608" s="29">
        <f>IF(Table1[[#This Row],[Transaction Type]]="Purchase",E1608*J1608,0)</f>
        <v>0</v>
      </c>
    </row>
    <row r="1609" spans="1:15" x14ac:dyDescent="0.35">
      <c r="A1609" s="27" t="s">
        <v>2236</v>
      </c>
      <c r="B1609" s="12">
        <v>46152</v>
      </c>
      <c r="C1609" s="11" t="s">
        <v>36</v>
      </c>
      <c r="D1609" s="11" t="s">
        <v>58</v>
      </c>
      <c r="E1609" s="11">
        <v>-12</v>
      </c>
      <c r="F1609" s="11">
        <f t="shared" si="51"/>
        <v>-12</v>
      </c>
      <c r="G1609" s="11" t="s">
        <v>24</v>
      </c>
      <c r="H1609" s="11" t="s">
        <v>37</v>
      </c>
      <c r="I1609" s="11" t="s">
        <v>16</v>
      </c>
      <c r="J1609" s="11">
        <v>7.2</v>
      </c>
      <c r="K1609" s="11">
        <v>12.5</v>
      </c>
      <c r="L1609" s="11"/>
      <c r="M1609" s="11">
        <f t="shared" si="50"/>
        <v>86.4</v>
      </c>
      <c r="N1609" s="11">
        <f>IF(Table1[[#This Row],[Transaction Type]]="Sale",ABS(E1609)*K1609,0)</f>
        <v>0</v>
      </c>
      <c r="O1609" s="29">
        <f>IF(Table1[[#This Row],[Transaction Type]]="Purchase",E1609*J1609,0)</f>
        <v>0</v>
      </c>
    </row>
    <row r="1610" spans="1:15" x14ac:dyDescent="0.35">
      <c r="A1610" s="27" t="s">
        <v>2237</v>
      </c>
      <c r="B1610" s="12">
        <v>46152</v>
      </c>
      <c r="C1610" s="11" t="s">
        <v>65</v>
      </c>
      <c r="D1610" s="11" t="s">
        <v>13</v>
      </c>
      <c r="E1610" s="11">
        <v>-10</v>
      </c>
      <c r="F1610" s="11">
        <f t="shared" si="51"/>
        <v>-10</v>
      </c>
      <c r="G1610" s="11" t="s">
        <v>24</v>
      </c>
      <c r="H1610" s="11" t="s">
        <v>67</v>
      </c>
      <c r="I1610" s="11" t="s">
        <v>21</v>
      </c>
      <c r="J1610" s="11">
        <v>11</v>
      </c>
      <c r="K1610" s="11">
        <v>22</v>
      </c>
      <c r="L1610" s="11"/>
      <c r="M1610" s="11">
        <f t="shared" si="50"/>
        <v>110</v>
      </c>
      <c r="N1610" s="11">
        <f>IF(Table1[[#This Row],[Transaction Type]]="Sale",ABS(E1610)*K1610,0)</f>
        <v>220</v>
      </c>
      <c r="O1610" s="29">
        <f>IF(Table1[[#This Row],[Transaction Type]]="Purchase",E1610*J1610,0)</f>
        <v>0</v>
      </c>
    </row>
    <row r="1611" spans="1:15" x14ac:dyDescent="0.35">
      <c r="A1611" s="27" t="s">
        <v>2238</v>
      </c>
      <c r="B1611" s="12">
        <v>46153</v>
      </c>
      <c r="C1611" s="11" t="s">
        <v>12</v>
      </c>
      <c r="D1611" s="11" t="s">
        <v>40</v>
      </c>
      <c r="E1611" s="11">
        <v>71</v>
      </c>
      <c r="F1611" s="11">
        <f t="shared" si="51"/>
        <v>71</v>
      </c>
      <c r="G1611" s="11" t="s">
        <v>14</v>
      </c>
      <c r="H1611" s="11" t="s">
        <v>15</v>
      </c>
      <c r="I1611" s="11" t="s">
        <v>16</v>
      </c>
      <c r="J1611" s="11">
        <v>13.5</v>
      </c>
      <c r="K1611" s="11">
        <v>24</v>
      </c>
      <c r="L1611" s="11" t="s">
        <v>2239</v>
      </c>
      <c r="M1611" s="11">
        <f t="shared" si="50"/>
        <v>958.5</v>
      </c>
      <c r="N1611" s="11">
        <f>IF(Table1[[#This Row],[Transaction Type]]="Sale",ABS(E1611)*K1611,0)</f>
        <v>0</v>
      </c>
      <c r="O1611" s="29">
        <f>IF(Table1[[#This Row],[Transaction Type]]="Purchase",E1611*J1611,0)</f>
        <v>958.5</v>
      </c>
    </row>
    <row r="1612" spans="1:15" x14ac:dyDescent="0.35">
      <c r="A1612" s="27" t="s">
        <v>2240</v>
      </c>
      <c r="B1612" s="12">
        <v>46153</v>
      </c>
      <c r="C1612" s="11" t="s">
        <v>32</v>
      </c>
      <c r="D1612" s="11" t="s">
        <v>13</v>
      </c>
      <c r="E1612" s="11">
        <v>-13</v>
      </c>
      <c r="F1612" s="11">
        <f t="shared" si="51"/>
        <v>-13</v>
      </c>
      <c r="G1612" s="11" t="s">
        <v>24</v>
      </c>
      <c r="H1612" s="11" t="s">
        <v>33</v>
      </c>
      <c r="I1612" s="11" t="s">
        <v>34</v>
      </c>
      <c r="J1612" s="11">
        <v>20</v>
      </c>
      <c r="K1612" s="11">
        <v>35</v>
      </c>
      <c r="L1612" s="11"/>
      <c r="M1612" s="11">
        <f t="shared" si="50"/>
        <v>260</v>
      </c>
      <c r="N1612" s="11">
        <f>IF(Table1[[#This Row],[Transaction Type]]="Sale",ABS(E1612)*K1612,0)</f>
        <v>455</v>
      </c>
      <c r="O1612" s="29">
        <f>IF(Table1[[#This Row],[Transaction Type]]="Purchase",E1612*J1612,0)</f>
        <v>0</v>
      </c>
    </row>
    <row r="1613" spans="1:15" x14ac:dyDescent="0.35">
      <c r="A1613" s="27" t="s">
        <v>2241</v>
      </c>
      <c r="B1613" s="12">
        <v>46153</v>
      </c>
      <c r="C1613" s="11" t="s">
        <v>139</v>
      </c>
      <c r="D1613" s="11" t="s">
        <v>40</v>
      </c>
      <c r="E1613" s="11">
        <v>117</v>
      </c>
      <c r="F1613" s="11">
        <f t="shared" si="51"/>
        <v>117</v>
      </c>
      <c r="G1613" s="11" t="s">
        <v>14</v>
      </c>
      <c r="H1613" s="11" t="s">
        <v>56</v>
      </c>
      <c r="I1613" s="11" t="s">
        <v>16</v>
      </c>
      <c r="J1613" s="11">
        <v>16.5</v>
      </c>
      <c r="K1613" s="11">
        <v>28</v>
      </c>
      <c r="L1613" s="11" t="s">
        <v>2242</v>
      </c>
      <c r="M1613" s="11">
        <f t="shared" si="50"/>
        <v>1930.5</v>
      </c>
      <c r="N1613" s="11">
        <f>IF(Table1[[#This Row],[Transaction Type]]="Sale",ABS(E1613)*K1613,0)</f>
        <v>0</v>
      </c>
      <c r="O1613" s="29">
        <f>IF(Table1[[#This Row],[Transaction Type]]="Purchase",E1613*J1613,0)</f>
        <v>1930.5</v>
      </c>
    </row>
    <row r="1614" spans="1:15" x14ac:dyDescent="0.35">
      <c r="A1614" s="27" t="s">
        <v>2243</v>
      </c>
      <c r="B1614" s="12">
        <v>46153</v>
      </c>
      <c r="C1614" s="11" t="s">
        <v>81</v>
      </c>
      <c r="D1614" s="11" t="s">
        <v>13</v>
      </c>
      <c r="E1614" s="11">
        <v>-11</v>
      </c>
      <c r="F1614" s="11">
        <f t="shared" si="51"/>
        <v>-11</v>
      </c>
      <c r="G1614" s="11" t="s">
        <v>14</v>
      </c>
      <c r="H1614" s="11" t="s">
        <v>30</v>
      </c>
      <c r="I1614" s="11" t="s">
        <v>16</v>
      </c>
      <c r="J1614" s="11">
        <v>8</v>
      </c>
      <c r="K1614" s="11">
        <v>15</v>
      </c>
      <c r="L1614" s="11"/>
      <c r="M1614" s="11">
        <f t="shared" si="50"/>
        <v>88</v>
      </c>
      <c r="N1614" s="11">
        <f>IF(Table1[[#This Row],[Transaction Type]]="Sale",ABS(E1614)*K1614,0)</f>
        <v>165</v>
      </c>
      <c r="O1614" s="29">
        <f>IF(Table1[[#This Row],[Transaction Type]]="Purchase",E1614*J1614,0)</f>
        <v>0</v>
      </c>
    </row>
    <row r="1615" spans="1:15" x14ac:dyDescent="0.35">
      <c r="A1615" s="27" t="s">
        <v>2244</v>
      </c>
      <c r="B1615" s="12">
        <v>46153</v>
      </c>
      <c r="C1615" s="11" t="s">
        <v>81</v>
      </c>
      <c r="D1615" s="11" t="s">
        <v>13</v>
      </c>
      <c r="E1615" s="11">
        <v>-9</v>
      </c>
      <c r="F1615" s="11">
        <f t="shared" si="51"/>
        <v>-9</v>
      </c>
      <c r="G1615" s="11" t="s">
        <v>14</v>
      </c>
      <c r="H1615" s="11" t="s">
        <v>30</v>
      </c>
      <c r="I1615" s="11" t="s">
        <v>16</v>
      </c>
      <c r="J1615" s="11">
        <v>8</v>
      </c>
      <c r="K1615" s="11">
        <v>15</v>
      </c>
      <c r="L1615" s="11"/>
      <c r="M1615" s="11">
        <f t="shared" si="50"/>
        <v>72</v>
      </c>
      <c r="N1615" s="11">
        <f>IF(Table1[[#This Row],[Transaction Type]]="Sale",ABS(E1615)*K1615,0)</f>
        <v>135</v>
      </c>
      <c r="O1615" s="29">
        <f>IF(Table1[[#This Row],[Transaction Type]]="Purchase",E1615*J1615,0)</f>
        <v>0</v>
      </c>
    </row>
    <row r="1616" spans="1:15" x14ac:dyDescent="0.35">
      <c r="A1616" s="27" t="s">
        <v>2245</v>
      </c>
      <c r="B1616" s="12">
        <v>46154</v>
      </c>
      <c r="C1616" s="11" t="s">
        <v>48</v>
      </c>
      <c r="D1616" s="11" t="s">
        <v>13</v>
      </c>
      <c r="E1616" s="11">
        <v>-6</v>
      </c>
      <c r="F1616" s="11">
        <f t="shared" si="51"/>
        <v>-6</v>
      </c>
      <c r="G1616" s="11" t="s">
        <v>24</v>
      </c>
      <c r="H1616" s="11" t="s">
        <v>49</v>
      </c>
      <c r="I1616" s="11" t="s">
        <v>21</v>
      </c>
      <c r="J1616" s="11">
        <v>8.5</v>
      </c>
      <c r="K1616" s="11">
        <v>18</v>
      </c>
      <c r="L1616" s="11"/>
      <c r="M1616" s="11">
        <f t="shared" si="50"/>
        <v>51</v>
      </c>
      <c r="N1616" s="11">
        <f>IF(Table1[[#This Row],[Transaction Type]]="Sale",ABS(E1616)*K1616,0)</f>
        <v>108</v>
      </c>
      <c r="O1616" s="29">
        <f>IF(Table1[[#This Row],[Transaction Type]]="Purchase",E1616*J1616,0)</f>
        <v>0</v>
      </c>
    </row>
    <row r="1617" spans="1:15" x14ac:dyDescent="0.35">
      <c r="A1617" s="27" t="s">
        <v>2246</v>
      </c>
      <c r="B1617" s="12">
        <v>46154</v>
      </c>
      <c r="C1617" s="11" t="s">
        <v>43</v>
      </c>
      <c r="D1617" s="11" t="s">
        <v>13</v>
      </c>
      <c r="E1617" s="11">
        <v>-3</v>
      </c>
      <c r="F1617" s="11">
        <f t="shared" si="51"/>
        <v>-3</v>
      </c>
      <c r="G1617" s="11" t="s">
        <v>14</v>
      </c>
      <c r="H1617" s="11" t="s">
        <v>44</v>
      </c>
      <c r="I1617" s="11" t="s">
        <v>45</v>
      </c>
      <c r="J1617" s="11">
        <v>5.2</v>
      </c>
      <c r="K1617" s="11">
        <v>11</v>
      </c>
      <c r="L1617" s="11"/>
      <c r="M1617" s="11">
        <f t="shared" si="50"/>
        <v>15.600000000000001</v>
      </c>
      <c r="N1617" s="11">
        <f>IF(Table1[[#This Row],[Transaction Type]]="Sale",ABS(E1617)*K1617,0)</f>
        <v>33</v>
      </c>
      <c r="O1617" s="29">
        <f>IF(Table1[[#This Row],[Transaction Type]]="Purchase",E1617*J1617,0)</f>
        <v>0</v>
      </c>
    </row>
    <row r="1618" spans="1:15" x14ac:dyDescent="0.35">
      <c r="A1618" s="27" t="s">
        <v>2247</v>
      </c>
      <c r="B1618" s="12">
        <v>46155</v>
      </c>
      <c r="C1618" s="11" t="s">
        <v>32</v>
      </c>
      <c r="D1618" s="11" t="s">
        <v>13</v>
      </c>
      <c r="E1618" s="11">
        <v>-11</v>
      </c>
      <c r="F1618" s="11">
        <f t="shared" si="51"/>
        <v>-11</v>
      </c>
      <c r="G1618" s="11" t="s">
        <v>14</v>
      </c>
      <c r="H1618" s="11" t="s">
        <v>33</v>
      </c>
      <c r="I1618" s="11" t="s">
        <v>34</v>
      </c>
      <c r="J1618" s="11">
        <v>20</v>
      </c>
      <c r="K1618" s="11">
        <v>35</v>
      </c>
      <c r="L1618" s="11"/>
      <c r="M1618" s="11">
        <f t="shared" si="50"/>
        <v>220</v>
      </c>
      <c r="N1618" s="11">
        <f>IF(Table1[[#This Row],[Transaction Type]]="Sale",ABS(E1618)*K1618,0)</f>
        <v>385</v>
      </c>
      <c r="O1618" s="29">
        <f>IF(Table1[[#This Row],[Transaction Type]]="Purchase",E1618*J1618,0)</f>
        <v>0</v>
      </c>
    </row>
    <row r="1619" spans="1:15" x14ac:dyDescent="0.35">
      <c r="A1619" s="27" t="s">
        <v>2248</v>
      </c>
      <c r="B1619" s="12">
        <v>46155</v>
      </c>
      <c r="C1619" s="11" t="s">
        <v>12</v>
      </c>
      <c r="D1619" s="11" t="s">
        <v>40</v>
      </c>
      <c r="E1619" s="11">
        <v>107</v>
      </c>
      <c r="F1619" s="11">
        <f t="shared" si="51"/>
        <v>107</v>
      </c>
      <c r="G1619" s="11" t="s">
        <v>14</v>
      </c>
      <c r="H1619" s="11" t="s">
        <v>15</v>
      </c>
      <c r="I1619" s="11" t="s">
        <v>16</v>
      </c>
      <c r="J1619" s="11">
        <v>13.5</v>
      </c>
      <c r="K1619" s="11">
        <v>24</v>
      </c>
      <c r="L1619" s="11" t="s">
        <v>2249</v>
      </c>
      <c r="M1619" s="11">
        <f t="shared" si="50"/>
        <v>1444.5</v>
      </c>
      <c r="N1619" s="11">
        <f>IF(Table1[[#This Row],[Transaction Type]]="Sale",ABS(E1619)*K1619,0)</f>
        <v>0</v>
      </c>
      <c r="O1619" s="29">
        <f>IF(Table1[[#This Row],[Transaction Type]]="Purchase",E1619*J1619,0)</f>
        <v>1444.5</v>
      </c>
    </row>
    <row r="1620" spans="1:15" x14ac:dyDescent="0.35">
      <c r="A1620" s="27" t="s">
        <v>2250</v>
      </c>
      <c r="B1620" s="12">
        <v>46155</v>
      </c>
      <c r="C1620" s="11" t="s">
        <v>185</v>
      </c>
      <c r="D1620" s="11" t="s">
        <v>13</v>
      </c>
      <c r="E1620" s="11">
        <v>-7</v>
      </c>
      <c r="F1620" s="11">
        <f t="shared" si="51"/>
        <v>-7</v>
      </c>
      <c r="G1620" s="11" t="s">
        <v>19</v>
      </c>
      <c r="H1620" s="11" t="s">
        <v>44</v>
      </c>
      <c r="I1620" s="11" t="s">
        <v>45</v>
      </c>
      <c r="J1620" s="11">
        <v>63</v>
      </c>
      <c r="K1620" s="11">
        <v>95</v>
      </c>
      <c r="L1620" s="11"/>
      <c r="M1620" s="11">
        <f t="shared" si="50"/>
        <v>441</v>
      </c>
      <c r="N1620" s="11">
        <f>IF(Table1[[#This Row],[Transaction Type]]="Sale",ABS(E1620)*K1620,0)</f>
        <v>665</v>
      </c>
      <c r="O1620" s="29">
        <f>IF(Table1[[#This Row],[Transaction Type]]="Purchase",E1620*J1620,0)</f>
        <v>0</v>
      </c>
    </row>
    <row r="1621" spans="1:15" x14ac:dyDescent="0.35">
      <c r="A1621" s="27" t="s">
        <v>2251</v>
      </c>
      <c r="B1621" s="12">
        <v>46155</v>
      </c>
      <c r="C1621" s="11" t="s">
        <v>36</v>
      </c>
      <c r="D1621" s="11" t="s">
        <v>13</v>
      </c>
      <c r="E1621" s="11">
        <v>-12</v>
      </c>
      <c r="F1621" s="11">
        <f t="shared" si="51"/>
        <v>-12</v>
      </c>
      <c r="G1621" s="11" t="s">
        <v>19</v>
      </c>
      <c r="H1621" s="11" t="s">
        <v>37</v>
      </c>
      <c r="I1621" s="11" t="s">
        <v>16</v>
      </c>
      <c r="J1621" s="11">
        <v>7.2</v>
      </c>
      <c r="K1621" s="11">
        <v>12.5</v>
      </c>
      <c r="L1621" s="11"/>
      <c r="M1621" s="11">
        <f t="shared" si="50"/>
        <v>86.4</v>
      </c>
      <c r="N1621" s="11">
        <f>IF(Table1[[#This Row],[Transaction Type]]="Sale",ABS(E1621)*K1621,0)</f>
        <v>150</v>
      </c>
      <c r="O1621" s="29">
        <f>IF(Table1[[#This Row],[Transaction Type]]="Purchase",E1621*J1621,0)</f>
        <v>0</v>
      </c>
    </row>
    <row r="1622" spans="1:15" x14ac:dyDescent="0.35">
      <c r="A1622" s="27" t="s">
        <v>2252</v>
      </c>
      <c r="B1622" s="12">
        <v>46155</v>
      </c>
      <c r="C1622" s="11" t="s">
        <v>18</v>
      </c>
      <c r="D1622" s="11" t="s">
        <v>13</v>
      </c>
      <c r="E1622" s="11">
        <v>-2</v>
      </c>
      <c r="F1622" s="11">
        <f t="shared" si="51"/>
        <v>-2</v>
      </c>
      <c r="G1622" s="11" t="s">
        <v>14</v>
      </c>
      <c r="H1622" s="11" t="s">
        <v>20</v>
      </c>
      <c r="I1622" s="11" t="s">
        <v>21</v>
      </c>
      <c r="J1622" s="11">
        <v>2.6</v>
      </c>
      <c r="K1622" s="11">
        <v>5.5</v>
      </c>
      <c r="L1622" s="11"/>
      <c r="M1622" s="11">
        <f t="shared" si="50"/>
        <v>5.2</v>
      </c>
      <c r="N1622" s="11">
        <f>IF(Table1[[#This Row],[Transaction Type]]="Sale",ABS(E1622)*K1622,0)</f>
        <v>11</v>
      </c>
      <c r="O1622" s="29">
        <f>IF(Table1[[#This Row],[Transaction Type]]="Purchase",E1622*J1622,0)</f>
        <v>0</v>
      </c>
    </row>
    <row r="1623" spans="1:15" x14ac:dyDescent="0.35">
      <c r="A1623" s="27" t="s">
        <v>2253</v>
      </c>
      <c r="B1623" s="12">
        <v>46155</v>
      </c>
      <c r="C1623" s="11" t="s">
        <v>73</v>
      </c>
      <c r="D1623" s="11" t="s">
        <v>13</v>
      </c>
      <c r="E1623" s="11">
        <v>-6</v>
      </c>
      <c r="F1623" s="11">
        <f t="shared" si="51"/>
        <v>-6</v>
      </c>
      <c r="G1623" s="11" t="s">
        <v>14</v>
      </c>
      <c r="H1623" s="11" t="s">
        <v>74</v>
      </c>
      <c r="I1623" s="11" t="s">
        <v>75</v>
      </c>
      <c r="J1623" s="11">
        <v>30</v>
      </c>
      <c r="K1623" s="11">
        <v>48</v>
      </c>
      <c r="L1623" s="11"/>
      <c r="M1623" s="11">
        <f t="shared" si="50"/>
        <v>180</v>
      </c>
      <c r="N1623" s="11">
        <f>IF(Table1[[#This Row],[Transaction Type]]="Sale",ABS(E1623)*K1623,0)</f>
        <v>288</v>
      </c>
      <c r="O1623" s="29">
        <f>IF(Table1[[#This Row],[Transaction Type]]="Purchase",E1623*J1623,0)</f>
        <v>0</v>
      </c>
    </row>
    <row r="1624" spans="1:15" x14ac:dyDescent="0.35">
      <c r="A1624" s="27" t="s">
        <v>2254</v>
      </c>
      <c r="B1624" s="12">
        <v>46156</v>
      </c>
      <c r="C1624" s="11" t="s">
        <v>65</v>
      </c>
      <c r="D1624" s="11" t="s">
        <v>40</v>
      </c>
      <c r="E1624" s="11">
        <v>43</v>
      </c>
      <c r="F1624" s="11">
        <f t="shared" si="51"/>
        <v>43</v>
      </c>
      <c r="G1624" s="11" t="s">
        <v>19</v>
      </c>
      <c r="H1624" s="11" t="s">
        <v>67</v>
      </c>
      <c r="I1624" s="11" t="s">
        <v>21</v>
      </c>
      <c r="J1624" s="11">
        <v>11</v>
      </c>
      <c r="K1624" s="11">
        <v>22</v>
      </c>
      <c r="L1624" s="11" t="s">
        <v>2255</v>
      </c>
      <c r="M1624" s="11">
        <f t="shared" si="50"/>
        <v>473</v>
      </c>
      <c r="N1624" s="11">
        <f>IF(Table1[[#This Row],[Transaction Type]]="Sale",ABS(E1624)*K1624,0)</f>
        <v>0</v>
      </c>
      <c r="O1624" s="29">
        <f>IF(Table1[[#This Row],[Transaction Type]]="Purchase",E1624*J1624,0)</f>
        <v>473</v>
      </c>
    </row>
    <row r="1625" spans="1:15" x14ac:dyDescent="0.35">
      <c r="A1625" s="27" t="s">
        <v>2256</v>
      </c>
      <c r="B1625" s="12">
        <v>46156</v>
      </c>
      <c r="C1625" s="11" t="s">
        <v>18</v>
      </c>
      <c r="D1625" s="11" t="s">
        <v>40</v>
      </c>
      <c r="E1625" s="11">
        <v>97</v>
      </c>
      <c r="F1625" s="11">
        <f t="shared" si="51"/>
        <v>97</v>
      </c>
      <c r="G1625" s="11" t="s">
        <v>14</v>
      </c>
      <c r="H1625" s="11" t="s">
        <v>20</v>
      </c>
      <c r="I1625" s="11" t="s">
        <v>21</v>
      </c>
      <c r="J1625" s="11">
        <v>2.6</v>
      </c>
      <c r="K1625" s="11">
        <v>5.5</v>
      </c>
      <c r="L1625" s="11" t="s">
        <v>2257</v>
      </c>
      <c r="M1625" s="11">
        <f t="shared" si="50"/>
        <v>252.20000000000002</v>
      </c>
      <c r="N1625" s="11">
        <f>IF(Table1[[#This Row],[Transaction Type]]="Sale",ABS(E1625)*K1625,0)</f>
        <v>0</v>
      </c>
      <c r="O1625" s="29">
        <f>IF(Table1[[#This Row],[Transaction Type]]="Purchase",E1625*J1625,0)</f>
        <v>252.20000000000002</v>
      </c>
    </row>
    <row r="1626" spans="1:15" x14ac:dyDescent="0.35">
      <c r="A1626" s="27" t="s">
        <v>2258</v>
      </c>
      <c r="B1626" s="12">
        <v>46157</v>
      </c>
      <c r="C1626" s="11" t="s">
        <v>69</v>
      </c>
      <c r="D1626" s="11" t="s">
        <v>13</v>
      </c>
      <c r="E1626" s="11">
        <v>-15</v>
      </c>
      <c r="F1626" s="11">
        <f t="shared" si="51"/>
        <v>-15</v>
      </c>
      <c r="G1626" s="11" t="s">
        <v>24</v>
      </c>
      <c r="H1626" s="11" t="s">
        <v>70</v>
      </c>
      <c r="I1626" s="11" t="s">
        <v>16</v>
      </c>
      <c r="J1626" s="11">
        <v>23</v>
      </c>
      <c r="K1626" s="11">
        <v>38</v>
      </c>
      <c r="L1626" s="11"/>
      <c r="M1626" s="11">
        <f t="shared" si="50"/>
        <v>345</v>
      </c>
      <c r="N1626" s="11">
        <f>IF(Table1[[#This Row],[Transaction Type]]="Sale",ABS(E1626)*K1626,0)</f>
        <v>570</v>
      </c>
      <c r="O1626" s="29">
        <f>IF(Table1[[#This Row],[Transaction Type]]="Purchase",E1626*J1626,0)</f>
        <v>0</v>
      </c>
    </row>
    <row r="1627" spans="1:15" x14ac:dyDescent="0.35">
      <c r="A1627" s="27" t="s">
        <v>2259</v>
      </c>
      <c r="B1627" s="12">
        <v>46158</v>
      </c>
      <c r="C1627" s="11" t="s">
        <v>36</v>
      </c>
      <c r="D1627" s="11" t="s">
        <v>13</v>
      </c>
      <c r="E1627" s="11">
        <v>-5</v>
      </c>
      <c r="F1627" s="11">
        <f t="shared" si="51"/>
        <v>-5</v>
      </c>
      <c r="G1627" s="11" t="s">
        <v>14</v>
      </c>
      <c r="H1627" s="11" t="s">
        <v>37</v>
      </c>
      <c r="I1627" s="11" t="s">
        <v>16</v>
      </c>
      <c r="J1627" s="11">
        <v>7.2</v>
      </c>
      <c r="K1627" s="11">
        <v>12.5</v>
      </c>
      <c r="L1627" s="11"/>
      <c r="M1627" s="11">
        <f t="shared" si="50"/>
        <v>36</v>
      </c>
      <c r="N1627" s="11">
        <f>IF(Table1[[#This Row],[Transaction Type]]="Sale",ABS(E1627)*K1627,0)</f>
        <v>62.5</v>
      </c>
      <c r="O1627" s="29">
        <f>IF(Table1[[#This Row],[Transaction Type]]="Purchase",E1627*J1627,0)</f>
        <v>0</v>
      </c>
    </row>
    <row r="1628" spans="1:15" x14ac:dyDescent="0.35">
      <c r="A1628" s="27" t="s">
        <v>2260</v>
      </c>
      <c r="B1628" s="12">
        <v>46158</v>
      </c>
      <c r="C1628" s="11" t="s">
        <v>77</v>
      </c>
      <c r="D1628" s="11" t="s">
        <v>40</v>
      </c>
      <c r="E1628" s="11">
        <v>90</v>
      </c>
      <c r="F1628" s="11">
        <f t="shared" si="51"/>
        <v>90</v>
      </c>
      <c r="G1628" s="11" t="s">
        <v>14</v>
      </c>
      <c r="H1628" s="11" t="s">
        <v>78</v>
      </c>
      <c r="I1628" s="11" t="s">
        <v>16</v>
      </c>
      <c r="J1628" s="11">
        <v>25</v>
      </c>
      <c r="K1628" s="11">
        <v>42</v>
      </c>
      <c r="L1628" s="11" t="s">
        <v>2261</v>
      </c>
      <c r="M1628" s="11">
        <f t="shared" si="50"/>
        <v>2250</v>
      </c>
      <c r="N1628" s="11">
        <f>IF(Table1[[#This Row],[Transaction Type]]="Sale",ABS(E1628)*K1628,0)</f>
        <v>0</v>
      </c>
      <c r="O1628" s="29">
        <f>IF(Table1[[#This Row],[Transaction Type]]="Purchase",E1628*J1628,0)</f>
        <v>2250</v>
      </c>
    </row>
    <row r="1629" spans="1:15" x14ac:dyDescent="0.35">
      <c r="A1629" s="27" t="s">
        <v>2262</v>
      </c>
      <c r="B1629" s="12">
        <v>46159</v>
      </c>
      <c r="C1629" s="11" t="s">
        <v>136</v>
      </c>
      <c r="D1629" s="11" t="s">
        <v>58</v>
      </c>
      <c r="E1629" s="11">
        <v>8</v>
      </c>
      <c r="F1629" s="11">
        <f t="shared" si="51"/>
        <v>8</v>
      </c>
      <c r="G1629" s="11" t="s">
        <v>14</v>
      </c>
      <c r="H1629" s="11" t="s">
        <v>33</v>
      </c>
      <c r="I1629" s="11" t="s">
        <v>34</v>
      </c>
      <c r="J1629" s="11">
        <v>34</v>
      </c>
      <c r="K1629" s="11">
        <v>55</v>
      </c>
      <c r="L1629" s="11"/>
      <c r="M1629" s="11">
        <f t="shared" si="50"/>
        <v>272</v>
      </c>
      <c r="N1629" s="11">
        <f>IF(Table1[[#This Row],[Transaction Type]]="Sale",ABS(E1629)*K1629,0)</f>
        <v>0</v>
      </c>
      <c r="O1629" s="29">
        <f>IF(Table1[[#This Row],[Transaction Type]]="Purchase",E1629*J1629,0)</f>
        <v>0</v>
      </c>
    </row>
    <row r="1630" spans="1:15" x14ac:dyDescent="0.35">
      <c r="A1630" s="27" t="s">
        <v>2263</v>
      </c>
      <c r="B1630" s="12">
        <v>46159</v>
      </c>
      <c r="C1630" s="11" t="s">
        <v>55</v>
      </c>
      <c r="D1630" s="11" t="s">
        <v>13</v>
      </c>
      <c r="E1630" s="11">
        <v>-7</v>
      </c>
      <c r="F1630" s="11">
        <f t="shared" si="51"/>
        <v>-7</v>
      </c>
      <c r="G1630" s="11" t="s">
        <v>14</v>
      </c>
      <c r="H1630" s="11" t="s">
        <v>56</v>
      </c>
      <c r="I1630" s="11" t="s">
        <v>16</v>
      </c>
      <c r="J1630" s="11">
        <v>4.2</v>
      </c>
      <c r="K1630" s="11">
        <v>10</v>
      </c>
      <c r="L1630" s="11"/>
      <c r="M1630" s="11">
        <f t="shared" si="50"/>
        <v>29.400000000000002</v>
      </c>
      <c r="N1630" s="11">
        <f>IF(Table1[[#This Row],[Transaction Type]]="Sale",ABS(E1630)*K1630,0)</f>
        <v>70</v>
      </c>
      <c r="O1630" s="29">
        <f>IF(Table1[[#This Row],[Transaction Type]]="Purchase",E1630*J1630,0)</f>
        <v>0</v>
      </c>
    </row>
    <row r="1631" spans="1:15" x14ac:dyDescent="0.35">
      <c r="A1631" s="27" t="s">
        <v>2264</v>
      </c>
      <c r="B1631" s="12">
        <v>46159</v>
      </c>
      <c r="C1631" s="11" t="s">
        <v>43</v>
      </c>
      <c r="D1631" s="11" t="s">
        <v>40</v>
      </c>
      <c r="E1631" s="11">
        <v>76</v>
      </c>
      <c r="F1631" s="11">
        <f t="shared" si="51"/>
        <v>76</v>
      </c>
      <c r="G1631" s="11" t="s">
        <v>24</v>
      </c>
      <c r="H1631" s="11" t="s">
        <v>44</v>
      </c>
      <c r="I1631" s="11" t="s">
        <v>45</v>
      </c>
      <c r="J1631" s="11">
        <v>5.2</v>
      </c>
      <c r="K1631" s="11">
        <v>11</v>
      </c>
      <c r="L1631" s="11" t="s">
        <v>2265</v>
      </c>
      <c r="M1631" s="11">
        <f t="shared" si="50"/>
        <v>395.2</v>
      </c>
      <c r="N1631" s="11">
        <f>IF(Table1[[#This Row],[Transaction Type]]="Sale",ABS(E1631)*K1631,0)</f>
        <v>0</v>
      </c>
      <c r="O1631" s="29">
        <f>IF(Table1[[#This Row],[Transaction Type]]="Purchase",E1631*J1631,0)</f>
        <v>395.2</v>
      </c>
    </row>
    <row r="1632" spans="1:15" x14ac:dyDescent="0.35">
      <c r="A1632" s="27" t="s">
        <v>2266</v>
      </c>
      <c r="B1632" s="12">
        <v>46159</v>
      </c>
      <c r="C1632" s="11" t="s">
        <v>52</v>
      </c>
      <c r="D1632" s="11" t="s">
        <v>40</v>
      </c>
      <c r="E1632" s="11">
        <v>31</v>
      </c>
      <c r="F1632" s="11">
        <f t="shared" si="51"/>
        <v>31</v>
      </c>
      <c r="G1632" s="11" t="s">
        <v>14</v>
      </c>
      <c r="H1632" s="11" t="s">
        <v>20</v>
      </c>
      <c r="I1632" s="11" t="s">
        <v>21</v>
      </c>
      <c r="J1632" s="11">
        <v>5.5</v>
      </c>
      <c r="K1632" s="11">
        <v>12</v>
      </c>
      <c r="L1632" s="11" t="s">
        <v>2267</v>
      </c>
      <c r="M1632" s="11">
        <f t="shared" si="50"/>
        <v>170.5</v>
      </c>
      <c r="N1632" s="11">
        <f>IF(Table1[[#This Row],[Transaction Type]]="Sale",ABS(E1632)*K1632,0)</f>
        <v>0</v>
      </c>
      <c r="O1632" s="29">
        <f>IF(Table1[[#This Row],[Transaction Type]]="Purchase",E1632*J1632,0)</f>
        <v>170.5</v>
      </c>
    </row>
    <row r="1633" spans="1:15" x14ac:dyDescent="0.35">
      <c r="A1633" s="27" t="s">
        <v>2268</v>
      </c>
      <c r="B1633" s="12">
        <v>46160</v>
      </c>
      <c r="C1633" s="11" t="s">
        <v>52</v>
      </c>
      <c r="D1633" s="11" t="s">
        <v>40</v>
      </c>
      <c r="E1633" s="11">
        <v>72</v>
      </c>
      <c r="F1633" s="11">
        <f t="shared" si="51"/>
        <v>72</v>
      </c>
      <c r="G1633" s="11" t="s">
        <v>19</v>
      </c>
      <c r="H1633" s="11" t="s">
        <v>20</v>
      </c>
      <c r="I1633" s="11" t="s">
        <v>21</v>
      </c>
      <c r="J1633" s="11">
        <v>5.5</v>
      </c>
      <c r="K1633" s="11">
        <v>12</v>
      </c>
      <c r="L1633" s="11" t="s">
        <v>2269</v>
      </c>
      <c r="M1633" s="11">
        <f t="shared" si="50"/>
        <v>396</v>
      </c>
      <c r="N1633" s="11">
        <f>IF(Table1[[#This Row],[Transaction Type]]="Sale",ABS(E1633)*K1633,0)</f>
        <v>0</v>
      </c>
      <c r="O1633" s="29">
        <f>IF(Table1[[#This Row],[Transaction Type]]="Purchase",E1633*J1633,0)</f>
        <v>396</v>
      </c>
    </row>
    <row r="1634" spans="1:15" x14ac:dyDescent="0.35">
      <c r="A1634" s="27" t="s">
        <v>2270</v>
      </c>
      <c r="B1634" s="12">
        <v>46160</v>
      </c>
      <c r="C1634" s="11" t="s">
        <v>52</v>
      </c>
      <c r="D1634" s="11" t="s">
        <v>40</v>
      </c>
      <c r="E1634" s="11">
        <v>90</v>
      </c>
      <c r="F1634" s="11">
        <f t="shared" si="51"/>
        <v>90</v>
      </c>
      <c r="G1634" s="11" t="s">
        <v>14</v>
      </c>
      <c r="H1634" s="11" t="s">
        <v>20</v>
      </c>
      <c r="I1634" s="11" t="s">
        <v>21</v>
      </c>
      <c r="J1634" s="11">
        <v>5.5</v>
      </c>
      <c r="K1634" s="11">
        <v>12</v>
      </c>
      <c r="L1634" s="11" t="s">
        <v>2271</v>
      </c>
      <c r="M1634" s="11">
        <f t="shared" si="50"/>
        <v>495</v>
      </c>
      <c r="N1634" s="11">
        <f>IF(Table1[[#This Row],[Transaction Type]]="Sale",ABS(E1634)*K1634,0)</f>
        <v>0</v>
      </c>
      <c r="O1634" s="29">
        <f>IF(Table1[[#This Row],[Transaction Type]]="Purchase",E1634*J1634,0)</f>
        <v>495</v>
      </c>
    </row>
    <row r="1635" spans="1:15" x14ac:dyDescent="0.35">
      <c r="A1635" s="27" t="s">
        <v>2272</v>
      </c>
      <c r="B1635" s="12">
        <v>46160</v>
      </c>
      <c r="C1635" s="11" t="s">
        <v>81</v>
      </c>
      <c r="D1635" s="11" t="s">
        <v>40</v>
      </c>
      <c r="E1635" s="11">
        <v>44</v>
      </c>
      <c r="F1635" s="11">
        <f t="shared" si="51"/>
        <v>44</v>
      </c>
      <c r="G1635" s="11" t="s">
        <v>19</v>
      </c>
      <c r="H1635" s="11" t="s">
        <v>30</v>
      </c>
      <c r="I1635" s="11" t="s">
        <v>16</v>
      </c>
      <c r="J1635" s="11">
        <v>8</v>
      </c>
      <c r="K1635" s="11">
        <v>15</v>
      </c>
      <c r="L1635" s="11" t="s">
        <v>2273</v>
      </c>
      <c r="M1635" s="11">
        <f t="shared" si="50"/>
        <v>352</v>
      </c>
      <c r="N1635" s="11">
        <f>IF(Table1[[#This Row],[Transaction Type]]="Sale",ABS(E1635)*K1635,0)</f>
        <v>0</v>
      </c>
      <c r="O1635" s="29">
        <f>IF(Table1[[#This Row],[Transaction Type]]="Purchase",E1635*J1635,0)</f>
        <v>352</v>
      </c>
    </row>
    <row r="1636" spans="1:15" x14ac:dyDescent="0.35">
      <c r="A1636" s="27" t="s">
        <v>2274</v>
      </c>
      <c r="B1636" s="12">
        <v>46160</v>
      </c>
      <c r="C1636" s="11" t="s">
        <v>52</v>
      </c>
      <c r="D1636" s="11" t="s">
        <v>13</v>
      </c>
      <c r="E1636" s="11">
        <v>-10</v>
      </c>
      <c r="F1636" s="11">
        <f t="shared" si="51"/>
        <v>-10</v>
      </c>
      <c r="G1636" s="11" t="s">
        <v>14</v>
      </c>
      <c r="H1636" s="11" t="s">
        <v>20</v>
      </c>
      <c r="I1636" s="11" t="s">
        <v>21</v>
      </c>
      <c r="J1636" s="11">
        <v>5.5</v>
      </c>
      <c r="K1636" s="11">
        <v>12</v>
      </c>
      <c r="L1636" s="11"/>
      <c r="M1636" s="11">
        <f t="shared" si="50"/>
        <v>55</v>
      </c>
      <c r="N1636" s="11">
        <f>IF(Table1[[#This Row],[Transaction Type]]="Sale",ABS(E1636)*K1636,0)</f>
        <v>120</v>
      </c>
      <c r="O1636" s="29">
        <f>IF(Table1[[#This Row],[Transaction Type]]="Purchase",E1636*J1636,0)</f>
        <v>0</v>
      </c>
    </row>
    <row r="1637" spans="1:15" x14ac:dyDescent="0.35">
      <c r="A1637" s="27" t="s">
        <v>2275</v>
      </c>
      <c r="B1637" s="12">
        <v>46161</v>
      </c>
      <c r="C1637" s="11" t="s">
        <v>60</v>
      </c>
      <c r="D1637" s="11" t="s">
        <v>40</v>
      </c>
      <c r="E1637" s="11">
        <v>118</v>
      </c>
      <c r="F1637" s="11">
        <f t="shared" si="51"/>
        <v>118</v>
      </c>
      <c r="G1637" s="11" t="s">
        <v>24</v>
      </c>
      <c r="H1637" s="11" t="s">
        <v>61</v>
      </c>
      <c r="I1637" s="11" t="s">
        <v>62</v>
      </c>
      <c r="J1637" s="11">
        <v>3.4</v>
      </c>
      <c r="K1637" s="11">
        <v>8</v>
      </c>
      <c r="L1637" s="11" t="s">
        <v>2276</v>
      </c>
      <c r="M1637" s="11">
        <f t="shared" si="50"/>
        <v>401.2</v>
      </c>
      <c r="N1637" s="11">
        <f>IF(Table1[[#This Row],[Transaction Type]]="Sale",ABS(E1637)*K1637,0)</f>
        <v>0</v>
      </c>
      <c r="O1637" s="29">
        <f>IF(Table1[[#This Row],[Transaction Type]]="Purchase",E1637*J1637,0)</f>
        <v>401.2</v>
      </c>
    </row>
    <row r="1638" spans="1:15" x14ac:dyDescent="0.35">
      <c r="A1638" s="27" t="s">
        <v>2277</v>
      </c>
      <c r="B1638" s="12">
        <v>46161</v>
      </c>
      <c r="C1638" s="11" t="s">
        <v>170</v>
      </c>
      <c r="D1638" s="11" t="s">
        <v>13</v>
      </c>
      <c r="E1638" s="11">
        <v>-7</v>
      </c>
      <c r="F1638" s="11">
        <f t="shared" si="51"/>
        <v>-7</v>
      </c>
      <c r="G1638" s="11" t="s">
        <v>14</v>
      </c>
      <c r="H1638" s="11" t="s">
        <v>171</v>
      </c>
      <c r="I1638" s="11" t="s">
        <v>34</v>
      </c>
      <c r="J1638" s="11">
        <v>25</v>
      </c>
      <c r="K1638" s="11">
        <v>45</v>
      </c>
      <c r="L1638" s="11"/>
      <c r="M1638" s="11">
        <f t="shared" si="50"/>
        <v>175</v>
      </c>
      <c r="N1638" s="11">
        <f>IF(Table1[[#This Row],[Transaction Type]]="Sale",ABS(E1638)*K1638,0)</f>
        <v>315</v>
      </c>
      <c r="O1638" s="29">
        <f>IF(Table1[[#This Row],[Transaction Type]]="Purchase",E1638*J1638,0)</f>
        <v>0</v>
      </c>
    </row>
    <row r="1639" spans="1:15" x14ac:dyDescent="0.35">
      <c r="A1639" s="27" t="s">
        <v>2278</v>
      </c>
      <c r="B1639" s="12">
        <v>46161</v>
      </c>
      <c r="C1639" s="11" t="s">
        <v>139</v>
      </c>
      <c r="D1639" s="11" t="s">
        <v>13</v>
      </c>
      <c r="E1639" s="11">
        <v>-9</v>
      </c>
      <c r="F1639" s="11">
        <f t="shared" si="51"/>
        <v>-9</v>
      </c>
      <c r="G1639" s="11" t="s">
        <v>14</v>
      </c>
      <c r="H1639" s="11" t="s">
        <v>56</v>
      </c>
      <c r="I1639" s="11" t="s">
        <v>16</v>
      </c>
      <c r="J1639" s="11">
        <v>16.5</v>
      </c>
      <c r="K1639" s="11">
        <v>28</v>
      </c>
      <c r="L1639" s="11"/>
      <c r="M1639" s="11">
        <f t="shared" si="50"/>
        <v>148.5</v>
      </c>
      <c r="N1639" s="11">
        <f>IF(Table1[[#This Row],[Transaction Type]]="Sale",ABS(E1639)*K1639,0)</f>
        <v>252</v>
      </c>
      <c r="O1639" s="29">
        <f>IF(Table1[[#This Row],[Transaction Type]]="Purchase",E1639*J1639,0)</f>
        <v>0</v>
      </c>
    </row>
    <row r="1640" spans="1:15" x14ac:dyDescent="0.35">
      <c r="A1640" s="27" t="s">
        <v>2279</v>
      </c>
      <c r="B1640" s="12">
        <v>46162</v>
      </c>
      <c r="C1640" s="11" t="s">
        <v>48</v>
      </c>
      <c r="D1640" s="11" t="s">
        <v>58</v>
      </c>
      <c r="E1640" s="11">
        <v>-8</v>
      </c>
      <c r="F1640" s="11">
        <f t="shared" si="51"/>
        <v>-8</v>
      </c>
      <c r="G1640" s="11" t="s">
        <v>24</v>
      </c>
      <c r="H1640" s="11" t="s">
        <v>49</v>
      </c>
      <c r="I1640" s="11" t="s">
        <v>21</v>
      </c>
      <c r="J1640" s="11">
        <v>8.5</v>
      </c>
      <c r="K1640" s="11">
        <v>18</v>
      </c>
      <c r="L1640" s="11"/>
      <c r="M1640" s="11">
        <f t="shared" si="50"/>
        <v>68</v>
      </c>
      <c r="N1640" s="11">
        <f>IF(Table1[[#This Row],[Transaction Type]]="Sale",ABS(E1640)*K1640,0)</f>
        <v>0</v>
      </c>
      <c r="O1640" s="29">
        <f>IF(Table1[[#This Row],[Transaction Type]]="Purchase",E1640*J1640,0)</f>
        <v>0</v>
      </c>
    </row>
    <row r="1641" spans="1:15" x14ac:dyDescent="0.35">
      <c r="A1641" s="27" t="s">
        <v>2280</v>
      </c>
      <c r="B1641" s="12">
        <v>46163</v>
      </c>
      <c r="C1641" s="11" t="s">
        <v>141</v>
      </c>
      <c r="D1641" s="11" t="s">
        <v>13</v>
      </c>
      <c r="E1641" s="11">
        <v>-10</v>
      </c>
      <c r="F1641" s="11">
        <f t="shared" si="51"/>
        <v>-10</v>
      </c>
      <c r="G1641" s="11" t="s">
        <v>24</v>
      </c>
      <c r="H1641" s="11" t="s">
        <v>25</v>
      </c>
      <c r="I1641" s="11" t="s">
        <v>26</v>
      </c>
      <c r="J1641" s="11">
        <v>4</v>
      </c>
      <c r="K1641" s="11">
        <v>9</v>
      </c>
      <c r="L1641" s="11"/>
      <c r="M1641" s="11">
        <f t="shared" si="50"/>
        <v>40</v>
      </c>
      <c r="N1641" s="11">
        <f>IF(Table1[[#This Row],[Transaction Type]]="Sale",ABS(E1641)*K1641,0)</f>
        <v>90</v>
      </c>
      <c r="O1641" s="29">
        <f>IF(Table1[[#This Row],[Transaction Type]]="Purchase",E1641*J1641,0)</f>
        <v>0</v>
      </c>
    </row>
    <row r="1642" spans="1:15" x14ac:dyDescent="0.35">
      <c r="A1642" s="27" t="s">
        <v>2281</v>
      </c>
      <c r="B1642" s="12">
        <v>46163</v>
      </c>
      <c r="C1642" s="11" t="s">
        <v>109</v>
      </c>
      <c r="D1642" s="11" t="s">
        <v>13</v>
      </c>
      <c r="E1642" s="11">
        <v>-6</v>
      </c>
      <c r="F1642" s="11">
        <f t="shared" si="51"/>
        <v>-6</v>
      </c>
      <c r="G1642" s="11" t="s">
        <v>14</v>
      </c>
      <c r="H1642" s="11" t="s">
        <v>110</v>
      </c>
      <c r="I1642" s="11" t="s">
        <v>26</v>
      </c>
      <c r="J1642" s="11">
        <v>105</v>
      </c>
      <c r="K1642" s="11">
        <v>165</v>
      </c>
      <c r="L1642" s="11"/>
      <c r="M1642" s="11">
        <f t="shared" si="50"/>
        <v>630</v>
      </c>
      <c r="N1642" s="11">
        <f>IF(Table1[[#This Row],[Transaction Type]]="Sale",ABS(E1642)*K1642,0)</f>
        <v>990</v>
      </c>
      <c r="O1642" s="29">
        <f>IF(Table1[[#This Row],[Transaction Type]]="Purchase",E1642*J1642,0)</f>
        <v>0</v>
      </c>
    </row>
    <row r="1643" spans="1:15" x14ac:dyDescent="0.35">
      <c r="A1643" s="27" t="s">
        <v>2282</v>
      </c>
      <c r="B1643" s="12">
        <v>46163</v>
      </c>
      <c r="C1643" s="11" t="s">
        <v>60</v>
      </c>
      <c r="D1643" s="11" t="s">
        <v>13</v>
      </c>
      <c r="E1643" s="11">
        <v>-14</v>
      </c>
      <c r="F1643" s="11">
        <f t="shared" si="51"/>
        <v>-14</v>
      </c>
      <c r="G1643" s="11" t="s">
        <v>14</v>
      </c>
      <c r="H1643" s="11" t="s">
        <v>61</v>
      </c>
      <c r="I1643" s="11" t="s">
        <v>62</v>
      </c>
      <c r="J1643" s="11">
        <v>3.4</v>
      </c>
      <c r="K1643" s="11">
        <v>8</v>
      </c>
      <c r="L1643" s="11"/>
      <c r="M1643" s="11">
        <f t="shared" si="50"/>
        <v>47.6</v>
      </c>
      <c r="N1643" s="11">
        <f>IF(Table1[[#This Row],[Transaction Type]]="Sale",ABS(E1643)*K1643,0)</f>
        <v>112</v>
      </c>
      <c r="O1643" s="29">
        <f>IF(Table1[[#This Row],[Transaction Type]]="Purchase",E1643*J1643,0)</f>
        <v>0</v>
      </c>
    </row>
    <row r="1644" spans="1:15" x14ac:dyDescent="0.35">
      <c r="A1644" s="27" t="s">
        <v>2283</v>
      </c>
      <c r="B1644" s="12">
        <v>46163</v>
      </c>
      <c r="C1644" s="11" t="s">
        <v>48</v>
      </c>
      <c r="D1644" s="11" t="s">
        <v>66</v>
      </c>
      <c r="E1644" s="11">
        <v>3</v>
      </c>
      <c r="F1644" s="11">
        <f t="shared" si="51"/>
        <v>3</v>
      </c>
      <c r="G1644" s="11" t="s">
        <v>24</v>
      </c>
      <c r="H1644" s="11" t="s">
        <v>49</v>
      </c>
      <c r="I1644" s="11" t="s">
        <v>21</v>
      </c>
      <c r="J1644" s="11">
        <v>8.5</v>
      </c>
      <c r="K1644" s="11">
        <v>18</v>
      </c>
      <c r="L1644" s="11"/>
      <c r="M1644" s="11">
        <f t="shared" si="50"/>
        <v>25.5</v>
      </c>
      <c r="N1644" s="11">
        <f>IF(Table1[[#This Row],[Transaction Type]]="Sale",ABS(E1644)*K1644,0)</f>
        <v>0</v>
      </c>
      <c r="O1644" s="29">
        <f>IF(Table1[[#This Row],[Transaction Type]]="Purchase",E1644*J1644,0)</f>
        <v>0</v>
      </c>
    </row>
    <row r="1645" spans="1:15" x14ac:dyDescent="0.35">
      <c r="A1645" s="27" t="s">
        <v>2284</v>
      </c>
      <c r="B1645" s="12">
        <v>46163</v>
      </c>
      <c r="C1645" s="11" t="s">
        <v>18</v>
      </c>
      <c r="D1645" s="11" t="s">
        <v>13</v>
      </c>
      <c r="E1645" s="11">
        <v>-1</v>
      </c>
      <c r="F1645" s="11">
        <f t="shared" si="51"/>
        <v>-1</v>
      </c>
      <c r="G1645" s="11" t="s">
        <v>24</v>
      </c>
      <c r="H1645" s="11" t="s">
        <v>20</v>
      </c>
      <c r="I1645" s="11" t="s">
        <v>21</v>
      </c>
      <c r="J1645" s="11">
        <v>2.6</v>
      </c>
      <c r="K1645" s="11">
        <v>5.5</v>
      </c>
      <c r="L1645" s="11"/>
      <c r="M1645" s="11">
        <f t="shared" si="50"/>
        <v>2.6</v>
      </c>
      <c r="N1645" s="11">
        <f>IF(Table1[[#This Row],[Transaction Type]]="Sale",ABS(E1645)*K1645,0)</f>
        <v>5.5</v>
      </c>
      <c r="O1645" s="29">
        <f>IF(Table1[[#This Row],[Transaction Type]]="Purchase",E1645*J1645,0)</f>
        <v>0</v>
      </c>
    </row>
    <row r="1646" spans="1:15" x14ac:dyDescent="0.35">
      <c r="A1646" s="27" t="s">
        <v>2285</v>
      </c>
      <c r="B1646" s="12">
        <v>46163</v>
      </c>
      <c r="C1646" s="11" t="s">
        <v>83</v>
      </c>
      <c r="D1646" s="11" t="s">
        <v>13</v>
      </c>
      <c r="E1646" s="11">
        <v>-11</v>
      </c>
      <c r="F1646" s="11">
        <f t="shared" si="51"/>
        <v>-11</v>
      </c>
      <c r="G1646" s="11" t="s">
        <v>24</v>
      </c>
      <c r="H1646" s="11" t="s">
        <v>84</v>
      </c>
      <c r="I1646" s="11" t="s">
        <v>45</v>
      </c>
      <c r="J1646" s="11">
        <v>130</v>
      </c>
      <c r="K1646" s="11">
        <v>185</v>
      </c>
      <c r="L1646" s="11"/>
      <c r="M1646" s="11">
        <f t="shared" si="50"/>
        <v>1430</v>
      </c>
      <c r="N1646" s="11">
        <f>IF(Table1[[#This Row],[Transaction Type]]="Sale",ABS(E1646)*K1646,0)</f>
        <v>2035</v>
      </c>
      <c r="O1646" s="29">
        <f>IF(Table1[[#This Row],[Transaction Type]]="Purchase",E1646*J1646,0)</f>
        <v>0</v>
      </c>
    </row>
    <row r="1647" spans="1:15" x14ac:dyDescent="0.35">
      <c r="A1647" s="27" t="s">
        <v>2286</v>
      </c>
      <c r="B1647" s="12">
        <v>46164</v>
      </c>
      <c r="C1647" s="11" t="s">
        <v>18</v>
      </c>
      <c r="D1647" s="11" t="s">
        <v>13</v>
      </c>
      <c r="E1647" s="11">
        <v>-10</v>
      </c>
      <c r="F1647" s="11">
        <f t="shared" si="51"/>
        <v>-10</v>
      </c>
      <c r="G1647" s="11" t="s">
        <v>14</v>
      </c>
      <c r="H1647" s="11" t="s">
        <v>20</v>
      </c>
      <c r="I1647" s="11" t="s">
        <v>21</v>
      </c>
      <c r="J1647" s="11">
        <v>2.6</v>
      </c>
      <c r="K1647" s="11">
        <v>5.5</v>
      </c>
      <c r="L1647" s="11"/>
      <c r="M1647" s="11">
        <f t="shared" si="50"/>
        <v>26</v>
      </c>
      <c r="N1647" s="11">
        <f>IF(Table1[[#This Row],[Transaction Type]]="Sale",ABS(E1647)*K1647,0)</f>
        <v>55</v>
      </c>
      <c r="O1647" s="29">
        <f>IF(Table1[[#This Row],[Transaction Type]]="Purchase",E1647*J1647,0)</f>
        <v>0</v>
      </c>
    </row>
    <row r="1648" spans="1:15" x14ac:dyDescent="0.35">
      <c r="A1648" s="27" t="s">
        <v>2287</v>
      </c>
      <c r="B1648" s="12">
        <v>46164</v>
      </c>
      <c r="C1648" s="11" t="s">
        <v>12</v>
      </c>
      <c r="D1648" s="11" t="s">
        <v>40</v>
      </c>
      <c r="E1648" s="11">
        <v>42</v>
      </c>
      <c r="F1648" s="11">
        <f t="shared" si="51"/>
        <v>42</v>
      </c>
      <c r="G1648" s="11" t="s">
        <v>24</v>
      </c>
      <c r="H1648" s="11" t="s">
        <v>2288</v>
      </c>
      <c r="I1648" s="11" t="s">
        <v>16</v>
      </c>
      <c r="J1648" s="11">
        <v>13.5</v>
      </c>
      <c r="K1648" s="11">
        <v>24</v>
      </c>
      <c r="L1648" s="11" t="s">
        <v>2289</v>
      </c>
      <c r="M1648" s="11">
        <f t="shared" si="50"/>
        <v>567</v>
      </c>
      <c r="N1648" s="11">
        <f>IF(Table1[[#This Row],[Transaction Type]]="Sale",ABS(E1648)*K1648,0)</f>
        <v>0</v>
      </c>
      <c r="O1648" s="29">
        <f>IF(Table1[[#This Row],[Transaction Type]]="Purchase",E1648*J1648,0)</f>
        <v>567</v>
      </c>
    </row>
    <row r="1649" spans="1:15" x14ac:dyDescent="0.35">
      <c r="A1649" s="27" t="s">
        <v>2290</v>
      </c>
      <c r="B1649" s="12">
        <v>46165</v>
      </c>
      <c r="C1649" s="11" t="s">
        <v>81</v>
      </c>
      <c r="D1649" s="11" t="s">
        <v>40</v>
      </c>
      <c r="E1649" s="11">
        <v>64</v>
      </c>
      <c r="F1649" s="11">
        <f t="shared" si="51"/>
        <v>64</v>
      </c>
      <c r="G1649" s="11" t="s">
        <v>19</v>
      </c>
      <c r="H1649" s="11" t="s">
        <v>30</v>
      </c>
      <c r="I1649" s="11" t="s">
        <v>16</v>
      </c>
      <c r="J1649" s="11">
        <v>8</v>
      </c>
      <c r="K1649" s="11">
        <v>15</v>
      </c>
      <c r="L1649" s="11" t="s">
        <v>2291</v>
      </c>
      <c r="M1649" s="11">
        <f t="shared" si="50"/>
        <v>512</v>
      </c>
      <c r="N1649" s="11">
        <f>IF(Table1[[#This Row],[Transaction Type]]="Sale",ABS(E1649)*K1649,0)</f>
        <v>0</v>
      </c>
      <c r="O1649" s="29">
        <f>IF(Table1[[#This Row],[Transaction Type]]="Purchase",E1649*J1649,0)</f>
        <v>512</v>
      </c>
    </row>
    <row r="1650" spans="1:15" x14ac:dyDescent="0.35">
      <c r="A1650" s="27" t="s">
        <v>2292</v>
      </c>
      <c r="B1650" s="12">
        <v>46165</v>
      </c>
      <c r="C1650" s="11" t="s">
        <v>170</v>
      </c>
      <c r="D1650" s="11" t="s">
        <v>13</v>
      </c>
      <c r="E1650" s="11">
        <v>-15</v>
      </c>
      <c r="F1650" s="11">
        <f t="shared" si="51"/>
        <v>-15</v>
      </c>
      <c r="G1650" s="11" t="s">
        <v>24</v>
      </c>
      <c r="H1650" s="11" t="s">
        <v>171</v>
      </c>
      <c r="I1650" s="11" t="s">
        <v>34</v>
      </c>
      <c r="J1650" s="11">
        <v>25</v>
      </c>
      <c r="K1650" s="11">
        <v>45</v>
      </c>
      <c r="L1650" s="11"/>
      <c r="M1650" s="11">
        <f t="shared" si="50"/>
        <v>375</v>
      </c>
      <c r="N1650" s="11">
        <f>IF(Table1[[#This Row],[Transaction Type]]="Sale",ABS(E1650)*K1650,0)</f>
        <v>675</v>
      </c>
      <c r="O1650" s="29">
        <f>IF(Table1[[#This Row],[Transaction Type]]="Purchase",E1650*J1650,0)</f>
        <v>0</v>
      </c>
    </row>
    <row r="1651" spans="1:15" x14ac:dyDescent="0.35">
      <c r="A1651" s="27" t="s">
        <v>2293</v>
      </c>
      <c r="B1651" s="12">
        <v>46165</v>
      </c>
      <c r="C1651" s="11" t="s">
        <v>87</v>
      </c>
      <c r="D1651" s="11" t="s">
        <v>13</v>
      </c>
      <c r="E1651" s="11">
        <v>-1</v>
      </c>
      <c r="F1651" s="11">
        <f t="shared" si="51"/>
        <v>-1</v>
      </c>
      <c r="G1651" s="11" t="s">
        <v>24</v>
      </c>
      <c r="H1651" s="11" t="s">
        <v>88</v>
      </c>
      <c r="I1651" s="11" t="s">
        <v>16</v>
      </c>
      <c r="J1651" s="11">
        <v>6</v>
      </c>
      <c r="K1651" s="11">
        <v>14</v>
      </c>
      <c r="L1651" s="11"/>
      <c r="M1651" s="11">
        <f t="shared" si="50"/>
        <v>6</v>
      </c>
      <c r="N1651" s="11">
        <f>IF(Table1[[#This Row],[Transaction Type]]="Sale",ABS(E1651)*K1651,0)</f>
        <v>14</v>
      </c>
      <c r="O1651" s="29">
        <f>IF(Table1[[#This Row],[Transaction Type]]="Purchase",E1651*J1651,0)</f>
        <v>0</v>
      </c>
    </row>
    <row r="1652" spans="1:15" x14ac:dyDescent="0.35">
      <c r="A1652" s="27" t="s">
        <v>2294</v>
      </c>
      <c r="B1652" s="12">
        <v>46165</v>
      </c>
      <c r="C1652" s="11" t="s">
        <v>81</v>
      </c>
      <c r="D1652" s="11" t="s">
        <v>13</v>
      </c>
      <c r="E1652" s="11">
        <v>-9</v>
      </c>
      <c r="F1652" s="11">
        <f t="shared" si="51"/>
        <v>-9</v>
      </c>
      <c r="G1652" s="11" t="s">
        <v>24</v>
      </c>
      <c r="H1652" s="11" t="s">
        <v>30</v>
      </c>
      <c r="I1652" s="11" t="s">
        <v>16</v>
      </c>
      <c r="J1652" s="11">
        <v>8</v>
      </c>
      <c r="K1652" s="11">
        <v>15</v>
      </c>
      <c r="L1652" s="11"/>
      <c r="M1652" s="11">
        <f t="shared" si="50"/>
        <v>72</v>
      </c>
      <c r="N1652" s="11">
        <f>IF(Table1[[#This Row],[Transaction Type]]="Sale",ABS(E1652)*K1652,0)</f>
        <v>135</v>
      </c>
      <c r="O1652" s="29">
        <f>IF(Table1[[#This Row],[Transaction Type]]="Purchase",E1652*J1652,0)</f>
        <v>0</v>
      </c>
    </row>
    <row r="1653" spans="1:15" x14ac:dyDescent="0.35">
      <c r="A1653" s="27" t="s">
        <v>2295</v>
      </c>
      <c r="B1653" s="12">
        <v>46166</v>
      </c>
      <c r="C1653" s="11" t="s">
        <v>185</v>
      </c>
      <c r="D1653" s="11" t="s">
        <v>13</v>
      </c>
      <c r="E1653" s="11">
        <v>-6</v>
      </c>
      <c r="F1653" s="11">
        <f t="shared" si="51"/>
        <v>-6</v>
      </c>
      <c r="G1653" s="11" t="s">
        <v>19</v>
      </c>
      <c r="H1653" s="11" t="s">
        <v>44</v>
      </c>
      <c r="I1653" s="11" t="s">
        <v>45</v>
      </c>
      <c r="J1653" s="11">
        <v>63</v>
      </c>
      <c r="K1653" s="11">
        <v>95</v>
      </c>
      <c r="L1653" s="11"/>
      <c r="M1653" s="11">
        <f t="shared" si="50"/>
        <v>378</v>
      </c>
      <c r="N1653" s="11">
        <f>IF(Table1[[#This Row],[Transaction Type]]="Sale",ABS(E1653)*K1653,0)</f>
        <v>570</v>
      </c>
      <c r="O1653" s="29">
        <f>IF(Table1[[#This Row],[Transaction Type]]="Purchase",E1653*J1653,0)</f>
        <v>0</v>
      </c>
    </row>
    <row r="1654" spans="1:15" x14ac:dyDescent="0.35">
      <c r="A1654" s="27" t="s">
        <v>2296</v>
      </c>
      <c r="B1654" s="12">
        <v>46166</v>
      </c>
      <c r="C1654" s="11" t="s">
        <v>60</v>
      </c>
      <c r="D1654" s="11" t="s">
        <v>40</v>
      </c>
      <c r="E1654" s="11">
        <v>104</v>
      </c>
      <c r="F1654" s="11">
        <f t="shared" si="51"/>
        <v>104</v>
      </c>
      <c r="G1654" s="11" t="s">
        <v>19</v>
      </c>
      <c r="H1654" s="11" t="s">
        <v>61</v>
      </c>
      <c r="I1654" s="11" t="s">
        <v>62</v>
      </c>
      <c r="J1654" s="11">
        <v>3.4</v>
      </c>
      <c r="K1654" s="11">
        <v>8</v>
      </c>
      <c r="L1654" s="11" t="s">
        <v>2297</v>
      </c>
      <c r="M1654" s="11">
        <f t="shared" si="50"/>
        <v>353.59999999999997</v>
      </c>
      <c r="N1654" s="11">
        <f>IF(Table1[[#This Row],[Transaction Type]]="Sale",ABS(E1654)*K1654,0)</f>
        <v>0</v>
      </c>
      <c r="O1654" s="29">
        <f>IF(Table1[[#This Row],[Transaction Type]]="Purchase",E1654*J1654,0)</f>
        <v>353.59999999999997</v>
      </c>
    </row>
    <row r="1655" spans="1:15" x14ac:dyDescent="0.35">
      <c r="A1655" s="27" t="s">
        <v>2298</v>
      </c>
      <c r="B1655" s="12">
        <v>46166</v>
      </c>
      <c r="C1655" s="11" t="s">
        <v>52</v>
      </c>
      <c r="D1655" s="11" t="s">
        <v>40</v>
      </c>
      <c r="E1655" s="11">
        <v>86</v>
      </c>
      <c r="F1655" s="11">
        <f t="shared" si="51"/>
        <v>86</v>
      </c>
      <c r="G1655" s="11" t="s">
        <v>14</v>
      </c>
      <c r="H1655" s="11" t="s">
        <v>20</v>
      </c>
      <c r="I1655" s="11" t="s">
        <v>21</v>
      </c>
      <c r="J1655" s="11">
        <v>5.5</v>
      </c>
      <c r="K1655" s="11">
        <v>12</v>
      </c>
      <c r="L1655" s="11" t="s">
        <v>2299</v>
      </c>
      <c r="M1655" s="11">
        <f t="shared" si="50"/>
        <v>473</v>
      </c>
      <c r="N1655" s="11">
        <f>IF(Table1[[#This Row],[Transaction Type]]="Sale",ABS(E1655)*K1655,0)</f>
        <v>0</v>
      </c>
      <c r="O1655" s="29">
        <f>IF(Table1[[#This Row],[Transaction Type]]="Purchase",E1655*J1655,0)</f>
        <v>473</v>
      </c>
    </row>
    <row r="1656" spans="1:15" x14ac:dyDescent="0.35">
      <c r="A1656" s="27" t="s">
        <v>2300</v>
      </c>
      <c r="B1656" s="12">
        <v>46166</v>
      </c>
      <c r="C1656" s="11" t="s">
        <v>185</v>
      </c>
      <c r="D1656" s="11" t="s">
        <v>13</v>
      </c>
      <c r="E1656" s="11">
        <v>-10</v>
      </c>
      <c r="F1656" s="11">
        <f t="shared" si="51"/>
        <v>-10</v>
      </c>
      <c r="G1656" s="11" t="s">
        <v>14</v>
      </c>
      <c r="H1656" s="11" t="s">
        <v>44</v>
      </c>
      <c r="I1656" s="11" t="s">
        <v>45</v>
      </c>
      <c r="J1656" s="11">
        <v>63</v>
      </c>
      <c r="K1656" s="11">
        <v>95</v>
      </c>
      <c r="L1656" s="11"/>
      <c r="M1656" s="11">
        <f t="shared" si="50"/>
        <v>630</v>
      </c>
      <c r="N1656" s="11">
        <f>IF(Table1[[#This Row],[Transaction Type]]="Sale",ABS(E1656)*K1656,0)</f>
        <v>950</v>
      </c>
      <c r="O1656" s="29">
        <f>IF(Table1[[#This Row],[Transaction Type]]="Purchase",E1656*J1656,0)</f>
        <v>0</v>
      </c>
    </row>
    <row r="1657" spans="1:15" x14ac:dyDescent="0.35">
      <c r="A1657" s="27" t="s">
        <v>2301</v>
      </c>
      <c r="B1657" s="12">
        <v>46167</v>
      </c>
      <c r="C1657" s="11" t="s">
        <v>136</v>
      </c>
      <c r="D1657" s="11" t="s">
        <v>40</v>
      </c>
      <c r="E1657" s="11">
        <v>74</v>
      </c>
      <c r="F1657" s="11">
        <f t="shared" si="51"/>
        <v>74</v>
      </c>
      <c r="G1657" s="11" t="s">
        <v>14</v>
      </c>
      <c r="H1657" s="11" t="s">
        <v>33</v>
      </c>
      <c r="I1657" s="11" t="s">
        <v>34</v>
      </c>
      <c r="J1657" s="11">
        <v>34</v>
      </c>
      <c r="K1657" s="11">
        <v>55</v>
      </c>
      <c r="L1657" s="11" t="s">
        <v>2302</v>
      </c>
      <c r="M1657" s="11">
        <f t="shared" si="50"/>
        <v>2516</v>
      </c>
      <c r="N1657" s="11">
        <f>IF(Table1[[#This Row],[Transaction Type]]="Sale",ABS(E1657)*K1657,0)</f>
        <v>0</v>
      </c>
      <c r="O1657" s="29">
        <f>IF(Table1[[#This Row],[Transaction Type]]="Purchase",E1657*J1657,0)</f>
        <v>2516</v>
      </c>
    </row>
    <row r="1658" spans="1:15" x14ac:dyDescent="0.35">
      <c r="A1658" s="27" t="s">
        <v>2303</v>
      </c>
      <c r="B1658" s="12">
        <v>46167</v>
      </c>
      <c r="C1658" s="11" t="s">
        <v>29</v>
      </c>
      <c r="D1658" s="11" t="s">
        <v>13</v>
      </c>
      <c r="E1658" s="11">
        <v>-6</v>
      </c>
      <c r="F1658" s="11">
        <f t="shared" si="51"/>
        <v>-6</v>
      </c>
      <c r="G1658" s="11" t="s">
        <v>14</v>
      </c>
      <c r="H1658" s="11" t="s">
        <v>30</v>
      </c>
      <c r="I1658" s="11" t="s">
        <v>16</v>
      </c>
      <c r="J1658" s="11">
        <v>8.8000000000000007</v>
      </c>
      <c r="K1658" s="11">
        <v>17</v>
      </c>
      <c r="L1658" s="11"/>
      <c r="M1658" s="11">
        <f t="shared" si="50"/>
        <v>52.800000000000004</v>
      </c>
      <c r="N1658" s="11">
        <f>IF(Table1[[#This Row],[Transaction Type]]="Sale",ABS(E1658)*K1658,0)</f>
        <v>102</v>
      </c>
      <c r="O1658" s="29">
        <f>IF(Table1[[#This Row],[Transaction Type]]="Purchase",E1658*J1658,0)</f>
        <v>0</v>
      </c>
    </row>
    <row r="1659" spans="1:15" x14ac:dyDescent="0.35">
      <c r="A1659" s="27" t="s">
        <v>2304</v>
      </c>
      <c r="B1659" s="12">
        <v>46168</v>
      </c>
      <c r="C1659" s="11" t="s">
        <v>12</v>
      </c>
      <c r="D1659" s="11" t="s">
        <v>40</v>
      </c>
      <c r="E1659" s="11">
        <v>30</v>
      </c>
      <c r="F1659" s="11">
        <f t="shared" si="51"/>
        <v>30</v>
      </c>
      <c r="G1659" s="11" t="s">
        <v>24</v>
      </c>
      <c r="H1659" s="11" t="s">
        <v>15</v>
      </c>
      <c r="I1659" s="11" t="s">
        <v>16</v>
      </c>
      <c r="J1659" s="11">
        <v>13.5</v>
      </c>
      <c r="K1659" s="11">
        <v>24</v>
      </c>
      <c r="L1659" s="11" t="s">
        <v>2305</v>
      </c>
      <c r="M1659" s="11">
        <f t="shared" si="50"/>
        <v>405</v>
      </c>
      <c r="N1659" s="11">
        <f>IF(Table1[[#This Row],[Transaction Type]]="Sale",ABS(E1659)*K1659,0)</f>
        <v>0</v>
      </c>
      <c r="O1659" s="29">
        <f>IF(Table1[[#This Row],[Transaction Type]]="Purchase",E1659*J1659,0)</f>
        <v>405</v>
      </c>
    </row>
    <row r="1660" spans="1:15" x14ac:dyDescent="0.35">
      <c r="A1660" s="27" t="s">
        <v>2306</v>
      </c>
      <c r="B1660" s="12">
        <v>46168</v>
      </c>
      <c r="C1660" s="11" t="s">
        <v>60</v>
      </c>
      <c r="D1660" s="11" t="s">
        <v>13</v>
      </c>
      <c r="E1660" s="11">
        <v>-10</v>
      </c>
      <c r="F1660" s="11">
        <f t="shared" si="51"/>
        <v>-10</v>
      </c>
      <c r="G1660" s="11" t="s">
        <v>14</v>
      </c>
      <c r="H1660" s="11" t="s">
        <v>61</v>
      </c>
      <c r="I1660" s="11" t="s">
        <v>62</v>
      </c>
      <c r="J1660" s="11">
        <v>3.4</v>
      </c>
      <c r="K1660" s="11">
        <v>8</v>
      </c>
      <c r="L1660" s="11"/>
      <c r="M1660" s="11">
        <f t="shared" si="50"/>
        <v>34</v>
      </c>
      <c r="N1660" s="11">
        <f>IF(Table1[[#This Row],[Transaction Type]]="Sale",ABS(E1660)*K1660,0)</f>
        <v>80</v>
      </c>
      <c r="O1660" s="29">
        <f>IF(Table1[[#This Row],[Transaction Type]]="Purchase",E1660*J1660,0)</f>
        <v>0</v>
      </c>
    </row>
    <row r="1661" spans="1:15" x14ac:dyDescent="0.35">
      <c r="A1661" s="27" t="s">
        <v>2307</v>
      </c>
      <c r="B1661" s="12">
        <v>46168</v>
      </c>
      <c r="C1661" s="11" t="s">
        <v>43</v>
      </c>
      <c r="D1661" s="11" t="s">
        <v>58</v>
      </c>
      <c r="E1661" s="11">
        <v>-11</v>
      </c>
      <c r="F1661" s="11">
        <f t="shared" si="51"/>
        <v>-11</v>
      </c>
      <c r="G1661" s="11" t="s">
        <v>14</v>
      </c>
      <c r="H1661" s="11" t="s">
        <v>44</v>
      </c>
      <c r="I1661" s="11" t="s">
        <v>45</v>
      </c>
      <c r="J1661" s="11">
        <v>5.2</v>
      </c>
      <c r="K1661" s="11">
        <v>11</v>
      </c>
      <c r="L1661" s="11"/>
      <c r="M1661" s="11">
        <f t="shared" si="50"/>
        <v>57.2</v>
      </c>
      <c r="N1661" s="11">
        <f>IF(Table1[[#This Row],[Transaction Type]]="Sale",ABS(E1661)*K1661,0)</f>
        <v>0</v>
      </c>
      <c r="O1661" s="29">
        <f>IF(Table1[[#This Row],[Transaction Type]]="Purchase",E1661*J1661,0)</f>
        <v>0</v>
      </c>
    </row>
    <row r="1662" spans="1:15" x14ac:dyDescent="0.35">
      <c r="A1662" s="27" t="s">
        <v>2308</v>
      </c>
      <c r="B1662" s="12">
        <v>46168</v>
      </c>
      <c r="C1662" s="11" t="s">
        <v>141</v>
      </c>
      <c r="D1662" s="11" t="s">
        <v>66</v>
      </c>
      <c r="E1662" s="11">
        <v>4</v>
      </c>
      <c r="F1662" s="11">
        <f t="shared" si="51"/>
        <v>4</v>
      </c>
      <c r="G1662" s="11" t="s">
        <v>14</v>
      </c>
      <c r="H1662" s="11" t="s">
        <v>25</v>
      </c>
      <c r="I1662" s="11" t="s">
        <v>26</v>
      </c>
      <c r="J1662" s="11">
        <v>4</v>
      </c>
      <c r="K1662" s="11">
        <v>9</v>
      </c>
      <c r="L1662" s="11"/>
      <c r="M1662" s="11">
        <f t="shared" si="50"/>
        <v>16</v>
      </c>
      <c r="N1662" s="11">
        <f>IF(Table1[[#This Row],[Transaction Type]]="Sale",ABS(E1662)*K1662,0)</f>
        <v>0</v>
      </c>
      <c r="O1662" s="29">
        <f>IF(Table1[[#This Row],[Transaction Type]]="Purchase",E1662*J1662,0)</f>
        <v>0</v>
      </c>
    </row>
    <row r="1663" spans="1:15" x14ac:dyDescent="0.35">
      <c r="A1663" s="27" t="s">
        <v>2309</v>
      </c>
      <c r="B1663" s="12">
        <v>46169</v>
      </c>
      <c r="C1663" s="11" t="s">
        <v>48</v>
      </c>
      <c r="D1663" s="11" t="s">
        <v>13</v>
      </c>
      <c r="E1663" s="11">
        <v>-3</v>
      </c>
      <c r="F1663" s="11">
        <f t="shared" si="51"/>
        <v>-3</v>
      </c>
      <c r="G1663" s="11" t="s">
        <v>14</v>
      </c>
      <c r="H1663" s="11" t="s">
        <v>49</v>
      </c>
      <c r="I1663" s="11" t="s">
        <v>21</v>
      </c>
      <c r="J1663" s="11">
        <v>8.5</v>
      </c>
      <c r="K1663" s="11">
        <v>18</v>
      </c>
      <c r="L1663" s="11"/>
      <c r="M1663" s="11">
        <f t="shared" si="50"/>
        <v>25.5</v>
      </c>
      <c r="N1663" s="11">
        <f>IF(Table1[[#This Row],[Transaction Type]]="Sale",ABS(E1663)*K1663,0)</f>
        <v>54</v>
      </c>
      <c r="O1663" s="29">
        <f>IF(Table1[[#This Row],[Transaction Type]]="Purchase",E1663*J1663,0)</f>
        <v>0</v>
      </c>
    </row>
    <row r="1664" spans="1:15" x14ac:dyDescent="0.35">
      <c r="A1664" s="27" t="s">
        <v>2310</v>
      </c>
      <c r="B1664" s="12">
        <v>46169</v>
      </c>
      <c r="C1664" s="11" t="s">
        <v>87</v>
      </c>
      <c r="D1664" s="11" t="s">
        <v>13</v>
      </c>
      <c r="E1664" s="11">
        <v>-4</v>
      </c>
      <c r="F1664" s="11">
        <f t="shared" si="51"/>
        <v>-4</v>
      </c>
      <c r="G1664" s="11" t="s">
        <v>19</v>
      </c>
      <c r="H1664" s="11" t="s">
        <v>88</v>
      </c>
      <c r="I1664" s="11" t="s">
        <v>16</v>
      </c>
      <c r="J1664" s="11">
        <v>6</v>
      </c>
      <c r="K1664" s="11">
        <v>14</v>
      </c>
      <c r="L1664" s="11"/>
      <c r="M1664" s="11">
        <f t="shared" si="50"/>
        <v>24</v>
      </c>
      <c r="N1664" s="11">
        <f>IF(Table1[[#This Row],[Transaction Type]]="Sale",ABS(E1664)*K1664,0)</f>
        <v>56</v>
      </c>
      <c r="O1664" s="29">
        <f>IF(Table1[[#This Row],[Transaction Type]]="Purchase",E1664*J1664,0)</f>
        <v>0</v>
      </c>
    </row>
    <row r="1665" spans="1:15" x14ac:dyDescent="0.35">
      <c r="A1665" s="27" t="s">
        <v>2311</v>
      </c>
      <c r="B1665" s="12">
        <v>46169</v>
      </c>
      <c r="C1665" s="11" t="s">
        <v>32</v>
      </c>
      <c r="D1665" s="11" t="s">
        <v>13</v>
      </c>
      <c r="E1665" s="11">
        <v>-1</v>
      </c>
      <c r="F1665" s="11">
        <f t="shared" si="51"/>
        <v>-1</v>
      </c>
      <c r="G1665" s="11" t="s">
        <v>24</v>
      </c>
      <c r="H1665" s="11" t="s">
        <v>33</v>
      </c>
      <c r="I1665" s="11" t="s">
        <v>34</v>
      </c>
      <c r="J1665" s="11">
        <v>20</v>
      </c>
      <c r="K1665" s="11">
        <v>35</v>
      </c>
      <c r="L1665" s="11"/>
      <c r="M1665" s="11">
        <f t="shared" si="50"/>
        <v>20</v>
      </c>
      <c r="N1665" s="11">
        <f>IF(Table1[[#This Row],[Transaction Type]]="Sale",ABS(E1665)*K1665,0)</f>
        <v>35</v>
      </c>
      <c r="O1665" s="29">
        <f>IF(Table1[[#This Row],[Transaction Type]]="Purchase",E1665*J1665,0)</f>
        <v>0</v>
      </c>
    </row>
    <row r="1666" spans="1:15" x14ac:dyDescent="0.35">
      <c r="A1666" s="27" t="s">
        <v>2312</v>
      </c>
      <c r="B1666" s="12">
        <v>46170</v>
      </c>
      <c r="C1666" s="11" t="s">
        <v>87</v>
      </c>
      <c r="D1666" s="11" t="s">
        <v>40</v>
      </c>
      <c r="E1666" s="11">
        <v>93</v>
      </c>
      <c r="F1666" s="11">
        <f t="shared" si="51"/>
        <v>93</v>
      </c>
      <c r="G1666" s="11" t="s">
        <v>24</v>
      </c>
      <c r="H1666" s="11" t="s">
        <v>88</v>
      </c>
      <c r="I1666" s="11" t="s">
        <v>16</v>
      </c>
      <c r="J1666" s="11">
        <v>6</v>
      </c>
      <c r="K1666" s="11">
        <v>14</v>
      </c>
      <c r="L1666" s="11" t="s">
        <v>2313</v>
      </c>
      <c r="M1666" s="11">
        <f t="shared" ref="M1666:M1729" si="52">ABS(E1666)*J1666</f>
        <v>558</v>
      </c>
      <c r="N1666" s="11">
        <f>IF(Table1[[#This Row],[Transaction Type]]="Sale",ABS(E1666)*K1666,0)</f>
        <v>0</v>
      </c>
      <c r="O1666" s="29">
        <f>IF(Table1[[#This Row],[Transaction Type]]="Purchase",E1666*J1666,0)</f>
        <v>558</v>
      </c>
    </row>
    <row r="1667" spans="1:15" x14ac:dyDescent="0.35">
      <c r="A1667" s="27" t="s">
        <v>2314</v>
      </c>
      <c r="B1667" s="12">
        <v>46170</v>
      </c>
      <c r="C1667" s="11" t="s">
        <v>60</v>
      </c>
      <c r="D1667" s="11" t="s">
        <v>13</v>
      </c>
      <c r="E1667" s="11">
        <v>-1</v>
      </c>
      <c r="F1667" s="11">
        <f t="shared" ref="F1667:F1730" si="53">E1667</f>
        <v>-1</v>
      </c>
      <c r="G1667" s="11" t="s">
        <v>14</v>
      </c>
      <c r="H1667" s="11" t="s">
        <v>61</v>
      </c>
      <c r="I1667" s="11" t="s">
        <v>62</v>
      </c>
      <c r="J1667" s="11">
        <v>3.4</v>
      </c>
      <c r="K1667" s="11">
        <v>8</v>
      </c>
      <c r="L1667" s="11"/>
      <c r="M1667" s="11">
        <f t="shared" si="52"/>
        <v>3.4</v>
      </c>
      <c r="N1667" s="11">
        <f>IF(Table1[[#This Row],[Transaction Type]]="Sale",ABS(E1667)*K1667,0)</f>
        <v>8</v>
      </c>
      <c r="O1667" s="29">
        <f>IF(Table1[[#This Row],[Transaction Type]]="Purchase",E1667*J1667,0)</f>
        <v>0</v>
      </c>
    </row>
    <row r="1668" spans="1:15" x14ac:dyDescent="0.35">
      <c r="A1668" s="27" t="s">
        <v>2315</v>
      </c>
      <c r="B1668" s="12">
        <v>46171</v>
      </c>
      <c r="C1668" s="11" t="s">
        <v>60</v>
      </c>
      <c r="D1668" s="11" t="s">
        <v>40</v>
      </c>
      <c r="E1668" s="11">
        <v>100</v>
      </c>
      <c r="F1668" s="11">
        <f t="shared" si="53"/>
        <v>100</v>
      </c>
      <c r="G1668" s="11" t="s">
        <v>14</v>
      </c>
      <c r="H1668" s="11" t="s">
        <v>61</v>
      </c>
      <c r="I1668" s="11" t="s">
        <v>62</v>
      </c>
      <c r="J1668" s="11">
        <v>3.4</v>
      </c>
      <c r="K1668" s="11">
        <v>8</v>
      </c>
      <c r="L1668" s="11" t="s">
        <v>2316</v>
      </c>
      <c r="M1668" s="11">
        <f t="shared" si="52"/>
        <v>340</v>
      </c>
      <c r="N1668" s="11">
        <f>IF(Table1[[#This Row],[Transaction Type]]="Sale",ABS(E1668)*K1668,0)</f>
        <v>0</v>
      </c>
      <c r="O1668" s="29">
        <f>IF(Table1[[#This Row],[Transaction Type]]="Purchase",E1668*J1668,0)</f>
        <v>340</v>
      </c>
    </row>
    <row r="1669" spans="1:15" x14ac:dyDescent="0.35">
      <c r="A1669" s="27" t="s">
        <v>2317</v>
      </c>
      <c r="B1669" s="12">
        <v>46171</v>
      </c>
      <c r="C1669" s="11" t="s">
        <v>83</v>
      </c>
      <c r="D1669" s="11" t="s">
        <v>40</v>
      </c>
      <c r="E1669" s="11">
        <v>76</v>
      </c>
      <c r="F1669" s="11">
        <f t="shared" si="53"/>
        <v>76</v>
      </c>
      <c r="G1669" s="11" t="s">
        <v>24</v>
      </c>
      <c r="H1669" s="11" t="s">
        <v>84</v>
      </c>
      <c r="I1669" s="11" t="s">
        <v>45</v>
      </c>
      <c r="J1669" s="11">
        <v>130</v>
      </c>
      <c r="K1669" s="11">
        <v>185</v>
      </c>
      <c r="L1669" s="11" t="s">
        <v>2318</v>
      </c>
      <c r="M1669" s="11">
        <f t="shared" si="52"/>
        <v>9880</v>
      </c>
      <c r="N1669" s="11">
        <f>IF(Table1[[#This Row],[Transaction Type]]="Sale",ABS(E1669)*K1669,0)</f>
        <v>0</v>
      </c>
      <c r="O1669" s="29">
        <f>IF(Table1[[#This Row],[Transaction Type]]="Purchase",E1669*J1669,0)</f>
        <v>9880</v>
      </c>
    </row>
    <row r="1670" spans="1:15" x14ac:dyDescent="0.35">
      <c r="A1670" s="27" t="s">
        <v>2319</v>
      </c>
      <c r="B1670" s="12">
        <v>46171</v>
      </c>
      <c r="C1670" s="11" t="s">
        <v>81</v>
      </c>
      <c r="D1670" s="11" t="s">
        <v>40</v>
      </c>
      <c r="E1670" s="11">
        <v>35</v>
      </c>
      <c r="F1670" s="11">
        <f t="shared" si="53"/>
        <v>35</v>
      </c>
      <c r="G1670" s="11" t="s">
        <v>19</v>
      </c>
      <c r="H1670" s="11" t="s">
        <v>30</v>
      </c>
      <c r="I1670" s="11" t="s">
        <v>16</v>
      </c>
      <c r="J1670" s="11">
        <v>8</v>
      </c>
      <c r="K1670" s="11">
        <v>15</v>
      </c>
      <c r="L1670" s="11" t="s">
        <v>2320</v>
      </c>
      <c r="M1670" s="11">
        <f t="shared" si="52"/>
        <v>280</v>
      </c>
      <c r="N1670" s="11">
        <f>IF(Table1[[#This Row],[Transaction Type]]="Sale",ABS(E1670)*K1670,0)</f>
        <v>0</v>
      </c>
      <c r="O1670" s="29">
        <f>IF(Table1[[#This Row],[Transaction Type]]="Purchase",E1670*J1670,0)</f>
        <v>280</v>
      </c>
    </row>
    <row r="1671" spans="1:15" x14ac:dyDescent="0.35">
      <c r="A1671" s="27" t="s">
        <v>2321</v>
      </c>
      <c r="B1671" s="12">
        <v>46171</v>
      </c>
      <c r="C1671" s="11" t="s">
        <v>65</v>
      </c>
      <c r="D1671" s="11" t="s">
        <v>13</v>
      </c>
      <c r="E1671" s="11">
        <v>-7</v>
      </c>
      <c r="F1671" s="11">
        <f t="shared" si="53"/>
        <v>-7</v>
      </c>
      <c r="G1671" s="11" t="s">
        <v>24</v>
      </c>
      <c r="H1671" s="11" t="s">
        <v>67</v>
      </c>
      <c r="I1671" s="11" t="s">
        <v>21</v>
      </c>
      <c r="J1671" s="11">
        <v>11</v>
      </c>
      <c r="K1671" s="11">
        <v>22</v>
      </c>
      <c r="L1671" s="11"/>
      <c r="M1671" s="11">
        <f t="shared" si="52"/>
        <v>77</v>
      </c>
      <c r="N1671" s="11">
        <f>IF(Table1[[#This Row],[Transaction Type]]="Sale",ABS(E1671)*K1671,0)</f>
        <v>154</v>
      </c>
      <c r="O1671" s="29">
        <f>IF(Table1[[#This Row],[Transaction Type]]="Purchase",E1671*J1671,0)</f>
        <v>0</v>
      </c>
    </row>
    <row r="1672" spans="1:15" x14ac:dyDescent="0.35">
      <c r="A1672" s="27" t="s">
        <v>2322</v>
      </c>
      <c r="B1672" s="12">
        <v>46172</v>
      </c>
      <c r="C1672" s="11" t="s">
        <v>60</v>
      </c>
      <c r="D1672" s="11" t="s">
        <v>13</v>
      </c>
      <c r="E1672" s="11">
        <v>-7</v>
      </c>
      <c r="F1672" s="11">
        <f t="shared" si="53"/>
        <v>-7</v>
      </c>
      <c r="G1672" s="11" t="s">
        <v>19</v>
      </c>
      <c r="H1672" s="11" t="s">
        <v>61</v>
      </c>
      <c r="I1672" s="11" t="s">
        <v>62</v>
      </c>
      <c r="J1672" s="11">
        <v>3.4</v>
      </c>
      <c r="K1672" s="11">
        <v>8</v>
      </c>
      <c r="L1672" s="11"/>
      <c r="M1672" s="11">
        <f t="shared" si="52"/>
        <v>23.8</v>
      </c>
      <c r="N1672" s="11">
        <f>IF(Table1[[#This Row],[Transaction Type]]="Sale",ABS(E1672)*K1672,0)</f>
        <v>56</v>
      </c>
      <c r="O1672" s="29">
        <f>IF(Table1[[#This Row],[Transaction Type]]="Purchase",E1672*J1672,0)</f>
        <v>0</v>
      </c>
    </row>
    <row r="1673" spans="1:15" x14ac:dyDescent="0.35">
      <c r="A1673" s="27" t="s">
        <v>2323</v>
      </c>
      <c r="B1673" s="12">
        <v>46172</v>
      </c>
      <c r="C1673" s="11" t="s">
        <v>794</v>
      </c>
      <c r="D1673" s="11" t="s">
        <v>66</v>
      </c>
      <c r="E1673" s="11">
        <v>3</v>
      </c>
      <c r="F1673" s="11">
        <f t="shared" si="53"/>
        <v>3</v>
      </c>
      <c r="G1673" s="11" t="s">
        <v>14</v>
      </c>
      <c r="H1673" s="11" t="s">
        <v>74</v>
      </c>
      <c r="I1673" s="11" t="s">
        <v>75</v>
      </c>
      <c r="J1673" s="11">
        <v>82</v>
      </c>
      <c r="K1673" s="11">
        <v>135</v>
      </c>
      <c r="L1673" s="11"/>
      <c r="M1673" s="11">
        <f t="shared" si="52"/>
        <v>246</v>
      </c>
      <c r="N1673" s="11">
        <f>IF(Table1[[#This Row],[Transaction Type]]="Sale",ABS(E1673)*K1673,0)</f>
        <v>0</v>
      </c>
      <c r="O1673" s="29">
        <f>IF(Table1[[#This Row],[Transaction Type]]="Purchase",E1673*J1673,0)</f>
        <v>0</v>
      </c>
    </row>
    <row r="1674" spans="1:15" x14ac:dyDescent="0.35">
      <c r="A1674" s="27" t="s">
        <v>2324</v>
      </c>
      <c r="B1674" s="12">
        <v>46172</v>
      </c>
      <c r="C1674" s="11" t="s">
        <v>194</v>
      </c>
      <c r="D1674" s="11" t="s">
        <v>13</v>
      </c>
      <c r="E1674" s="11">
        <v>-6</v>
      </c>
      <c r="F1674" s="11">
        <f t="shared" si="53"/>
        <v>-6</v>
      </c>
      <c r="G1674" s="11" t="s">
        <v>24</v>
      </c>
      <c r="H1674" s="11" t="s">
        <v>195</v>
      </c>
      <c r="I1674" s="11" t="s">
        <v>21</v>
      </c>
      <c r="J1674" s="11">
        <v>220</v>
      </c>
      <c r="K1674" s="11">
        <v>320</v>
      </c>
      <c r="L1674" s="11"/>
      <c r="M1674" s="11">
        <f t="shared" si="52"/>
        <v>1320</v>
      </c>
      <c r="N1674" s="11">
        <f>IF(Table1[[#This Row],[Transaction Type]]="Sale",ABS(E1674)*K1674,0)</f>
        <v>1920</v>
      </c>
      <c r="O1674" s="29">
        <f>IF(Table1[[#This Row],[Transaction Type]]="Purchase",E1674*J1674,0)</f>
        <v>0</v>
      </c>
    </row>
    <row r="1675" spans="1:15" x14ac:dyDescent="0.35">
      <c r="A1675" s="27" t="s">
        <v>2325</v>
      </c>
      <c r="B1675" s="12">
        <v>46172</v>
      </c>
      <c r="C1675" s="11" t="s">
        <v>18</v>
      </c>
      <c r="D1675" s="11" t="s">
        <v>13</v>
      </c>
      <c r="E1675" s="11">
        <v>-8</v>
      </c>
      <c r="F1675" s="11">
        <f t="shared" si="53"/>
        <v>-8</v>
      </c>
      <c r="G1675" s="11" t="s">
        <v>19</v>
      </c>
      <c r="H1675" s="11" t="s">
        <v>20</v>
      </c>
      <c r="I1675" s="11" t="s">
        <v>21</v>
      </c>
      <c r="J1675" s="11">
        <v>2.6</v>
      </c>
      <c r="K1675" s="11">
        <v>5.5</v>
      </c>
      <c r="L1675" s="11"/>
      <c r="M1675" s="11">
        <f t="shared" si="52"/>
        <v>20.8</v>
      </c>
      <c r="N1675" s="11">
        <f>IF(Table1[[#This Row],[Transaction Type]]="Sale",ABS(E1675)*K1675,0)</f>
        <v>44</v>
      </c>
      <c r="O1675" s="29">
        <f>IF(Table1[[#This Row],[Transaction Type]]="Purchase",E1675*J1675,0)</f>
        <v>0</v>
      </c>
    </row>
    <row r="1676" spans="1:15" x14ac:dyDescent="0.35">
      <c r="A1676" s="27" t="s">
        <v>2326</v>
      </c>
      <c r="B1676" s="12">
        <v>46173</v>
      </c>
      <c r="C1676" s="11" t="s">
        <v>81</v>
      </c>
      <c r="D1676" s="11" t="s">
        <v>13</v>
      </c>
      <c r="E1676" s="11">
        <v>-2</v>
      </c>
      <c r="F1676" s="11">
        <f t="shared" si="53"/>
        <v>-2</v>
      </c>
      <c r="G1676" s="11" t="s">
        <v>19</v>
      </c>
      <c r="H1676" s="11" t="s">
        <v>30</v>
      </c>
      <c r="I1676" s="11" t="s">
        <v>16</v>
      </c>
      <c r="J1676" s="11">
        <v>8</v>
      </c>
      <c r="K1676" s="11">
        <v>15</v>
      </c>
      <c r="L1676" s="11"/>
      <c r="M1676" s="11">
        <f t="shared" si="52"/>
        <v>16</v>
      </c>
      <c r="N1676" s="11">
        <f>IF(Table1[[#This Row],[Transaction Type]]="Sale",ABS(E1676)*K1676,0)</f>
        <v>30</v>
      </c>
      <c r="O1676" s="29">
        <f>IF(Table1[[#This Row],[Transaction Type]]="Purchase",E1676*J1676,0)</f>
        <v>0</v>
      </c>
    </row>
    <row r="1677" spans="1:15" x14ac:dyDescent="0.35">
      <c r="A1677" s="27" t="s">
        <v>2327</v>
      </c>
      <c r="B1677" s="12">
        <v>46173</v>
      </c>
      <c r="C1677" s="11" t="s">
        <v>94</v>
      </c>
      <c r="D1677" s="11" t="s">
        <v>13</v>
      </c>
      <c r="E1677" s="11">
        <v>-4</v>
      </c>
      <c r="F1677" s="11">
        <f t="shared" si="53"/>
        <v>-4</v>
      </c>
      <c r="G1677" s="11" t="s">
        <v>14</v>
      </c>
      <c r="H1677" s="11" t="s">
        <v>95</v>
      </c>
      <c r="I1677" s="11" t="s">
        <v>16</v>
      </c>
      <c r="J1677" s="11">
        <v>18.5</v>
      </c>
      <c r="K1677" s="11">
        <v>31</v>
      </c>
      <c r="L1677" s="11"/>
      <c r="M1677" s="11">
        <f t="shared" si="52"/>
        <v>74</v>
      </c>
      <c r="N1677" s="11">
        <f>IF(Table1[[#This Row],[Transaction Type]]="Sale",ABS(E1677)*K1677,0)</f>
        <v>124</v>
      </c>
      <c r="O1677" s="29">
        <f>IF(Table1[[#This Row],[Transaction Type]]="Purchase",E1677*J1677,0)</f>
        <v>0</v>
      </c>
    </row>
    <row r="1678" spans="1:15" x14ac:dyDescent="0.35">
      <c r="A1678" s="27" t="s">
        <v>2328</v>
      </c>
      <c r="B1678" s="12">
        <v>46173</v>
      </c>
      <c r="C1678" s="11" t="s">
        <v>141</v>
      </c>
      <c r="D1678" s="11" t="s">
        <v>13</v>
      </c>
      <c r="E1678" s="11">
        <v>-13</v>
      </c>
      <c r="F1678" s="11">
        <f t="shared" si="53"/>
        <v>-13</v>
      </c>
      <c r="G1678" s="11" t="s">
        <v>19</v>
      </c>
      <c r="H1678" s="11" t="s">
        <v>25</v>
      </c>
      <c r="I1678" s="11" t="s">
        <v>26</v>
      </c>
      <c r="J1678" s="11">
        <v>4</v>
      </c>
      <c r="K1678" s="11">
        <v>9</v>
      </c>
      <c r="L1678" s="11"/>
      <c r="M1678" s="11">
        <f t="shared" si="52"/>
        <v>52</v>
      </c>
      <c r="N1678" s="11">
        <f>IF(Table1[[#This Row],[Transaction Type]]="Sale",ABS(E1678)*K1678,0)</f>
        <v>117</v>
      </c>
      <c r="O1678" s="29">
        <f>IF(Table1[[#This Row],[Transaction Type]]="Purchase",E1678*J1678,0)</f>
        <v>0</v>
      </c>
    </row>
    <row r="1679" spans="1:15" x14ac:dyDescent="0.35">
      <c r="A1679" s="27" t="s">
        <v>2329</v>
      </c>
      <c r="B1679" s="12">
        <v>46174</v>
      </c>
      <c r="C1679" s="11" t="s">
        <v>32</v>
      </c>
      <c r="D1679" s="11" t="s">
        <v>40</v>
      </c>
      <c r="E1679" s="11">
        <v>97</v>
      </c>
      <c r="F1679" s="11">
        <f t="shared" si="53"/>
        <v>97</v>
      </c>
      <c r="G1679" s="11" t="s">
        <v>19</v>
      </c>
      <c r="H1679" s="11" t="s">
        <v>33</v>
      </c>
      <c r="I1679" s="11" t="s">
        <v>34</v>
      </c>
      <c r="J1679" s="11">
        <v>20</v>
      </c>
      <c r="K1679" s="11">
        <v>35</v>
      </c>
      <c r="L1679" s="11" t="s">
        <v>2330</v>
      </c>
      <c r="M1679" s="11">
        <f t="shared" si="52"/>
        <v>1940</v>
      </c>
      <c r="N1679" s="11">
        <f>IF(Table1[[#This Row],[Transaction Type]]="Sale",ABS(E1679)*K1679,0)</f>
        <v>0</v>
      </c>
      <c r="O1679" s="29">
        <f>IF(Table1[[#This Row],[Transaction Type]]="Purchase",E1679*J1679,0)</f>
        <v>1940</v>
      </c>
    </row>
    <row r="1680" spans="1:15" x14ac:dyDescent="0.35">
      <c r="A1680" s="27" t="s">
        <v>2331</v>
      </c>
      <c r="B1680" s="12">
        <v>46174</v>
      </c>
      <c r="C1680" s="11" t="s">
        <v>29</v>
      </c>
      <c r="D1680" s="11" t="s">
        <v>13</v>
      </c>
      <c r="E1680" s="11">
        <v>-4</v>
      </c>
      <c r="F1680" s="11">
        <f t="shared" si="53"/>
        <v>-4</v>
      </c>
      <c r="G1680" s="11" t="s">
        <v>14</v>
      </c>
      <c r="H1680" s="11" t="s">
        <v>30</v>
      </c>
      <c r="I1680" s="11" t="s">
        <v>16</v>
      </c>
      <c r="J1680" s="11">
        <v>8.8000000000000007</v>
      </c>
      <c r="K1680" s="11">
        <v>17</v>
      </c>
      <c r="L1680" s="11"/>
      <c r="M1680" s="11">
        <f t="shared" si="52"/>
        <v>35.200000000000003</v>
      </c>
      <c r="N1680" s="11">
        <f>IF(Table1[[#This Row],[Transaction Type]]="Sale",ABS(E1680)*K1680,0)</f>
        <v>68</v>
      </c>
      <c r="O1680" s="29">
        <f>IF(Table1[[#This Row],[Transaction Type]]="Purchase",E1680*J1680,0)</f>
        <v>0</v>
      </c>
    </row>
    <row r="1681" spans="1:15" x14ac:dyDescent="0.35">
      <c r="A1681" s="27" t="s">
        <v>2332</v>
      </c>
      <c r="B1681" s="12">
        <v>46174</v>
      </c>
      <c r="C1681" s="11" t="s">
        <v>60</v>
      </c>
      <c r="D1681" s="11" t="s">
        <v>58</v>
      </c>
      <c r="E1681" s="11">
        <v>13</v>
      </c>
      <c r="F1681" s="11">
        <f t="shared" si="53"/>
        <v>13</v>
      </c>
      <c r="G1681" s="11" t="s">
        <v>24</v>
      </c>
      <c r="H1681" s="11" t="s">
        <v>61</v>
      </c>
      <c r="I1681" s="11" t="s">
        <v>62</v>
      </c>
      <c r="J1681" s="11">
        <v>3.4</v>
      </c>
      <c r="K1681" s="11">
        <v>8</v>
      </c>
      <c r="L1681" s="11"/>
      <c r="M1681" s="11">
        <f t="shared" si="52"/>
        <v>44.199999999999996</v>
      </c>
      <c r="N1681" s="11">
        <f>IF(Table1[[#This Row],[Transaction Type]]="Sale",ABS(E1681)*K1681,0)</f>
        <v>0</v>
      </c>
      <c r="O1681" s="29">
        <f>IF(Table1[[#This Row],[Transaction Type]]="Purchase",E1681*J1681,0)</f>
        <v>0</v>
      </c>
    </row>
    <row r="1682" spans="1:15" x14ac:dyDescent="0.35">
      <c r="A1682" s="27" t="s">
        <v>2333</v>
      </c>
      <c r="B1682" s="12">
        <v>46175</v>
      </c>
      <c r="C1682" s="11" t="s">
        <v>83</v>
      </c>
      <c r="D1682" s="11" t="s">
        <v>13</v>
      </c>
      <c r="E1682" s="11">
        <v>-8</v>
      </c>
      <c r="F1682" s="11">
        <f t="shared" si="53"/>
        <v>-8</v>
      </c>
      <c r="G1682" s="11" t="s">
        <v>14</v>
      </c>
      <c r="H1682" s="11" t="s">
        <v>84</v>
      </c>
      <c r="I1682" s="11" t="s">
        <v>45</v>
      </c>
      <c r="J1682" s="11">
        <v>130</v>
      </c>
      <c r="K1682" s="11">
        <v>185</v>
      </c>
      <c r="L1682" s="11"/>
      <c r="M1682" s="11">
        <f t="shared" si="52"/>
        <v>1040</v>
      </c>
      <c r="N1682" s="11">
        <f>IF(Table1[[#This Row],[Transaction Type]]="Sale",ABS(E1682)*K1682,0)</f>
        <v>1480</v>
      </c>
      <c r="O1682" s="29">
        <f>IF(Table1[[#This Row],[Transaction Type]]="Purchase",E1682*J1682,0)</f>
        <v>0</v>
      </c>
    </row>
    <row r="1683" spans="1:15" x14ac:dyDescent="0.35">
      <c r="A1683" s="27" t="s">
        <v>2334</v>
      </c>
      <c r="B1683" s="12">
        <v>46175</v>
      </c>
      <c r="C1683" s="11" t="s">
        <v>185</v>
      </c>
      <c r="D1683" s="11" t="s">
        <v>13</v>
      </c>
      <c r="E1683" s="11">
        <v>-14</v>
      </c>
      <c r="F1683" s="11">
        <f t="shared" si="53"/>
        <v>-14</v>
      </c>
      <c r="G1683" s="11" t="s">
        <v>14</v>
      </c>
      <c r="H1683" s="11" t="s">
        <v>44</v>
      </c>
      <c r="I1683" s="11" t="s">
        <v>45</v>
      </c>
      <c r="J1683" s="11">
        <v>63</v>
      </c>
      <c r="K1683" s="11">
        <v>95</v>
      </c>
      <c r="L1683" s="11"/>
      <c r="M1683" s="11">
        <f t="shared" si="52"/>
        <v>882</v>
      </c>
      <c r="N1683" s="11">
        <f>IF(Table1[[#This Row],[Transaction Type]]="Sale",ABS(E1683)*K1683,0)</f>
        <v>1330</v>
      </c>
      <c r="O1683" s="29">
        <f>IF(Table1[[#This Row],[Transaction Type]]="Purchase",E1683*J1683,0)</f>
        <v>0</v>
      </c>
    </row>
    <row r="1684" spans="1:15" x14ac:dyDescent="0.35">
      <c r="A1684" s="27" t="s">
        <v>2335</v>
      </c>
      <c r="B1684" s="12">
        <v>46176</v>
      </c>
      <c r="C1684" s="11" t="s">
        <v>52</v>
      </c>
      <c r="D1684" s="11" t="s">
        <v>40</v>
      </c>
      <c r="E1684" s="11">
        <v>35</v>
      </c>
      <c r="F1684" s="11">
        <f t="shared" si="53"/>
        <v>35</v>
      </c>
      <c r="G1684" s="11" t="s">
        <v>24</v>
      </c>
      <c r="H1684" s="11" t="s">
        <v>20</v>
      </c>
      <c r="I1684" s="11" t="s">
        <v>21</v>
      </c>
      <c r="J1684" s="11">
        <v>5.5</v>
      </c>
      <c r="K1684" s="11">
        <v>12</v>
      </c>
      <c r="L1684" s="11" t="s">
        <v>2336</v>
      </c>
      <c r="M1684" s="11">
        <f t="shared" si="52"/>
        <v>192.5</v>
      </c>
      <c r="N1684" s="11">
        <f>IF(Table1[[#This Row],[Transaction Type]]="Sale",ABS(E1684)*K1684,0)</f>
        <v>0</v>
      </c>
      <c r="O1684" s="29">
        <f>IF(Table1[[#This Row],[Transaction Type]]="Purchase",E1684*J1684,0)</f>
        <v>192.5</v>
      </c>
    </row>
    <row r="1685" spans="1:15" x14ac:dyDescent="0.35">
      <c r="A1685" s="27" t="s">
        <v>2337</v>
      </c>
      <c r="B1685" s="12">
        <v>46176</v>
      </c>
      <c r="C1685" s="11" t="s">
        <v>29</v>
      </c>
      <c r="D1685" s="11" t="s">
        <v>13</v>
      </c>
      <c r="E1685" s="11">
        <v>-6</v>
      </c>
      <c r="F1685" s="11">
        <f t="shared" si="53"/>
        <v>-6</v>
      </c>
      <c r="G1685" s="11" t="s">
        <v>19</v>
      </c>
      <c r="H1685" s="11" t="s">
        <v>30</v>
      </c>
      <c r="I1685" s="11" t="s">
        <v>16</v>
      </c>
      <c r="J1685" s="11">
        <v>8.8000000000000007</v>
      </c>
      <c r="K1685" s="11">
        <v>17</v>
      </c>
      <c r="L1685" s="11"/>
      <c r="M1685" s="11">
        <f t="shared" si="52"/>
        <v>52.800000000000004</v>
      </c>
      <c r="N1685" s="11">
        <f>IF(Table1[[#This Row],[Transaction Type]]="Sale",ABS(E1685)*K1685,0)</f>
        <v>102</v>
      </c>
      <c r="O1685" s="29">
        <f>IF(Table1[[#This Row],[Transaction Type]]="Purchase",E1685*J1685,0)</f>
        <v>0</v>
      </c>
    </row>
    <row r="1686" spans="1:15" x14ac:dyDescent="0.35">
      <c r="A1686" s="27" t="s">
        <v>2338</v>
      </c>
      <c r="B1686" s="12">
        <v>46177</v>
      </c>
      <c r="C1686" s="11" t="s">
        <v>73</v>
      </c>
      <c r="D1686" s="11" t="s">
        <v>66</v>
      </c>
      <c r="E1686" s="11">
        <v>3</v>
      </c>
      <c r="F1686" s="11">
        <f t="shared" si="53"/>
        <v>3</v>
      </c>
      <c r="G1686" s="11" t="s">
        <v>19</v>
      </c>
      <c r="H1686" s="11" t="s">
        <v>74</v>
      </c>
      <c r="I1686" s="11" t="s">
        <v>75</v>
      </c>
      <c r="J1686" s="11">
        <v>30</v>
      </c>
      <c r="K1686" s="11">
        <v>48</v>
      </c>
      <c r="L1686" s="11"/>
      <c r="M1686" s="11">
        <f t="shared" si="52"/>
        <v>90</v>
      </c>
      <c r="N1686" s="11">
        <f>IF(Table1[[#This Row],[Transaction Type]]="Sale",ABS(E1686)*K1686,0)</f>
        <v>0</v>
      </c>
      <c r="O1686" s="29">
        <f>IF(Table1[[#This Row],[Transaction Type]]="Purchase",E1686*J1686,0)</f>
        <v>0</v>
      </c>
    </row>
    <row r="1687" spans="1:15" x14ac:dyDescent="0.35">
      <c r="A1687" s="27" t="s">
        <v>2339</v>
      </c>
      <c r="B1687" s="12">
        <v>46177</v>
      </c>
      <c r="C1687" s="11" t="s">
        <v>77</v>
      </c>
      <c r="D1687" s="11" t="s">
        <v>13</v>
      </c>
      <c r="E1687" s="11">
        <v>-9</v>
      </c>
      <c r="F1687" s="11">
        <f t="shared" si="53"/>
        <v>-9</v>
      </c>
      <c r="G1687" s="11" t="s">
        <v>14</v>
      </c>
      <c r="H1687" s="11" t="s">
        <v>78</v>
      </c>
      <c r="I1687" s="11" t="s">
        <v>16</v>
      </c>
      <c r="J1687" s="11">
        <v>25</v>
      </c>
      <c r="K1687" s="11">
        <v>42</v>
      </c>
      <c r="L1687" s="11"/>
      <c r="M1687" s="11">
        <f t="shared" si="52"/>
        <v>225</v>
      </c>
      <c r="N1687" s="11">
        <f>IF(Table1[[#This Row],[Transaction Type]]="Sale",ABS(E1687)*K1687,0)</f>
        <v>378</v>
      </c>
      <c r="O1687" s="29">
        <f>IF(Table1[[#This Row],[Transaction Type]]="Purchase",E1687*J1687,0)</f>
        <v>0</v>
      </c>
    </row>
    <row r="1688" spans="1:15" x14ac:dyDescent="0.35">
      <c r="A1688" s="27" t="s">
        <v>2340</v>
      </c>
      <c r="B1688" s="12">
        <v>46178</v>
      </c>
      <c r="C1688" s="11" t="s">
        <v>65</v>
      </c>
      <c r="D1688" s="11" t="s">
        <v>13</v>
      </c>
      <c r="E1688" s="11">
        <v>-3</v>
      </c>
      <c r="F1688" s="11">
        <f t="shared" si="53"/>
        <v>-3</v>
      </c>
      <c r="G1688" s="11" t="s">
        <v>19</v>
      </c>
      <c r="H1688" s="11" t="s">
        <v>67</v>
      </c>
      <c r="I1688" s="11" t="s">
        <v>21</v>
      </c>
      <c r="J1688" s="11">
        <v>11</v>
      </c>
      <c r="K1688" s="11">
        <v>22</v>
      </c>
      <c r="L1688" s="11"/>
      <c r="M1688" s="11">
        <f t="shared" si="52"/>
        <v>33</v>
      </c>
      <c r="N1688" s="11">
        <f>IF(Table1[[#This Row],[Transaction Type]]="Sale",ABS(E1688)*K1688,0)</f>
        <v>66</v>
      </c>
      <c r="O1688" s="29">
        <f>IF(Table1[[#This Row],[Transaction Type]]="Purchase",E1688*J1688,0)</f>
        <v>0</v>
      </c>
    </row>
    <row r="1689" spans="1:15" x14ac:dyDescent="0.35">
      <c r="A1689" s="27" t="s">
        <v>2341</v>
      </c>
      <c r="B1689" s="12">
        <v>46178</v>
      </c>
      <c r="C1689" s="11" t="s">
        <v>77</v>
      </c>
      <c r="D1689" s="11" t="s">
        <v>40</v>
      </c>
      <c r="E1689" s="11">
        <v>60</v>
      </c>
      <c r="F1689" s="11">
        <f t="shared" si="53"/>
        <v>60</v>
      </c>
      <c r="G1689" s="11" t="s">
        <v>14</v>
      </c>
      <c r="H1689" s="11" t="s">
        <v>78</v>
      </c>
      <c r="I1689" s="11" t="s">
        <v>16</v>
      </c>
      <c r="J1689" s="11">
        <v>25</v>
      </c>
      <c r="K1689" s="11">
        <v>42</v>
      </c>
      <c r="L1689" s="11" t="s">
        <v>2342</v>
      </c>
      <c r="M1689" s="11">
        <f t="shared" si="52"/>
        <v>1500</v>
      </c>
      <c r="N1689" s="11">
        <f>IF(Table1[[#This Row],[Transaction Type]]="Sale",ABS(E1689)*K1689,0)</f>
        <v>0</v>
      </c>
      <c r="O1689" s="29">
        <f>IF(Table1[[#This Row],[Transaction Type]]="Purchase",E1689*J1689,0)</f>
        <v>1500</v>
      </c>
    </row>
    <row r="1690" spans="1:15" x14ac:dyDescent="0.35">
      <c r="A1690" s="27" t="s">
        <v>2343</v>
      </c>
      <c r="B1690" s="12">
        <v>46178</v>
      </c>
      <c r="C1690" s="11" t="s">
        <v>48</v>
      </c>
      <c r="D1690" s="11" t="s">
        <v>13</v>
      </c>
      <c r="E1690" s="11">
        <v>-8</v>
      </c>
      <c r="F1690" s="11">
        <f t="shared" si="53"/>
        <v>-8</v>
      </c>
      <c r="G1690" s="11" t="s">
        <v>24</v>
      </c>
      <c r="H1690" s="11" t="s">
        <v>49</v>
      </c>
      <c r="I1690" s="11" t="s">
        <v>21</v>
      </c>
      <c r="J1690" s="11">
        <v>8.5</v>
      </c>
      <c r="K1690" s="11">
        <v>18</v>
      </c>
      <c r="L1690" s="11"/>
      <c r="M1690" s="11">
        <f t="shared" si="52"/>
        <v>68</v>
      </c>
      <c r="N1690" s="11">
        <f>IF(Table1[[#This Row],[Transaction Type]]="Sale",ABS(E1690)*K1690,0)</f>
        <v>144</v>
      </c>
      <c r="O1690" s="29">
        <f>IF(Table1[[#This Row],[Transaction Type]]="Purchase",E1690*J1690,0)</f>
        <v>0</v>
      </c>
    </row>
    <row r="1691" spans="1:15" x14ac:dyDescent="0.35">
      <c r="A1691" s="27" t="s">
        <v>2344</v>
      </c>
      <c r="B1691" s="12">
        <v>46178</v>
      </c>
      <c r="C1691" s="11" t="s">
        <v>227</v>
      </c>
      <c r="D1691" s="11" t="s">
        <v>13</v>
      </c>
      <c r="E1691" s="11">
        <v>-10</v>
      </c>
      <c r="F1691" s="11">
        <f t="shared" si="53"/>
        <v>-10</v>
      </c>
      <c r="G1691" s="11" t="s">
        <v>19</v>
      </c>
      <c r="H1691" s="11" t="s">
        <v>2345</v>
      </c>
      <c r="I1691" s="11" t="s">
        <v>16</v>
      </c>
      <c r="J1691" s="11">
        <v>78</v>
      </c>
      <c r="K1691" s="11">
        <v>125</v>
      </c>
      <c r="L1691" s="11"/>
      <c r="M1691" s="11">
        <f t="shared" si="52"/>
        <v>780</v>
      </c>
      <c r="N1691" s="11">
        <f>IF(Table1[[#This Row],[Transaction Type]]="Sale",ABS(E1691)*K1691,0)</f>
        <v>1250</v>
      </c>
      <c r="O1691" s="29">
        <f>IF(Table1[[#This Row],[Transaction Type]]="Purchase",E1691*J1691,0)</f>
        <v>0</v>
      </c>
    </row>
    <row r="1692" spans="1:15" x14ac:dyDescent="0.35">
      <c r="A1692" s="27" t="s">
        <v>2346</v>
      </c>
      <c r="B1692" s="12">
        <v>46178</v>
      </c>
      <c r="C1692" s="11" t="s">
        <v>109</v>
      </c>
      <c r="D1692" s="11" t="s">
        <v>40</v>
      </c>
      <c r="E1692" s="11">
        <v>22</v>
      </c>
      <c r="F1692" s="11">
        <f t="shared" si="53"/>
        <v>22</v>
      </c>
      <c r="G1692" s="11" t="s">
        <v>19</v>
      </c>
      <c r="H1692" s="11" t="s">
        <v>110</v>
      </c>
      <c r="I1692" s="11" t="s">
        <v>26</v>
      </c>
      <c r="J1692" s="11">
        <v>105</v>
      </c>
      <c r="K1692" s="11">
        <v>165</v>
      </c>
      <c r="L1692" s="11" t="s">
        <v>2347</v>
      </c>
      <c r="M1692" s="11">
        <f t="shared" si="52"/>
        <v>2310</v>
      </c>
      <c r="N1692" s="11">
        <f>IF(Table1[[#This Row],[Transaction Type]]="Sale",ABS(E1692)*K1692,0)</f>
        <v>0</v>
      </c>
      <c r="O1692" s="29">
        <f>IF(Table1[[#This Row],[Transaction Type]]="Purchase",E1692*J1692,0)</f>
        <v>2310</v>
      </c>
    </row>
    <row r="1693" spans="1:15" x14ac:dyDescent="0.35">
      <c r="A1693" s="27" t="s">
        <v>2348</v>
      </c>
      <c r="B1693" s="12">
        <v>46178</v>
      </c>
      <c r="C1693" s="11" t="s">
        <v>18</v>
      </c>
      <c r="D1693" s="11" t="s">
        <v>13</v>
      </c>
      <c r="E1693" s="11">
        <v>-3</v>
      </c>
      <c r="F1693" s="11">
        <f t="shared" si="53"/>
        <v>-3</v>
      </c>
      <c r="G1693" s="11" t="s">
        <v>14</v>
      </c>
      <c r="H1693" s="11" t="s">
        <v>20</v>
      </c>
      <c r="I1693" s="11" t="s">
        <v>21</v>
      </c>
      <c r="J1693" s="11">
        <v>2.6</v>
      </c>
      <c r="K1693" s="11">
        <v>5.5</v>
      </c>
      <c r="L1693" s="11"/>
      <c r="M1693" s="11">
        <f t="shared" si="52"/>
        <v>7.8000000000000007</v>
      </c>
      <c r="N1693" s="11">
        <f>IF(Table1[[#This Row],[Transaction Type]]="Sale",ABS(E1693)*K1693,0)</f>
        <v>16.5</v>
      </c>
      <c r="O1693" s="29">
        <f>IF(Table1[[#This Row],[Transaction Type]]="Purchase",E1693*J1693,0)</f>
        <v>0</v>
      </c>
    </row>
    <row r="1694" spans="1:15" x14ac:dyDescent="0.35">
      <c r="A1694" s="27" t="s">
        <v>2349</v>
      </c>
      <c r="B1694" s="12">
        <v>46179</v>
      </c>
      <c r="C1694" s="11" t="s">
        <v>55</v>
      </c>
      <c r="D1694" s="11" t="s">
        <v>40</v>
      </c>
      <c r="E1694" s="11">
        <v>65</v>
      </c>
      <c r="F1694" s="11">
        <f t="shared" si="53"/>
        <v>65</v>
      </c>
      <c r="G1694" s="11" t="s">
        <v>24</v>
      </c>
      <c r="H1694" s="11" t="s">
        <v>56</v>
      </c>
      <c r="I1694" s="11" t="s">
        <v>16</v>
      </c>
      <c r="J1694" s="11">
        <v>4.2</v>
      </c>
      <c r="K1694" s="11">
        <v>10</v>
      </c>
      <c r="L1694" s="11" t="s">
        <v>2350</v>
      </c>
      <c r="M1694" s="11">
        <f t="shared" si="52"/>
        <v>273</v>
      </c>
      <c r="N1694" s="11">
        <f>IF(Table1[[#This Row],[Transaction Type]]="Sale",ABS(E1694)*K1694,0)</f>
        <v>0</v>
      </c>
      <c r="O1694" s="29">
        <f>IF(Table1[[#This Row],[Transaction Type]]="Purchase",E1694*J1694,0)</f>
        <v>273</v>
      </c>
    </row>
    <row r="1695" spans="1:15" x14ac:dyDescent="0.35">
      <c r="A1695" s="27" t="s">
        <v>2351</v>
      </c>
      <c r="B1695" s="12">
        <v>46179</v>
      </c>
      <c r="C1695" s="11" t="s">
        <v>48</v>
      </c>
      <c r="D1695" s="11" t="s">
        <v>13</v>
      </c>
      <c r="E1695" s="11">
        <v>-6</v>
      </c>
      <c r="F1695" s="11">
        <f t="shared" si="53"/>
        <v>-6</v>
      </c>
      <c r="G1695" s="11" t="s">
        <v>19</v>
      </c>
      <c r="H1695" s="11" t="s">
        <v>49</v>
      </c>
      <c r="I1695" s="11" t="s">
        <v>21</v>
      </c>
      <c r="J1695" s="11">
        <v>8.5</v>
      </c>
      <c r="K1695" s="11">
        <v>18</v>
      </c>
      <c r="L1695" s="11"/>
      <c r="M1695" s="11">
        <f t="shared" si="52"/>
        <v>51</v>
      </c>
      <c r="N1695" s="11">
        <f>IF(Table1[[#This Row],[Transaction Type]]="Sale",ABS(E1695)*K1695,0)</f>
        <v>108</v>
      </c>
      <c r="O1695" s="29">
        <f>IF(Table1[[#This Row],[Transaction Type]]="Purchase",E1695*J1695,0)</f>
        <v>0</v>
      </c>
    </row>
    <row r="1696" spans="1:15" x14ac:dyDescent="0.35">
      <c r="A1696" s="27" t="s">
        <v>2352</v>
      </c>
      <c r="B1696" s="12">
        <v>46179</v>
      </c>
      <c r="C1696" s="11" t="s">
        <v>136</v>
      </c>
      <c r="D1696" s="11" t="s">
        <v>13</v>
      </c>
      <c r="E1696" s="11">
        <v>-2</v>
      </c>
      <c r="F1696" s="11">
        <f t="shared" si="53"/>
        <v>-2</v>
      </c>
      <c r="G1696" s="11" t="s">
        <v>24</v>
      </c>
      <c r="H1696" s="11" t="s">
        <v>33</v>
      </c>
      <c r="I1696" s="11" t="s">
        <v>34</v>
      </c>
      <c r="J1696" s="11">
        <v>34</v>
      </c>
      <c r="K1696" s="11">
        <v>55</v>
      </c>
      <c r="L1696" s="11"/>
      <c r="M1696" s="11">
        <f t="shared" si="52"/>
        <v>68</v>
      </c>
      <c r="N1696" s="11">
        <f>IF(Table1[[#This Row],[Transaction Type]]="Sale",ABS(E1696)*K1696,0)</f>
        <v>110</v>
      </c>
      <c r="O1696" s="29">
        <f>IF(Table1[[#This Row],[Transaction Type]]="Purchase",E1696*J1696,0)</f>
        <v>0</v>
      </c>
    </row>
    <row r="1697" spans="1:15" x14ac:dyDescent="0.35">
      <c r="A1697" s="27" t="s">
        <v>2353</v>
      </c>
      <c r="B1697" s="12">
        <v>46179</v>
      </c>
      <c r="C1697" s="11" t="s">
        <v>23</v>
      </c>
      <c r="D1697" s="11" t="s">
        <v>40</v>
      </c>
      <c r="E1697" s="11">
        <v>104</v>
      </c>
      <c r="F1697" s="11">
        <f t="shared" si="53"/>
        <v>104</v>
      </c>
      <c r="G1697" s="11" t="s">
        <v>19</v>
      </c>
      <c r="H1697" s="11" t="s">
        <v>25</v>
      </c>
      <c r="I1697" s="11" t="s">
        <v>26</v>
      </c>
      <c r="J1697" s="11">
        <v>3</v>
      </c>
      <c r="K1697" s="11">
        <v>7</v>
      </c>
      <c r="L1697" s="11" t="s">
        <v>2354</v>
      </c>
      <c r="M1697" s="11">
        <f t="shared" si="52"/>
        <v>312</v>
      </c>
      <c r="N1697" s="11">
        <f>IF(Table1[[#This Row],[Transaction Type]]="Sale",ABS(E1697)*K1697,0)</f>
        <v>0</v>
      </c>
      <c r="O1697" s="29">
        <f>IF(Table1[[#This Row],[Transaction Type]]="Purchase",E1697*J1697,0)</f>
        <v>312</v>
      </c>
    </row>
    <row r="1698" spans="1:15" x14ac:dyDescent="0.35">
      <c r="A1698" s="27" t="s">
        <v>2355</v>
      </c>
      <c r="B1698" s="12">
        <v>46179</v>
      </c>
      <c r="C1698" s="11" t="s">
        <v>83</v>
      </c>
      <c r="D1698" s="11" t="s">
        <v>13</v>
      </c>
      <c r="E1698" s="11">
        <v>-5</v>
      </c>
      <c r="F1698" s="11">
        <f t="shared" si="53"/>
        <v>-5</v>
      </c>
      <c r="G1698" s="11" t="s">
        <v>14</v>
      </c>
      <c r="H1698" s="11" t="s">
        <v>84</v>
      </c>
      <c r="I1698" s="11" t="s">
        <v>45</v>
      </c>
      <c r="J1698" s="11">
        <v>130</v>
      </c>
      <c r="K1698" s="11">
        <v>185</v>
      </c>
      <c r="L1698" s="11"/>
      <c r="M1698" s="11">
        <f t="shared" si="52"/>
        <v>650</v>
      </c>
      <c r="N1698" s="11">
        <f>IF(Table1[[#This Row],[Transaction Type]]="Sale",ABS(E1698)*K1698,0)</f>
        <v>925</v>
      </c>
      <c r="O1698" s="29">
        <f>IF(Table1[[#This Row],[Transaction Type]]="Purchase",E1698*J1698,0)</f>
        <v>0</v>
      </c>
    </row>
    <row r="1699" spans="1:15" x14ac:dyDescent="0.35">
      <c r="A1699" s="27" t="s">
        <v>2356</v>
      </c>
      <c r="B1699" s="12">
        <v>46179</v>
      </c>
      <c r="C1699" s="11" t="s">
        <v>48</v>
      </c>
      <c r="D1699" s="11" t="s">
        <v>40</v>
      </c>
      <c r="E1699" s="11">
        <v>78</v>
      </c>
      <c r="F1699" s="11">
        <f t="shared" si="53"/>
        <v>78</v>
      </c>
      <c r="G1699" s="11" t="s">
        <v>24</v>
      </c>
      <c r="H1699" s="11" t="s">
        <v>49</v>
      </c>
      <c r="I1699" s="11" t="s">
        <v>21</v>
      </c>
      <c r="J1699" s="11">
        <v>8.5</v>
      </c>
      <c r="K1699" s="11">
        <v>18</v>
      </c>
      <c r="L1699" s="11" t="s">
        <v>2357</v>
      </c>
      <c r="M1699" s="11">
        <f t="shared" si="52"/>
        <v>663</v>
      </c>
      <c r="N1699" s="11">
        <f>IF(Table1[[#This Row],[Transaction Type]]="Sale",ABS(E1699)*K1699,0)</f>
        <v>0</v>
      </c>
      <c r="O1699" s="29">
        <f>IF(Table1[[#This Row],[Transaction Type]]="Purchase",E1699*J1699,0)</f>
        <v>663</v>
      </c>
    </row>
    <row r="1700" spans="1:15" x14ac:dyDescent="0.35">
      <c r="A1700" s="27" t="s">
        <v>2358</v>
      </c>
      <c r="B1700" s="12">
        <v>46180</v>
      </c>
      <c r="C1700" s="11" t="s">
        <v>83</v>
      </c>
      <c r="D1700" s="11" t="s">
        <v>40</v>
      </c>
      <c r="E1700" s="11">
        <v>85</v>
      </c>
      <c r="F1700" s="11">
        <f t="shared" si="53"/>
        <v>85</v>
      </c>
      <c r="G1700" s="11" t="s">
        <v>14</v>
      </c>
      <c r="H1700" s="11" t="s">
        <v>84</v>
      </c>
      <c r="I1700" s="11" t="s">
        <v>45</v>
      </c>
      <c r="J1700" s="11">
        <v>130</v>
      </c>
      <c r="K1700" s="11">
        <v>185</v>
      </c>
      <c r="L1700" s="11" t="s">
        <v>2359</v>
      </c>
      <c r="M1700" s="11">
        <f t="shared" si="52"/>
        <v>11050</v>
      </c>
      <c r="N1700" s="11">
        <f>IF(Table1[[#This Row],[Transaction Type]]="Sale",ABS(E1700)*K1700,0)</f>
        <v>0</v>
      </c>
      <c r="O1700" s="29">
        <f>IF(Table1[[#This Row],[Transaction Type]]="Purchase",E1700*J1700,0)</f>
        <v>11050</v>
      </c>
    </row>
    <row r="1701" spans="1:15" x14ac:dyDescent="0.35">
      <c r="A1701" s="27" t="s">
        <v>2360</v>
      </c>
      <c r="B1701" s="12">
        <v>46180</v>
      </c>
      <c r="C1701" s="11" t="s">
        <v>87</v>
      </c>
      <c r="D1701" s="11" t="s">
        <v>40</v>
      </c>
      <c r="E1701" s="11">
        <v>115</v>
      </c>
      <c r="F1701" s="11">
        <f t="shared" si="53"/>
        <v>115</v>
      </c>
      <c r="G1701" s="11" t="s">
        <v>19</v>
      </c>
      <c r="H1701" s="11" t="s">
        <v>88</v>
      </c>
      <c r="I1701" s="11" t="s">
        <v>16</v>
      </c>
      <c r="J1701" s="11">
        <v>6</v>
      </c>
      <c r="K1701" s="11">
        <v>14</v>
      </c>
      <c r="L1701" s="11" t="s">
        <v>2361</v>
      </c>
      <c r="M1701" s="11">
        <f t="shared" si="52"/>
        <v>690</v>
      </c>
      <c r="N1701" s="11">
        <f>IF(Table1[[#This Row],[Transaction Type]]="Sale",ABS(E1701)*K1701,0)</f>
        <v>0</v>
      </c>
      <c r="O1701" s="29">
        <f>IF(Table1[[#This Row],[Transaction Type]]="Purchase",E1701*J1701,0)</f>
        <v>690</v>
      </c>
    </row>
    <row r="1702" spans="1:15" x14ac:dyDescent="0.35">
      <c r="A1702" s="27" t="s">
        <v>2362</v>
      </c>
      <c r="B1702" s="12">
        <v>46180</v>
      </c>
      <c r="C1702" s="11" t="s">
        <v>36</v>
      </c>
      <c r="D1702" s="11" t="s">
        <v>58</v>
      </c>
      <c r="E1702" s="11">
        <v>20</v>
      </c>
      <c r="F1702" s="11">
        <f t="shared" si="53"/>
        <v>20</v>
      </c>
      <c r="G1702" s="11" t="s">
        <v>14</v>
      </c>
      <c r="H1702" s="11" t="s">
        <v>37</v>
      </c>
      <c r="I1702" s="11" t="s">
        <v>16</v>
      </c>
      <c r="J1702" s="11">
        <v>7.2</v>
      </c>
      <c r="K1702" s="11">
        <v>12.5</v>
      </c>
      <c r="L1702" s="11"/>
      <c r="M1702" s="11">
        <f t="shared" si="52"/>
        <v>144</v>
      </c>
      <c r="N1702" s="11">
        <f>IF(Table1[[#This Row],[Transaction Type]]="Sale",ABS(E1702)*K1702,0)</f>
        <v>0</v>
      </c>
      <c r="O1702" s="29">
        <f>IF(Table1[[#This Row],[Transaction Type]]="Purchase",E1702*J1702,0)</f>
        <v>0</v>
      </c>
    </row>
    <row r="1703" spans="1:15" x14ac:dyDescent="0.35">
      <c r="A1703" s="27" t="s">
        <v>2363</v>
      </c>
      <c r="B1703" s="12">
        <v>46180</v>
      </c>
      <c r="C1703" s="11" t="s">
        <v>136</v>
      </c>
      <c r="D1703" s="11" t="s">
        <v>13</v>
      </c>
      <c r="E1703" s="11">
        <v>-1</v>
      </c>
      <c r="F1703" s="11">
        <f t="shared" si="53"/>
        <v>-1</v>
      </c>
      <c r="G1703" s="11" t="s">
        <v>24</v>
      </c>
      <c r="H1703" s="11" t="s">
        <v>33</v>
      </c>
      <c r="I1703" s="11" t="s">
        <v>34</v>
      </c>
      <c r="J1703" s="11">
        <v>34</v>
      </c>
      <c r="K1703" s="11">
        <v>55</v>
      </c>
      <c r="L1703" s="11"/>
      <c r="M1703" s="11">
        <f t="shared" si="52"/>
        <v>34</v>
      </c>
      <c r="N1703" s="11">
        <f>IF(Table1[[#This Row],[Transaction Type]]="Sale",ABS(E1703)*K1703,0)</f>
        <v>55</v>
      </c>
      <c r="O1703" s="29">
        <f>IF(Table1[[#This Row],[Transaction Type]]="Purchase",E1703*J1703,0)</f>
        <v>0</v>
      </c>
    </row>
    <row r="1704" spans="1:15" x14ac:dyDescent="0.35">
      <c r="A1704" s="27" t="s">
        <v>2364</v>
      </c>
      <c r="B1704" s="12">
        <v>46180</v>
      </c>
      <c r="C1704" s="11" t="s">
        <v>43</v>
      </c>
      <c r="D1704" s="11" t="s">
        <v>13</v>
      </c>
      <c r="E1704" s="11">
        <v>-11</v>
      </c>
      <c r="F1704" s="11">
        <f t="shared" si="53"/>
        <v>-11</v>
      </c>
      <c r="G1704" s="11" t="s">
        <v>14</v>
      </c>
      <c r="H1704" s="11" t="s">
        <v>44</v>
      </c>
      <c r="I1704" s="11" t="s">
        <v>45</v>
      </c>
      <c r="J1704" s="11">
        <v>5.2</v>
      </c>
      <c r="K1704" s="11">
        <v>11</v>
      </c>
      <c r="L1704" s="11"/>
      <c r="M1704" s="11">
        <f t="shared" si="52"/>
        <v>57.2</v>
      </c>
      <c r="N1704" s="11">
        <f>IF(Table1[[#This Row],[Transaction Type]]="Sale",ABS(E1704)*K1704,0)</f>
        <v>121</v>
      </c>
      <c r="O1704" s="29">
        <f>IF(Table1[[#This Row],[Transaction Type]]="Purchase",E1704*J1704,0)</f>
        <v>0</v>
      </c>
    </row>
    <row r="1705" spans="1:15" x14ac:dyDescent="0.35">
      <c r="A1705" s="27" t="s">
        <v>2365</v>
      </c>
      <c r="B1705" s="12">
        <v>46180</v>
      </c>
      <c r="C1705" s="11" t="s">
        <v>36</v>
      </c>
      <c r="D1705" s="11" t="s">
        <v>13</v>
      </c>
      <c r="E1705" s="11">
        <v>-5</v>
      </c>
      <c r="F1705" s="11">
        <f t="shared" si="53"/>
        <v>-5</v>
      </c>
      <c r="G1705" s="11" t="s">
        <v>14</v>
      </c>
      <c r="H1705" s="11" t="s">
        <v>37</v>
      </c>
      <c r="I1705" s="11" t="s">
        <v>16</v>
      </c>
      <c r="J1705" s="11">
        <v>7.2</v>
      </c>
      <c r="K1705" s="11">
        <v>12.5</v>
      </c>
      <c r="L1705" s="11"/>
      <c r="M1705" s="11">
        <f t="shared" si="52"/>
        <v>36</v>
      </c>
      <c r="N1705" s="11">
        <f>IF(Table1[[#This Row],[Transaction Type]]="Sale",ABS(E1705)*K1705,0)</f>
        <v>62.5</v>
      </c>
      <c r="O1705" s="29">
        <f>IF(Table1[[#This Row],[Transaction Type]]="Purchase",E1705*J1705,0)</f>
        <v>0</v>
      </c>
    </row>
    <row r="1706" spans="1:15" x14ac:dyDescent="0.35">
      <c r="A1706" s="27" t="s">
        <v>2366</v>
      </c>
      <c r="B1706" s="12">
        <v>46181</v>
      </c>
      <c r="C1706" s="11" t="s">
        <v>77</v>
      </c>
      <c r="D1706" s="11" t="s">
        <v>13</v>
      </c>
      <c r="E1706" s="11">
        <v>-7</v>
      </c>
      <c r="F1706" s="11">
        <f t="shared" si="53"/>
        <v>-7</v>
      </c>
      <c r="G1706" s="11" t="s">
        <v>14</v>
      </c>
      <c r="H1706" s="11" t="s">
        <v>78</v>
      </c>
      <c r="I1706" s="11" t="s">
        <v>16</v>
      </c>
      <c r="J1706" s="11">
        <v>25</v>
      </c>
      <c r="K1706" s="11">
        <v>42</v>
      </c>
      <c r="L1706" s="11"/>
      <c r="M1706" s="11">
        <f t="shared" si="52"/>
        <v>175</v>
      </c>
      <c r="N1706" s="11">
        <f>IF(Table1[[#This Row],[Transaction Type]]="Sale",ABS(E1706)*K1706,0)</f>
        <v>294</v>
      </c>
      <c r="O1706" s="29">
        <f>IF(Table1[[#This Row],[Transaction Type]]="Purchase",E1706*J1706,0)</f>
        <v>0</v>
      </c>
    </row>
    <row r="1707" spans="1:15" x14ac:dyDescent="0.35">
      <c r="A1707" s="27" t="s">
        <v>2367</v>
      </c>
      <c r="B1707" s="12">
        <v>46181</v>
      </c>
      <c r="C1707" s="11" t="s">
        <v>55</v>
      </c>
      <c r="D1707" s="11" t="s">
        <v>13</v>
      </c>
      <c r="E1707" s="11">
        <v>-10</v>
      </c>
      <c r="F1707" s="11">
        <f t="shared" si="53"/>
        <v>-10</v>
      </c>
      <c r="G1707" s="11" t="s">
        <v>24</v>
      </c>
      <c r="H1707" s="11" t="s">
        <v>56</v>
      </c>
      <c r="I1707" s="11" t="s">
        <v>16</v>
      </c>
      <c r="J1707" s="11">
        <v>4.2</v>
      </c>
      <c r="K1707" s="11">
        <v>10</v>
      </c>
      <c r="L1707" s="11"/>
      <c r="M1707" s="11">
        <f t="shared" si="52"/>
        <v>42</v>
      </c>
      <c r="N1707" s="11">
        <f>IF(Table1[[#This Row],[Transaction Type]]="Sale",ABS(E1707)*K1707,0)</f>
        <v>100</v>
      </c>
      <c r="O1707" s="29">
        <f>IF(Table1[[#This Row],[Transaction Type]]="Purchase",E1707*J1707,0)</f>
        <v>0</v>
      </c>
    </row>
    <row r="1708" spans="1:15" x14ac:dyDescent="0.35">
      <c r="A1708" s="27" t="s">
        <v>2368</v>
      </c>
      <c r="B1708" s="12">
        <v>46181</v>
      </c>
      <c r="C1708" s="11" t="s">
        <v>139</v>
      </c>
      <c r="D1708" s="11" t="s">
        <v>13</v>
      </c>
      <c r="E1708" s="11">
        <v>-13</v>
      </c>
      <c r="F1708" s="11">
        <f t="shared" si="53"/>
        <v>-13</v>
      </c>
      <c r="G1708" s="11" t="s">
        <v>24</v>
      </c>
      <c r="H1708" s="11" t="s">
        <v>56</v>
      </c>
      <c r="I1708" s="11" t="s">
        <v>16</v>
      </c>
      <c r="J1708" s="11">
        <v>16.5</v>
      </c>
      <c r="K1708" s="11">
        <v>28</v>
      </c>
      <c r="L1708" s="11"/>
      <c r="M1708" s="11">
        <f t="shared" si="52"/>
        <v>214.5</v>
      </c>
      <c r="N1708" s="11">
        <f>IF(Table1[[#This Row],[Transaction Type]]="Sale",ABS(E1708)*K1708,0)</f>
        <v>364</v>
      </c>
      <c r="O1708" s="29">
        <f>IF(Table1[[#This Row],[Transaction Type]]="Purchase",E1708*J1708,0)</f>
        <v>0</v>
      </c>
    </row>
    <row r="1709" spans="1:15" x14ac:dyDescent="0.35">
      <c r="A1709" s="27" t="s">
        <v>2369</v>
      </c>
      <c r="B1709" s="12">
        <v>46181</v>
      </c>
      <c r="C1709" s="11" t="s">
        <v>36</v>
      </c>
      <c r="D1709" s="11" t="s">
        <v>13</v>
      </c>
      <c r="E1709" s="11">
        <v>-13</v>
      </c>
      <c r="F1709" s="11">
        <f t="shared" si="53"/>
        <v>-13</v>
      </c>
      <c r="G1709" s="11" t="s">
        <v>14</v>
      </c>
      <c r="H1709" s="11" t="s">
        <v>37</v>
      </c>
      <c r="I1709" s="11" t="s">
        <v>16</v>
      </c>
      <c r="J1709" s="11">
        <v>7.2</v>
      </c>
      <c r="K1709" s="11">
        <v>12.5</v>
      </c>
      <c r="L1709" s="11"/>
      <c r="M1709" s="11">
        <f t="shared" si="52"/>
        <v>93.600000000000009</v>
      </c>
      <c r="N1709" s="11">
        <f>IF(Table1[[#This Row],[Transaction Type]]="Sale",ABS(E1709)*K1709,0)</f>
        <v>162.5</v>
      </c>
      <c r="O1709" s="29">
        <f>IF(Table1[[#This Row],[Transaction Type]]="Purchase",E1709*J1709,0)</f>
        <v>0</v>
      </c>
    </row>
    <row r="1710" spans="1:15" x14ac:dyDescent="0.35">
      <c r="A1710" s="27" t="s">
        <v>2370</v>
      </c>
      <c r="B1710" s="12">
        <v>46181</v>
      </c>
      <c r="C1710" s="11" t="s">
        <v>65</v>
      </c>
      <c r="D1710" s="11" t="s">
        <v>13</v>
      </c>
      <c r="E1710" s="11">
        <v>-15</v>
      </c>
      <c r="F1710" s="11">
        <f t="shared" si="53"/>
        <v>-15</v>
      </c>
      <c r="G1710" s="11" t="s">
        <v>19</v>
      </c>
      <c r="H1710" s="11" t="s">
        <v>67</v>
      </c>
      <c r="I1710" s="11" t="s">
        <v>21</v>
      </c>
      <c r="J1710" s="11">
        <v>11</v>
      </c>
      <c r="K1710" s="11">
        <v>22</v>
      </c>
      <c r="L1710" s="11"/>
      <c r="M1710" s="11">
        <f t="shared" si="52"/>
        <v>165</v>
      </c>
      <c r="N1710" s="11">
        <f>IF(Table1[[#This Row],[Transaction Type]]="Sale",ABS(E1710)*K1710,0)</f>
        <v>330</v>
      </c>
      <c r="O1710" s="29">
        <f>IF(Table1[[#This Row],[Transaction Type]]="Purchase",E1710*J1710,0)</f>
        <v>0</v>
      </c>
    </row>
    <row r="1711" spans="1:15" x14ac:dyDescent="0.35">
      <c r="A1711" s="27" t="s">
        <v>2371</v>
      </c>
      <c r="B1711" s="12">
        <v>46182</v>
      </c>
      <c r="C1711" s="11" t="s">
        <v>83</v>
      </c>
      <c r="D1711" s="11" t="s">
        <v>40</v>
      </c>
      <c r="E1711" s="11">
        <v>84</v>
      </c>
      <c r="F1711" s="11">
        <f t="shared" si="53"/>
        <v>84</v>
      </c>
      <c r="G1711" s="11" t="s">
        <v>24</v>
      </c>
      <c r="H1711" s="11" t="s">
        <v>84</v>
      </c>
      <c r="I1711" s="11" t="s">
        <v>45</v>
      </c>
      <c r="J1711" s="11">
        <v>130</v>
      </c>
      <c r="K1711" s="11">
        <v>185</v>
      </c>
      <c r="L1711" s="11" t="s">
        <v>1685</v>
      </c>
      <c r="M1711" s="11">
        <f t="shared" si="52"/>
        <v>10920</v>
      </c>
      <c r="N1711" s="11">
        <f>IF(Table1[[#This Row],[Transaction Type]]="Sale",ABS(E1711)*K1711,0)</f>
        <v>0</v>
      </c>
      <c r="O1711" s="29">
        <f>IF(Table1[[#This Row],[Transaction Type]]="Purchase",E1711*J1711,0)</f>
        <v>10920</v>
      </c>
    </row>
    <row r="1712" spans="1:15" x14ac:dyDescent="0.35">
      <c r="A1712" s="27" t="s">
        <v>2372</v>
      </c>
      <c r="B1712" s="12">
        <v>46182</v>
      </c>
      <c r="C1712" s="11" t="s">
        <v>23</v>
      </c>
      <c r="D1712" s="11" t="s">
        <v>40</v>
      </c>
      <c r="E1712" s="11">
        <v>37</v>
      </c>
      <c r="F1712" s="11">
        <f t="shared" si="53"/>
        <v>37</v>
      </c>
      <c r="G1712" s="11" t="s">
        <v>19</v>
      </c>
      <c r="H1712" s="11" t="s">
        <v>25</v>
      </c>
      <c r="I1712" s="11" t="s">
        <v>26</v>
      </c>
      <c r="J1712" s="11">
        <v>3</v>
      </c>
      <c r="K1712" s="11">
        <v>7</v>
      </c>
      <c r="L1712" s="11" t="s">
        <v>2373</v>
      </c>
      <c r="M1712" s="11">
        <f t="shared" si="52"/>
        <v>111</v>
      </c>
      <c r="N1712" s="11">
        <f>IF(Table1[[#This Row],[Transaction Type]]="Sale",ABS(E1712)*K1712,0)</f>
        <v>0</v>
      </c>
      <c r="O1712" s="29">
        <f>IF(Table1[[#This Row],[Transaction Type]]="Purchase",E1712*J1712,0)</f>
        <v>111</v>
      </c>
    </row>
    <row r="1713" spans="1:15" x14ac:dyDescent="0.35">
      <c r="A1713" s="27" t="s">
        <v>2374</v>
      </c>
      <c r="B1713" s="12">
        <v>46182</v>
      </c>
      <c r="C1713" s="11" t="s">
        <v>136</v>
      </c>
      <c r="D1713" s="11" t="s">
        <v>13</v>
      </c>
      <c r="E1713" s="11">
        <v>-3</v>
      </c>
      <c r="F1713" s="11">
        <f t="shared" si="53"/>
        <v>-3</v>
      </c>
      <c r="G1713" s="11" t="s">
        <v>24</v>
      </c>
      <c r="H1713" s="11" t="s">
        <v>33</v>
      </c>
      <c r="I1713" s="11" t="s">
        <v>34</v>
      </c>
      <c r="J1713" s="11">
        <v>34</v>
      </c>
      <c r="K1713" s="11">
        <v>55</v>
      </c>
      <c r="L1713" s="11"/>
      <c r="M1713" s="11">
        <f t="shared" si="52"/>
        <v>102</v>
      </c>
      <c r="N1713" s="11">
        <f>IF(Table1[[#This Row],[Transaction Type]]="Sale",ABS(E1713)*K1713,0)</f>
        <v>165</v>
      </c>
      <c r="O1713" s="29">
        <f>IF(Table1[[#This Row],[Transaction Type]]="Purchase",E1713*J1713,0)</f>
        <v>0</v>
      </c>
    </row>
    <row r="1714" spans="1:15" x14ac:dyDescent="0.35">
      <c r="A1714" s="27" t="s">
        <v>2375</v>
      </c>
      <c r="B1714" s="12">
        <v>46183</v>
      </c>
      <c r="C1714" s="11" t="s">
        <v>81</v>
      </c>
      <c r="D1714" s="11" t="s">
        <v>13</v>
      </c>
      <c r="E1714" s="11">
        <v>-1</v>
      </c>
      <c r="F1714" s="11">
        <f t="shared" si="53"/>
        <v>-1</v>
      </c>
      <c r="G1714" s="11" t="s">
        <v>14</v>
      </c>
      <c r="H1714" s="11" t="s">
        <v>30</v>
      </c>
      <c r="I1714" s="11" t="s">
        <v>16</v>
      </c>
      <c r="J1714" s="11">
        <v>8</v>
      </c>
      <c r="K1714" s="11">
        <v>15</v>
      </c>
      <c r="L1714" s="11"/>
      <c r="M1714" s="11">
        <f t="shared" si="52"/>
        <v>8</v>
      </c>
      <c r="N1714" s="11">
        <f>IF(Table1[[#This Row],[Transaction Type]]="Sale",ABS(E1714)*K1714,0)</f>
        <v>15</v>
      </c>
      <c r="O1714" s="29">
        <f>IF(Table1[[#This Row],[Transaction Type]]="Purchase",E1714*J1714,0)</f>
        <v>0</v>
      </c>
    </row>
    <row r="1715" spans="1:15" x14ac:dyDescent="0.35">
      <c r="A1715" s="27" t="s">
        <v>2376</v>
      </c>
      <c r="B1715" s="12">
        <v>46183</v>
      </c>
      <c r="C1715" s="11" t="s">
        <v>18</v>
      </c>
      <c r="D1715" s="11" t="s">
        <v>66</v>
      </c>
      <c r="E1715" s="11">
        <v>2</v>
      </c>
      <c r="F1715" s="11">
        <f t="shared" si="53"/>
        <v>2</v>
      </c>
      <c r="G1715" s="11" t="s">
        <v>24</v>
      </c>
      <c r="H1715" s="11" t="s">
        <v>20</v>
      </c>
      <c r="I1715" s="11" t="s">
        <v>21</v>
      </c>
      <c r="J1715" s="11">
        <v>2.6</v>
      </c>
      <c r="K1715" s="11">
        <v>5.5</v>
      </c>
      <c r="L1715" s="11"/>
      <c r="M1715" s="11">
        <f t="shared" si="52"/>
        <v>5.2</v>
      </c>
      <c r="N1715" s="11">
        <f>IF(Table1[[#This Row],[Transaction Type]]="Sale",ABS(E1715)*K1715,0)</f>
        <v>0</v>
      </c>
      <c r="O1715" s="29">
        <f>IF(Table1[[#This Row],[Transaction Type]]="Purchase",E1715*J1715,0)</f>
        <v>0</v>
      </c>
    </row>
    <row r="1716" spans="1:15" x14ac:dyDescent="0.35">
      <c r="A1716" s="27" t="s">
        <v>2377</v>
      </c>
      <c r="B1716" s="12">
        <v>46184</v>
      </c>
      <c r="C1716" s="11" t="s">
        <v>55</v>
      </c>
      <c r="D1716" s="11" t="s">
        <v>13</v>
      </c>
      <c r="E1716" s="11">
        <v>-8</v>
      </c>
      <c r="F1716" s="11">
        <f t="shared" si="53"/>
        <v>-8</v>
      </c>
      <c r="G1716" s="11" t="s">
        <v>14</v>
      </c>
      <c r="H1716" s="11" t="s">
        <v>56</v>
      </c>
      <c r="I1716" s="11" t="s">
        <v>16</v>
      </c>
      <c r="J1716" s="11">
        <v>4.2</v>
      </c>
      <c r="K1716" s="11">
        <v>10</v>
      </c>
      <c r="L1716" s="11"/>
      <c r="M1716" s="11">
        <f t="shared" si="52"/>
        <v>33.6</v>
      </c>
      <c r="N1716" s="11">
        <f>IF(Table1[[#This Row],[Transaction Type]]="Sale",ABS(E1716)*K1716,0)</f>
        <v>80</v>
      </c>
      <c r="O1716" s="29">
        <f>IF(Table1[[#This Row],[Transaction Type]]="Purchase",E1716*J1716,0)</f>
        <v>0</v>
      </c>
    </row>
    <row r="1717" spans="1:15" x14ac:dyDescent="0.35">
      <c r="A1717" s="27" t="s">
        <v>2378</v>
      </c>
      <c r="B1717" s="12">
        <v>46184</v>
      </c>
      <c r="C1717" s="11" t="s">
        <v>12</v>
      </c>
      <c r="D1717" s="11" t="s">
        <v>40</v>
      </c>
      <c r="E1717" s="11">
        <v>25</v>
      </c>
      <c r="F1717" s="11">
        <f t="shared" si="53"/>
        <v>25</v>
      </c>
      <c r="G1717" s="11" t="s">
        <v>24</v>
      </c>
      <c r="H1717" s="11" t="s">
        <v>15</v>
      </c>
      <c r="I1717" s="11" t="s">
        <v>16</v>
      </c>
      <c r="J1717" s="11">
        <v>13.5</v>
      </c>
      <c r="K1717" s="11">
        <v>24</v>
      </c>
      <c r="L1717" s="11" t="s">
        <v>2379</v>
      </c>
      <c r="M1717" s="11">
        <f t="shared" si="52"/>
        <v>337.5</v>
      </c>
      <c r="N1717" s="11">
        <f>IF(Table1[[#This Row],[Transaction Type]]="Sale",ABS(E1717)*K1717,0)</f>
        <v>0</v>
      </c>
      <c r="O1717" s="29">
        <f>IF(Table1[[#This Row],[Transaction Type]]="Purchase",E1717*J1717,0)</f>
        <v>337.5</v>
      </c>
    </row>
    <row r="1718" spans="1:15" x14ac:dyDescent="0.35">
      <c r="A1718" s="27" t="s">
        <v>2380</v>
      </c>
      <c r="B1718" s="12">
        <v>46184</v>
      </c>
      <c r="C1718" s="11" t="s">
        <v>77</v>
      </c>
      <c r="D1718" s="11" t="s">
        <v>66</v>
      </c>
      <c r="E1718" s="11">
        <v>3</v>
      </c>
      <c r="F1718" s="11">
        <f t="shared" si="53"/>
        <v>3</v>
      </c>
      <c r="G1718" s="11" t="s">
        <v>14</v>
      </c>
      <c r="H1718" s="11" t="s">
        <v>78</v>
      </c>
      <c r="I1718" s="11" t="s">
        <v>16</v>
      </c>
      <c r="J1718" s="11">
        <v>25</v>
      </c>
      <c r="K1718" s="11">
        <v>42</v>
      </c>
      <c r="L1718" s="11"/>
      <c r="M1718" s="11">
        <f t="shared" si="52"/>
        <v>75</v>
      </c>
      <c r="N1718" s="11">
        <f>IF(Table1[[#This Row],[Transaction Type]]="Sale",ABS(E1718)*K1718,0)</f>
        <v>0</v>
      </c>
      <c r="O1718" s="29">
        <f>IF(Table1[[#This Row],[Transaction Type]]="Purchase",E1718*J1718,0)</f>
        <v>0</v>
      </c>
    </row>
    <row r="1719" spans="1:15" x14ac:dyDescent="0.35">
      <c r="A1719" s="27" t="s">
        <v>2381</v>
      </c>
      <c r="B1719" s="12">
        <v>46185</v>
      </c>
      <c r="C1719" s="11" t="s">
        <v>98</v>
      </c>
      <c r="D1719" s="11" t="s">
        <v>40</v>
      </c>
      <c r="E1719" s="11">
        <v>101</v>
      </c>
      <c r="F1719" s="11">
        <f t="shared" si="53"/>
        <v>101</v>
      </c>
      <c r="G1719" s="11" t="s">
        <v>19</v>
      </c>
      <c r="H1719" s="11" t="s">
        <v>30</v>
      </c>
      <c r="I1719" s="11" t="s">
        <v>16</v>
      </c>
      <c r="J1719" s="11">
        <v>16</v>
      </c>
      <c r="K1719" s="11">
        <v>29</v>
      </c>
      <c r="L1719" s="11" t="s">
        <v>2382</v>
      </c>
      <c r="M1719" s="11">
        <f t="shared" si="52"/>
        <v>1616</v>
      </c>
      <c r="N1719" s="11">
        <f>IF(Table1[[#This Row],[Transaction Type]]="Sale",ABS(E1719)*K1719,0)</f>
        <v>0</v>
      </c>
      <c r="O1719" s="29">
        <f>IF(Table1[[#This Row],[Transaction Type]]="Purchase",E1719*J1719,0)</f>
        <v>1616</v>
      </c>
    </row>
    <row r="1720" spans="1:15" x14ac:dyDescent="0.35">
      <c r="A1720" s="27" t="s">
        <v>2383</v>
      </c>
      <c r="B1720" s="12">
        <v>46185</v>
      </c>
      <c r="C1720" s="11" t="s">
        <v>94</v>
      </c>
      <c r="D1720" s="11" t="s">
        <v>58</v>
      </c>
      <c r="E1720" s="11">
        <v>-15</v>
      </c>
      <c r="F1720" s="11">
        <f t="shared" si="53"/>
        <v>-15</v>
      </c>
      <c r="G1720" s="11" t="s">
        <v>14</v>
      </c>
      <c r="H1720" s="11" t="s">
        <v>95</v>
      </c>
      <c r="I1720" s="11" t="s">
        <v>16</v>
      </c>
      <c r="J1720" s="11">
        <v>18.5</v>
      </c>
      <c r="K1720" s="11">
        <v>31</v>
      </c>
      <c r="L1720" s="11"/>
      <c r="M1720" s="11">
        <f t="shared" si="52"/>
        <v>277.5</v>
      </c>
      <c r="N1720" s="11">
        <f>IF(Table1[[#This Row],[Transaction Type]]="Sale",ABS(E1720)*K1720,0)</f>
        <v>0</v>
      </c>
      <c r="O1720" s="29">
        <f>IF(Table1[[#This Row],[Transaction Type]]="Purchase",E1720*J1720,0)</f>
        <v>0</v>
      </c>
    </row>
    <row r="1721" spans="1:15" x14ac:dyDescent="0.35">
      <c r="A1721" s="27" t="s">
        <v>2384</v>
      </c>
      <c r="B1721" s="12">
        <v>46185</v>
      </c>
      <c r="C1721" s="11" t="s">
        <v>81</v>
      </c>
      <c r="D1721" s="11" t="s">
        <v>58</v>
      </c>
      <c r="E1721" s="11">
        <v>2</v>
      </c>
      <c r="F1721" s="11">
        <f t="shared" si="53"/>
        <v>2</v>
      </c>
      <c r="G1721" s="11" t="s">
        <v>24</v>
      </c>
      <c r="H1721" s="11" t="s">
        <v>30</v>
      </c>
      <c r="I1721" s="11" t="s">
        <v>16</v>
      </c>
      <c r="J1721" s="11">
        <v>8</v>
      </c>
      <c r="K1721" s="11">
        <v>15</v>
      </c>
      <c r="L1721" s="11"/>
      <c r="M1721" s="11">
        <f t="shared" si="52"/>
        <v>16</v>
      </c>
      <c r="N1721" s="11">
        <f>IF(Table1[[#This Row],[Transaction Type]]="Sale",ABS(E1721)*K1721,0)</f>
        <v>0</v>
      </c>
      <c r="O1721" s="29">
        <f>IF(Table1[[#This Row],[Transaction Type]]="Purchase",E1721*J1721,0)</f>
        <v>0</v>
      </c>
    </row>
    <row r="1722" spans="1:15" x14ac:dyDescent="0.35">
      <c r="A1722" s="27" t="s">
        <v>2385</v>
      </c>
      <c r="B1722" s="12">
        <v>46185</v>
      </c>
      <c r="C1722" s="11" t="s">
        <v>55</v>
      </c>
      <c r="D1722" s="11" t="s">
        <v>13</v>
      </c>
      <c r="E1722" s="11">
        <v>-3</v>
      </c>
      <c r="F1722" s="11">
        <f t="shared" si="53"/>
        <v>-3</v>
      </c>
      <c r="G1722" s="11" t="s">
        <v>24</v>
      </c>
      <c r="H1722" s="11" t="s">
        <v>56</v>
      </c>
      <c r="I1722" s="11" t="s">
        <v>16</v>
      </c>
      <c r="J1722" s="11">
        <v>4.2</v>
      </c>
      <c r="K1722" s="11">
        <v>10</v>
      </c>
      <c r="L1722" s="11"/>
      <c r="M1722" s="11">
        <f t="shared" si="52"/>
        <v>12.600000000000001</v>
      </c>
      <c r="N1722" s="11">
        <f>IF(Table1[[#This Row],[Transaction Type]]="Sale",ABS(E1722)*K1722,0)</f>
        <v>30</v>
      </c>
      <c r="O1722" s="29">
        <f>IF(Table1[[#This Row],[Transaction Type]]="Purchase",E1722*J1722,0)</f>
        <v>0</v>
      </c>
    </row>
    <row r="1723" spans="1:15" x14ac:dyDescent="0.35">
      <c r="A1723" s="27" t="s">
        <v>2386</v>
      </c>
      <c r="B1723" s="12">
        <v>46185</v>
      </c>
      <c r="C1723" s="11" t="s">
        <v>60</v>
      </c>
      <c r="D1723" s="11" t="s">
        <v>13</v>
      </c>
      <c r="E1723" s="11">
        <v>-14</v>
      </c>
      <c r="F1723" s="11">
        <f t="shared" si="53"/>
        <v>-14</v>
      </c>
      <c r="G1723" s="11" t="s">
        <v>14</v>
      </c>
      <c r="H1723" s="11" t="s">
        <v>61</v>
      </c>
      <c r="I1723" s="11" t="s">
        <v>62</v>
      </c>
      <c r="J1723" s="11">
        <v>3.4</v>
      </c>
      <c r="K1723" s="11">
        <v>8</v>
      </c>
      <c r="L1723" s="11"/>
      <c r="M1723" s="11">
        <f t="shared" si="52"/>
        <v>47.6</v>
      </c>
      <c r="N1723" s="11">
        <f>IF(Table1[[#This Row],[Transaction Type]]="Sale",ABS(E1723)*K1723,0)</f>
        <v>112</v>
      </c>
      <c r="O1723" s="29">
        <f>IF(Table1[[#This Row],[Transaction Type]]="Purchase",E1723*J1723,0)</f>
        <v>0</v>
      </c>
    </row>
    <row r="1724" spans="1:15" x14ac:dyDescent="0.35">
      <c r="A1724" s="27" t="s">
        <v>2387</v>
      </c>
      <c r="B1724" s="12">
        <v>46186</v>
      </c>
      <c r="C1724" s="11" t="s">
        <v>141</v>
      </c>
      <c r="D1724" s="11" t="s">
        <v>13</v>
      </c>
      <c r="E1724" s="11">
        <v>-15</v>
      </c>
      <c r="F1724" s="11">
        <f t="shared" si="53"/>
        <v>-15</v>
      </c>
      <c r="G1724" s="11" t="s">
        <v>19</v>
      </c>
      <c r="H1724" s="11" t="s">
        <v>25</v>
      </c>
      <c r="I1724" s="11" t="s">
        <v>26</v>
      </c>
      <c r="J1724" s="11">
        <v>4</v>
      </c>
      <c r="K1724" s="11">
        <v>9</v>
      </c>
      <c r="L1724" s="11"/>
      <c r="M1724" s="11">
        <f t="shared" si="52"/>
        <v>60</v>
      </c>
      <c r="N1724" s="11">
        <f>IF(Table1[[#This Row],[Transaction Type]]="Sale",ABS(E1724)*K1724,0)</f>
        <v>135</v>
      </c>
      <c r="O1724" s="29">
        <f>IF(Table1[[#This Row],[Transaction Type]]="Purchase",E1724*J1724,0)</f>
        <v>0</v>
      </c>
    </row>
    <row r="1725" spans="1:15" x14ac:dyDescent="0.35">
      <c r="A1725" s="27" t="s">
        <v>2388</v>
      </c>
      <c r="B1725" s="12">
        <v>46186</v>
      </c>
      <c r="C1725" s="11" t="s">
        <v>77</v>
      </c>
      <c r="D1725" s="11" t="s">
        <v>66</v>
      </c>
      <c r="E1725" s="11">
        <v>4</v>
      </c>
      <c r="F1725" s="11">
        <f t="shared" si="53"/>
        <v>4</v>
      </c>
      <c r="G1725" s="11" t="s">
        <v>14</v>
      </c>
      <c r="H1725" s="11" t="s">
        <v>78</v>
      </c>
      <c r="I1725" s="11" t="s">
        <v>16</v>
      </c>
      <c r="J1725" s="11">
        <v>25</v>
      </c>
      <c r="K1725" s="11">
        <v>42</v>
      </c>
      <c r="L1725" s="11"/>
      <c r="M1725" s="11">
        <f t="shared" si="52"/>
        <v>100</v>
      </c>
      <c r="N1725" s="11">
        <f>IF(Table1[[#This Row],[Transaction Type]]="Sale",ABS(E1725)*K1725,0)</f>
        <v>0</v>
      </c>
      <c r="O1725" s="29">
        <f>IF(Table1[[#This Row],[Transaction Type]]="Purchase",E1725*J1725,0)</f>
        <v>0</v>
      </c>
    </row>
    <row r="1726" spans="1:15" x14ac:dyDescent="0.35">
      <c r="A1726" s="27" t="s">
        <v>2389</v>
      </c>
      <c r="B1726" s="12">
        <v>46186</v>
      </c>
      <c r="C1726" s="11" t="s">
        <v>43</v>
      </c>
      <c r="D1726" s="11" t="s">
        <v>13</v>
      </c>
      <c r="E1726" s="11">
        <v>-9</v>
      </c>
      <c r="F1726" s="11">
        <f t="shared" si="53"/>
        <v>-9</v>
      </c>
      <c r="G1726" s="11" t="s">
        <v>14</v>
      </c>
      <c r="H1726" s="11" t="s">
        <v>44</v>
      </c>
      <c r="I1726" s="11" t="s">
        <v>45</v>
      </c>
      <c r="J1726" s="11">
        <v>5.2</v>
      </c>
      <c r="K1726" s="11">
        <v>11</v>
      </c>
      <c r="L1726" s="11"/>
      <c r="M1726" s="11">
        <f t="shared" si="52"/>
        <v>46.800000000000004</v>
      </c>
      <c r="N1726" s="11">
        <f>IF(Table1[[#This Row],[Transaction Type]]="Sale",ABS(E1726)*K1726,0)</f>
        <v>99</v>
      </c>
      <c r="O1726" s="29">
        <f>IF(Table1[[#This Row],[Transaction Type]]="Purchase",E1726*J1726,0)</f>
        <v>0</v>
      </c>
    </row>
    <row r="1727" spans="1:15" x14ac:dyDescent="0.35">
      <c r="A1727" s="27" t="s">
        <v>2390</v>
      </c>
      <c r="B1727" s="12">
        <v>46186</v>
      </c>
      <c r="C1727" s="11" t="s">
        <v>94</v>
      </c>
      <c r="D1727" s="11" t="s">
        <v>40</v>
      </c>
      <c r="E1727" s="11">
        <v>115</v>
      </c>
      <c r="F1727" s="11">
        <f t="shared" si="53"/>
        <v>115</v>
      </c>
      <c r="G1727" s="11" t="s">
        <v>14</v>
      </c>
      <c r="H1727" s="11" t="s">
        <v>95</v>
      </c>
      <c r="I1727" s="11" t="s">
        <v>16</v>
      </c>
      <c r="J1727" s="11">
        <v>18.5</v>
      </c>
      <c r="K1727" s="11">
        <v>31</v>
      </c>
      <c r="L1727" s="11" t="s">
        <v>2391</v>
      </c>
      <c r="M1727" s="11">
        <f t="shared" si="52"/>
        <v>2127.5</v>
      </c>
      <c r="N1727" s="11">
        <f>IF(Table1[[#This Row],[Transaction Type]]="Sale",ABS(E1727)*K1727,0)</f>
        <v>0</v>
      </c>
      <c r="O1727" s="29">
        <f>IF(Table1[[#This Row],[Transaction Type]]="Purchase",E1727*J1727,0)</f>
        <v>2127.5</v>
      </c>
    </row>
    <row r="1728" spans="1:15" x14ac:dyDescent="0.35">
      <c r="A1728" s="27" t="s">
        <v>2392</v>
      </c>
      <c r="B1728" s="12">
        <v>46186</v>
      </c>
      <c r="C1728" s="11" t="s">
        <v>60</v>
      </c>
      <c r="D1728" s="11" t="s">
        <v>13</v>
      </c>
      <c r="E1728" s="11">
        <v>-6</v>
      </c>
      <c r="F1728" s="11">
        <f t="shared" si="53"/>
        <v>-6</v>
      </c>
      <c r="G1728" s="11" t="s">
        <v>14</v>
      </c>
      <c r="H1728" s="11" t="s">
        <v>61</v>
      </c>
      <c r="I1728" s="11" t="s">
        <v>62</v>
      </c>
      <c r="J1728" s="11">
        <v>3.4</v>
      </c>
      <c r="K1728" s="11">
        <v>8</v>
      </c>
      <c r="L1728" s="11"/>
      <c r="M1728" s="11">
        <f t="shared" si="52"/>
        <v>20.399999999999999</v>
      </c>
      <c r="N1728" s="11">
        <f>IF(Table1[[#This Row],[Transaction Type]]="Sale",ABS(E1728)*K1728,0)</f>
        <v>48</v>
      </c>
      <c r="O1728" s="29">
        <f>IF(Table1[[#This Row],[Transaction Type]]="Purchase",E1728*J1728,0)</f>
        <v>0</v>
      </c>
    </row>
    <row r="1729" spans="1:15" x14ac:dyDescent="0.35">
      <c r="A1729" s="27" t="s">
        <v>2393</v>
      </c>
      <c r="B1729" s="12">
        <v>46187</v>
      </c>
      <c r="C1729" s="11" t="s">
        <v>52</v>
      </c>
      <c r="D1729" s="11" t="s">
        <v>13</v>
      </c>
      <c r="E1729" s="11">
        <v>-4</v>
      </c>
      <c r="F1729" s="11">
        <f t="shared" si="53"/>
        <v>-4</v>
      </c>
      <c r="G1729" s="11" t="s">
        <v>14</v>
      </c>
      <c r="H1729" s="11" t="s">
        <v>20</v>
      </c>
      <c r="I1729" s="11" t="s">
        <v>21</v>
      </c>
      <c r="J1729" s="11">
        <v>5.5</v>
      </c>
      <c r="K1729" s="11">
        <v>12</v>
      </c>
      <c r="L1729" s="11"/>
      <c r="M1729" s="11">
        <f t="shared" si="52"/>
        <v>22</v>
      </c>
      <c r="N1729" s="11">
        <f>IF(Table1[[#This Row],[Transaction Type]]="Sale",ABS(E1729)*K1729,0)</f>
        <v>48</v>
      </c>
      <c r="O1729" s="29">
        <f>IF(Table1[[#This Row],[Transaction Type]]="Purchase",E1729*J1729,0)</f>
        <v>0</v>
      </c>
    </row>
    <row r="1730" spans="1:15" x14ac:dyDescent="0.35">
      <c r="A1730" s="27" t="s">
        <v>2394</v>
      </c>
      <c r="B1730" s="12">
        <v>46187</v>
      </c>
      <c r="C1730" s="11" t="s">
        <v>23</v>
      </c>
      <c r="D1730" s="11" t="s">
        <v>13</v>
      </c>
      <c r="E1730" s="11">
        <v>-12</v>
      </c>
      <c r="F1730" s="11">
        <f t="shared" si="53"/>
        <v>-12</v>
      </c>
      <c r="G1730" s="11" t="s">
        <v>19</v>
      </c>
      <c r="H1730" s="11" t="s">
        <v>25</v>
      </c>
      <c r="I1730" s="11" t="s">
        <v>26</v>
      </c>
      <c r="J1730" s="11">
        <v>3</v>
      </c>
      <c r="K1730" s="11">
        <v>7</v>
      </c>
      <c r="L1730" s="11"/>
      <c r="M1730" s="11">
        <f t="shared" ref="M1730:M1795" si="54">ABS(E1730)*J1730</f>
        <v>36</v>
      </c>
      <c r="N1730" s="11">
        <f>IF(Table1[[#This Row],[Transaction Type]]="Sale",ABS(E1730)*K1730,0)</f>
        <v>84</v>
      </c>
      <c r="O1730" s="29">
        <f>IF(Table1[[#This Row],[Transaction Type]]="Purchase",E1730*J1730,0)</f>
        <v>0</v>
      </c>
    </row>
    <row r="1731" spans="1:15" x14ac:dyDescent="0.35">
      <c r="A1731" s="27" t="s">
        <v>2395</v>
      </c>
      <c r="B1731" s="12">
        <v>46187</v>
      </c>
      <c r="C1731" s="11" t="s">
        <v>18</v>
      </c>
      <c r="D1731" s="11" t="s">
        <v>40</v>
      </c>
      <c r="E1731" s="11">
        <v>34</v>
      </c>
      <c r="F1731" s="11">
        <f t="shared" ref="F1731:F1794" si="55">E1731</f>
        <v>34</v>
      </c>
      <c r="G1731" s="11" t="s">
        <v>14</v>
      </c>
      <c r="H1731" s="11" t="s">
        <v>20</v>
      </c>
      <c r="I1731" s="11" t="s">
        <v>21</v>
      </c>
      <c r="J1731" s="11">
        <v>2.6</v>
      </c>
      <c r="K1731" s="11">
        <v>5.5</v>
      </c>
      <c r="L1731" s="11" t="s">
        <v>2396</v>
      </c>
      <c r="M1731" s="11">
        <f t="shared" si="54"/>
        <v>88.4</v>
      </c>
      <c r="N1731" s="11">
        <f>IF(Table1[[#This Row],[Transaction Type]]="Sale",ABS(E1731)*K1731,0)</f>
        <v>0</v>
      </c>
      <c r="O1731" s="29">
        <f>IF(Table1[[#This Row],[Transaction Type]]="Purchase",E1731*J1731,0)</f>
        <v>88.4</v>
      </c>
    </row>
    <row r="1732" spans="1:15" x14ac:dyDescent="0.35">
      <c r="A1732" s="27" t="s">
        <v>2397</v>
      </c>
      <c r="B1732" s="12">
        <v>46187</v>
      </c>
      <c r="C1732" s="11" t="s">
        <v>94</v>
      </c>
      <c r="D1732" s="11" t="s">
        <v>40</v>
      </c>
      <c r="E1732" s="11">
        <v>91</v>
      </c>
      <c r="F1732" s="11">
        <f t="shared" si="55"/>
        <v>91</v>
      </c>
      <c r="G1732" s="11" t="s">
        <v>14</v>
      </c>
      <c r="H1732" s="11" t="s">
        <v>95</v>
      </c>
      <c r="I1732" s="11" t="s">
        <v>16</v>
      </c>
      <c r="J1732" s="11">
        <v>18.5</v>
      </c>
      <c r="K1732" s="11">
        <v>31</v>
      </c>
      <c r="L1732" s="11" t="s">
        <v>2398</v>
      </c>
      <c r="M1732" s="11">
        <f t="shared" si="54"/>
        <v>1683.5</v>
      </c>
      <c r="N1732" s="11">
        <f>IF(Table1[[#This Row],[Transaction Type]]="Sale",ABS(E1732)*K1732,0)</f>
        <v>0</v>
      </c>
      <c r="O1732" s="29">
        <f>IF(Table1[[#This Row],[Transaction Type]]="Purchase",E1732*J1732,0)</f>
        <v>1683.5</v>
      </c>
    </row>
    <row r="1733" spans="1:15" x14ac:dyDescent="0.35">
      <c r="A1733" s="27" t="s">
        <v>2399</v>
      </c>
      <c r="B1733" s="12">
        <v>46187</v>
      </c>
      <c r="C1733" s="11" t="s">
        <v>81</v>
      </c>
      <c r="D1733" s="11" t="s">
        <v>66</v>
      </c>
      <c r="E1733" s="11">
        <v>4</v>
      </c>
      <c r="F1733" s="11">
        <f t="shared" si="55"/>
        <v>4</v>
      </c>
      <c r="G1733" s="11" t="s">
        <v>24</v>
      </c>
      <c r="H1733" s="11" t="s">
        <v>30</v>
      </c>
      <c r="I1733" s="11" t="s">
        <v>16</v>
      </c>
      <c r="J1733" s="11">
        <v>8</v>
      </c>
      <c r="K1733" s="11">
        <v>15</v>
      </c>
      <c r="L1733" s="11"/>
      <c r="M1733" s="11">
        <f t="shared" si="54"/>
        <v>32</v>
      </c>
      <c r="N1733" s="11">
        <f>IF(Table1[[#This Row],[Transaction Type]]="Sale",ABS(E1733)*K1733,0)</f>
        <v>0</v>
      </c>
      <c r="O1733" s="29">
        <f>IF(Table1[[#This Row],[Transaction Type]]="Purchase",E1733*J1733,0)</f>
        <v>0</v>
      </c>
    </row>
    <row r="1734" spans="1:15" x14ac:dyDescent="0.35">
      <c r="A1734" s="27" t="s">
        <v>2400</v>
      </c>
      <c r="B1734" s="12">
        <v>46188</v>
      </c>
      <c r="C1734" s="11" t="s">
        <v>94</v>
      </c>
      <c r="D1734" s="11" t="s">
        <v>66</v>
      </c>
      <c r="E1734" s="11">
        <v>4</v>
      </c>
      <c r="F1734" s="11">
        <f t="shared" si="55"/>
        <v>4</v>
      </c>
      <c r="G1734" s="11" t="s">
        <v>24</v>
      </c>
      <c r="H1734" s="11" t="s">
        <v>95</v>
      </c>
      <c r="I1734" s="11" t="s">
        <v>16</v>
      </c>
      <c r="J1734" s="11">
        <v>18.5</v>
      </c>
      <c r="K1734" s="11">
        <v>31</v>
      </c>
      <c r="L1734" s="11"/>
      <c r="M1734" s="11">
        <f t="shared" si="54"/>
        <v>74</v>
      </c>
      <c r="N1734" s="11">
        <f>IF(Table1[[#This Row],[Transaction Type]]="Sale",ABS(E1734)*K1734,0)</f>
        <v>0</v>
      </c>
      <c r="O1734" s="29">
        <f>IF(Table1[[#This Row],[Transaction Type]]="Purchase",E1734*J1734,0)</f>
        <v>0</v>
      </c>
    </row>
    <row r="1735" spans="1:15" x14ac:dyDescent="0.35">
      <c r="A1735" s="27" t="s">
        <v>2401</v>
      </c>
      <c r="B1735" s="12">
        <v>46188</v>
      </c>
      <c r="C1735" s="11" t="s">
        <v>36</v>
      </c>
      <c r="D1735" s="11" t="s">
        <v>40</v>
      </c>
      <c r="E1735" s="11">
        <v>45</v>
      </c>
      <c r="F1735" s="11">
        <f t="shared" si="55"/>
        <v>45</v>
      </c>
      <c r="G1735" s="11" t="s">
        <v>14</v>
      </c>
      <c r="H1735" s="11" t="s">
        <v>37</v>
      </c>
      <c r="I1735" s="11" t="s">
        <v>16</v>
      </c>
      <c r="J1735" s="11">
        <v>7.2</v>
      </c>
      <c r="K1735" s="11">
        <v>12.5</v>
      </c>
      <c r="L1735" s="11" t="s">
        <v>2402</v>
      </c>
      <c r="M1735" s="11">
        <f t="shared" si="54"/>
        <v>324</v>
      </c>
      <c r="N1735" s="11">
        <f>IF(Table1[[#This Row],[Transaction Type]]="Sale",ABS(E1735)*K1735,0)</f>
        <v>0</v>
      </c>
      <c r="O1735" s="29">
        <f>IF(Table1[[#This Row],[Transaction Type]]="Purchase",E1735*J1735,0)</f>
        <v>324</v>
      </c>
    </row>
    <row r="1736" spans="1:15" x14ac:dyDescent="0.35">
      <c r="A1736" s="27" t="s">
        <v>2403</v>
      </c>
      <c r="B1736" s="12">
        <v>46188</v>
      </c>
      <c r="C1736" s="11" t="s">
        <v>48</v>
      </c>
      <c r="D1736" s="11" t="s">
        <v>13</v>
      </c>
      <c r="E1736" s="11">
        <v>-15</v>
      </c>
      <c r="F1736" s="11">
        <f t="shared" si="55"/>
        <v>-15</v>
      </c>
      <c r="G1736" s="11" t="s">
        <v>14</v>
      </c>
      <c r="H1736" s="11" t="s">
        <v>49</v>
      </c>
      <c r="I1736" s="11" t="s">
        <v>21</v>
      </c>
      <c r="J1736" s="11">
        <v>8.5</v>
      </c>
      <c r="K1736" s="11">
        <v>18</v>
      </c>
      <c r="L1736" s="11"/>
      <c r="M1736" s="11">
        <f t="shared" si="54"/>
        <v>127.5</v>
      </c>
      <c r="N1736" s="11">
        <f>IF(Table1[[#This Row],[Transaction Type]]="Sale",ABS(E1736)*K1736,0)</f>
        <v>270</v>
      </c>
      <c r="O1736" s="29">
        <f>IF(Table1[[#This Row],[Transaction Type]]="Purchase",E1736*J1736,0)</f>
        <v>0</v>
      </c>
    </row>
    <row r="1737" spans="1:15" x14ac:dyDescent="0.35">
      <c r="A1737" s="27" t="s">
        <v>2404</v>
      </c>
      <c r="B1737" s="12">
        <v>46189</v>
      </c>
      <c r="C1737" s="11" t="s">
        <v>170</v>
      </c>
      <c r="D1737" s="11" t="s">
        <v>13</v>
      </c>
      <c r="E1737" s="11">
        <v>-5</v>
      </c>
      <c r="F1737" s="11">
        <f t="shared" si="55"/>
        <v>-5</v>
      </c>
      <c r="G1737" s="11" t="s">
        <v>19</v>
      </c>
      <c r="H1737" s="11" t="s">
        <v>171</v>
      </c>
      <c r="I1737" s="11" t="s">
        <v>34</v>
      </c>
      <c r="J1737" s="11">
        <v>25</v>
      </c>
      <c r="K1737" s="11">
        <v>45</v>
      </c>
      <c r="L1737" s="11"/>
      <c r="M1737" s="11">
        <f t="shared" si="54"/>
        <v>125</v>
      </c>
      <c r="N1737" s="11">
        <f>IF(Table1[[#This Row],[Transaction Type]]="Sale",ABS(E1737)*K1737,0)</f>
        <v>225</v>
      </c>
      <c r="O1737" s="29">
        <f>IF(Table1[[#This Row],[Transaction Type]]="Purchase",E1737*J1737,0)</f>
        <v>0</v>
      </c>
    </row>
    <row r="1738" spans="1:15" x14ac:dyDescent="0.35">
      <c r="A1738" s="27" t="s">
        <v>2405</v>
      </c>
      <c r="B1738" s="12">
        <v>46189</v>
      </c>
      <c r="C1738" s="11" t="s">
        <v>94</v>
      </c>
      <c r="D1738" s="11" t="s">
        <v>40</v>
      </c>
      <c r="E1738" s="11">
        <v>97</v>
      </c>
      <c r="F1738" s="11">
        <f t="shared" si="55"/>
        <v>97</v>
      </c>
      <c r="G1738" s="11" t="s">
        <v>19</v>
      </c>
      <c r="H1738" s="11" t="s">
        <v>95</v>
      </c>
      <c r="I1738" s="11" t="s">
        <v>16</v>
      </c>
      <c r="J1738" s="11">
        <v>18.5</v>
      </c>
      <c r="K1738" s="11">
        <v>31</v>
      </c>
      <c r="L1738" s="11" t="s">
        <v>2406</v>
      </c>
      <c r="M1738" s="11">
        <f t="shared" si="54"/>
        <v>1794.5</v>
      </c>
      <c r="N1738" s="11">
        <f>IF(Table1[[#This Row],[Transaction Type]]="Sale",ABS(E1738)*K1738,0)</f>
        <v>0</v>
      </c>
      <c r="O1738" s="29">
        <f>IF(Table1[[#This Row],[Transaction Type]]="Purchase",E1738*J1738,0)</f>
        <v>1794.5</v>
      </c>
    </row>
    <row r="1739" spans="1:15" x14ac:dyDescent="0.35">
      <c r="A1739" s="27" t="s">
        <v>2407</v>
      </c>
      <c r="B1739" s="12">
        <v>46189</v>
      </c>
      <c r="C1739" s="11" t="s">
        <v>52</v>
      </c>
      <c r="D1739" s="11" t="s">
        <v>13</v>
      </c>
      <c r="E1739" s="11">
        <v>-13</v>
      </c>
      <c r="F1739" s="11">
        <f t="shared" si="55"/>
        <v>-13</v>
      </c>
      <c r="G1739" s="11" t="s">
        <v>14</v>
      </c>
      <c r="H1739" s="11" t="s">
        <v>20</v>
      </c>
      <c r="I1739" s="11" t="s">
        <v>21</v>
      </c>
      <c r="J1739" s="11">
        <v>5.5</v>
      </c>
      <c r="K1739" s="11">
        <v>12</v>
      </c>
      <c r="L1739" s="11"/>
      <c r="M1739" s="11">
        <f t="shared" si="54"/>
        <v>71.5</v>
      </c>
      <c r="N1739" s="11">
        <f>IF(Table1[[#This Row],[Transaction Type]]="Sale",ABS(E1739)*K1739,0)</f>
        <v>156</v>
      </c>
      <c r="O1739" s="29">
        <f>IF(Table1[[#This Row],[Transaction Type]]="Purchase",E1739*J1739,0)</f>
        <v>0</v>
      </c>
    </row>
    <row r="1740" spans="1:15" x14ac:dyDescent="0.35">
      <c r="A1740" s="27" t="s">
        <v>2408</v>
      </c>
      <c r="B1740" s="12">
        <v>46190</v>
      </c>
      <c r="C1740" s="11" t="s">
        <v>98</v>
      </c>
      <c r="D1740" s="11" t="s">
        <v>40</v>
      </c>
      <c r="E1740" s="11">
        <v>36</v>
      </c>
      <c r="F1740" s="11">
        <f t="shared" si="55"/>
        <v>36</v>
      </c>
      <c r="G1740" s="11" t="s">
        <v>14</v>
      </c>
      <c r="H1740" s="11" t="s">
        <v>30</v>
      </c>
      <c r="I1740" s="11" t="s">
        <v>16</v>
      </c>
      <c r="J1740" s="11">
        <v>16</v>
      </c>
      <c r="K1740" s="11">
        <v>29</v>
      </c>
      <c r="L1740" s="11" t="s">
        <v>2409</v>
      </c>
      <c r="M1740" s="11">
        <f t="shared" si="54"/>
        <v>576</v>
      </c>
      <c r="N1740" s="11">
        <f>IF(Table1[[#This Row],[Transaction Type]]="Sale",ABS(E1740)*K1740,0)</f>
        <v>0</v>
      </c>
      <c r="O1740" s="29">
        <f>IF(Table1[[#This Row],[Transaction Type]]="Purchase",E1740*J1740,0)</f>
        <v>576</v>
      </c>
    </row>
    <row r="1741" spans="1:15" x14ac:dyDescent="0.35">
      <c r="A1741" s="27" t="s">
        <v>2410</v>
      </c>
      <c r="B1741" s="12">
        <v>46190</v>
      </c>
      <c r="C1741" s="11" t="s">
        <v>43</v>
      </c>
      <c r="D1741" s="11" t="s">
        <v>40</v>
      </c>
      <c r="E1741" s="11">
        <v>117</v>
      </c>
      <c r="F1741" s="11">
        <f t="shared" si="55"/>
        <v>117</v>
      </c>
      <c r="G1741" s="11" t="s">
        <v>19</v>
      </c>
      <c r="H1741" s="11" t="s">
        <v>44</v>
      </c>
      <c r="I1741" s="11" t="s">
        <v>45</v>
      </c>
      <c r="J1741" s="11">
        <v>5.2</v>
      </c>
      <c r="K1741" s="11">
        <v>11</v>
      </c>
      <c r="L1741" s="11" t="s">
        <v>2411</v>
      </c>
      <c r="M1741" s="11">
        <f t="shared" si="54"/>
        <v>608.4</v>
      </c>
      <c r="N1741" s="11">
        <f>IF(Table1[[#This Row],[Transaction Type]]="Sale",ABS(E1741)*K1741,0)</f>
        <v>0</v>
      </c>
      <c r="O1741" s="29">
        <f>IF(Table1[[#This Row],[Transaction Type]]="Purchase",E1741*J1741,0)</f>
        <v>608.4</v>
      </c>
    </row>
    <row r="1742" spans="1:15" x14ac:dyDescent="0.35">
      <c r="A1742" s="27" t="s">
        <v>2412</v>
      </c>
      <c r="B1742" s="12">
        <v>46190</v>
      </c>
      <c r="C1742" s="11" t="s">
        <v>60</v>
      </c>
      <c r="D1742" s="11" t="s">
        <v>58</v>
      </c>
      <c r="E1742" s="11">
        <v>16</v>
      </c>
      <c r="F1742" s="11">
        <f t="shared" si="55"/>
        <v>16</v>
      </c>
      <c r="G1742" s="11" t="s">
        <v>14</v>
      </c>
      <c r="H1742" s="11" t="s">
        <v>61</v>
      </c>
      <c r="I1742" s="11" t="s">
        <v>62</v>
      </c>
      <c r="J1742" s="11">
        <v>3.4</v>
      </c>
      <c r="K1742" s="11">
        <v>8</v>
      </c>
      <c r="L1742" s="11"/>
      <c r="M1742" s="11">
        <f t="shared" si="54"/>
        <v>54.4</v>
      </c>
      <c r="N1742" s="11">
        <f>IF(Table1[[#This Row],[Transaction Type]]="Sale",ABS(E1742)*K1742,0)</f>
        <v>0</v>
      </c>
      <c r="O1742" s="29">
        <f>IF(Table1[[#This Row],[Transaction Type]]="Purchase",E1742*J1742,0)</f>
        <v>0</v>
      </c>
    </row>
    <row r="1743" spans="1:15" x14ac:dyDescent="0.35">
      <c r="A1743" s="27" t="s">
        <v>2413</v>
      </c>
      <c r="B1743" s="12">
        <v>46191</v>
      </c>
      <c r="C1743" s="11" t="s">
        <v>36</v>
      </c>
      <c r="D1743" s="11" t="s">
        <v>40</v>
      </c>
      <c r="E1743" s="11">
        <v>76</v>
      </c>
      <c r="F1743" s="11">
        <f t="shared" si="55"/>
        <v>76</v>
      </c>
      <c r="G1743" s="11" t="s">
        <v>24</v>
      </c>
      <c r="H1743" s="11" t="s">
        <v>37</v>
      </c>
      <c r="I1743" s="11" t="s">
        <v>16</v>
      </c>
      <c r="J1743" s="11">
        <v>7.2</v>
      </c>
      <c r="K1743" s="11">
        <v>12.5</v>
      </c>
      <c r="L1743" s="11" t="s">
        <v>2414</v>
      </c>
      <c r="M1743" s="11">
        <f t="shared" si="54"/>
        <v>547.20000000000005</v>
      </c>
      <c r="N1743" s="11">
        <f>IF(Table1[[#This Row],[Transaction Type]]="Sale",ABS(E1743)*K1743,0)</f>
        <v>0</v>
      </c>
      <c r="O1743" s="29">
        <f>IF(Table1[[#This Row],[Transaction Type]]="Purchase",E1743*J1743,0)</f>
        <v>547.20000000000005</v>
      </c>
    </row>
    <row r="1744" spans="1:15" x14ac:dyDescent="0.35">
      <c r="A1744" s="27" t="s">
        <v>2415</v>
      </c>
      <c r="B1744" s="12">
        <v>46191</v>
      </c>
      <c r="C1744" s="11" t="s">
        <v>32</v>
      </c>
      <c r="D1744" s="11" t="s">
        <v>40</v>
      </c>
      <c r="E1744" s="11">
        <v>59</v>
      </c>
      <c r="F1744" s="11">
        <f t="shared" si="55"/>
        <v>59</v>
      </c>
      <c r="G1744" s="11" t="s">
        <v>14</v>
      </c>
      <c r="H1744" s="11" t="s">
        <v>33</v>
      </c>
      <c r="I1744" s="11" t="s">
        <v>34</v>
      </c>
      <c r="J1744" s="11">
        <v>20</v>
      </c>
      <c r="K1744" s="11">
        <v>35</v>
      </c>
      <c r="L1744" s="11" t="s">
        <v>2416</v>
      </c>
      <c r="M1744" s="11">
        <f t="shared" si="54"/>
        <v>1180</v>
      </c>
      <c r="N1744" s="11">
        <f>IF(Table1[[#This Row],[Transaction Type]]="Sale",ABS(E1744)*K1744,0)</f>
        <v>0</v>
      </c>
      <c r="O1744" s="29">
        <f>IF(Table1[[#This Row],[Transaction Type]]="Purchase",E1744*J1744,0)</f>
        <v>1180</v>
      </c>
    </row>
    <row r="1745" spans="1:15" x14ac:dyDescent="0.35">
      <c r="A1745" s="27" t="s">
        <v>2417</v>
      </c>
      <c r="B1745" s="12">
        <v>46191</v>
      </c>
      <c r="C1745" s="11" t="s">
        <v>185</v>
      </c>
      <c r="D1745" s="11" t="s">
        <v>13</v>
      </c>
      <c r="E1745" s="11">
        <v>-14</v>
      </c>
      <c r="F1745" s="11">
        <f t="shared" si="55"/>
        <v>-14</v>
      </c>
      <c r="G1745" s="11" t="s">
        <v>19</v>
      </c>
      <c r="H1745" s="11" t="s">
        <v>44</v>
      </c>
      <c r="I1745" s="11" t="s">
        <v>45</v>
      </c>
      <c r="J1745" s="11">
        <v>63</v>
      </c>
      <c r="K1745" s="11">
        <v>95</v>
      </c>
      <c r="L1745" s="11"/>
      <c r="M1745" s="11">
        <f t="shared" si="54"/>
        <v>882</v>
      </c>
      <c r="N1745" s="11">
        <f>IF(Table1[[#This Row],[Transaction Type]]="Sale",ABS(E1745)*K1745,0)</f>
        <v>1330</v>
      </c>
      <c r="O1745" s="29">
        <f>IF(Table1[[#This Row],[Transaction Type]]="Purchase",E1745*J1745,0)</f>
        <v>0</v>
      </c>
    </row>
    <row r="1746" spans="1:15" x14ac:dyDescent="0.35">
      <c r="A1746" s="27" t="s">
        <v>2418</v>
      </c>
      <c r="B1746" s="12">
        <v>46191</v>
      </c>
      <c r="C1746" s="11" t="s">
        <v>48</v>
      </c>
      <c r="D1746" s="11" t="s">
        <v>40</v>
      </c>
      <c r="E1746" s="11">
        <v>116</v>
      </c>
      <c r="F1746" s="11">
        <f t="shared" si="55"/>
        <v>116</v>
      </c>
      <c r="G1746" s="11" t="s">
        <v>14</v>
      </c>
      <c r="H1746" s="11" t="s">
        <v>49</v>
      </c>
      <c r="I1746" s="11" t="s">
        <v>21</v>
      </c>
      <c r="J1746" s="11">
        <v>8.5</v>
      </c>
      <c r="K1746" s="11">
        <v>18</v>
      </c>
      <c r="L1746" s="11" t="s">
        <v>2419</v>
      </c>
      <c r="M1746" s="11">
        <f t="shared" si="54"/>
        <v>986</v>
      </c>
      <c r="N1746" s="11">
        <f>IF(Table1[[#This Row],[Transaction Type]]="Sale",ABS(E1746)*K1746,0)</f>
        <v>0</v>
      </c>
      <c r="O1746" s="29">
        <f>IF(Table1[[#This Row],[Transaction Type]]="Purchase",E1746*J1746,0)</f>
        <v>986</v>
      </c>
    </row>
    <row r="1747" spans="1:15" x14ac:dyDescent="0.35">
      <c r="A1747" s="27" t="s">
        <v>2420</v>
      </c>
      <c r="B1747" s="12">
        <v>46191</v>
      </c>
      <c r="C1747" s="11" t="s">
        <v>94</v>
      </c>
      <c r="D1747" s="11" t="s">
        <v>13</v>
      </c>
      <c r="E1747" s="11">
        <v>-8</v>
      </c>
      <c r="F1747" s="11">
        <f t="shared" si="55"/>
        <v>-8</v>
      </c>
      <c r="G1747" s="11" t="s">
        <v>14</v>
      </c>
      <c r="H1747" s="11" t="s">
        <v>95</v>
      </c>
      <c r="I1747" s="11" t="s">
        <v>16</v>
      </c>
      <c r="J1747" s="11">
        <v>18.5</v>
      </c>
      <c r="K1747" s="11">
        <v>31</v>
      </c>
      <c r="L1747" s="11"/>
      <c r="M1747" s="11">
        <f t="shared" si="54"/>
        <v>148</v>
      </c>
      <c r="N1747" s="11">
        <f>IF(Table1[[#This Row],[Transaction Type]]="Sale",ABS(E1747)*K1747,0)</f>
        <v>248</v>
      </c>
      <c r="O1747" s="29">
        <f>IF(Table1[[#This Row],[Transaction Type]]="Purchase",E1747*J1747,0)</f>
        <v>0</v>
      </c>
    </row>
    <row r="1748" spans="1:15" x14ac:dyDescent="0.35">
      <c r="A1748" s="27" t="s">
        <v>2421</v>
      </c>
      <c r="B1748" s="12">
        <v>46192</v>
      </c>
      <c r="C1748" s="11" t="s">
        <v>32</v>
      </c>
      <c r="D1748" s="11" t="s">
        <v>13</v>
      </c>
      <c r="E1748" s="11">
        <v>-14</v>
      </c>
      <c r="F1748" s="11">
        <f t="shared" si="55"/>
        <v>-14</v>
      </c>
      <c r="G1748" s="11" t="s">
        <v>24</v>
      </c>
      <c r="H1748" s="11" t="s">
        <v>33</v>
      </c>
      <c r="I1748" s="11" t="s">
        <v>34</v>
      </c>
      <c r="J1748" s="11">
        <v>20</v>
      </c>
      <c r="K1748" s="11">
        <v>35</v>
      </c>
      <c r="L1748" s="11"/>
      <c r="M1748" s="11">
        <f t="shared" si="54"/>
        <v>280</v>
      </c>
      <c r="N1748" s="11">
        <f>IF(Table1[[#This Row],[Transaction Type]]="Sale",ABS(E1748)*K1748,0)</f>
        <v>490</v>
      </c>
      <c r="O1748" s="29">
        <f>IF(Table1[[#This Row],[Transaction Type]]="Purchase",E1748*J1748,0)</f>
        <v>0</v>
      </c>
    </row>
    <row r="1749" spans="1:15" x14ac:dyDescent="0.35">
      <c r="A1749" s="27" t="s">
        <v>2422</v>
      </c>
      <c r="B1749" s="12">
        <v>46192</v>
      </c>
      <c r="C1749" s="11" t="s">
        <v>32</v>
      </c>
      <c r="D1749" s="11" t="s">
        <v>40</v>
      </c>
      <c r="E1749" s="11">
        <v>42</v>
      </c>
      <c r="F1749" s="11">
        <f t="shared" si="55"/>
        <v>42</v>
      </c>
      <c r="G1749" s="11" t="s">
        <v>14</v>
      </c>
      <c r="H1749" s="11" t="s">
        <v>33</v>
      </c>
      <c r="I1749" s="11" t="s">
        <v>34</v>
      </c>
      <c r="J1749" s="11">
        <v>20</v>
      </c>
      <c r="K1749" s="11">
        <v>35</v>
      </c>
      <c r="L1749" s="11" t="s">
        <v>2423</v>
      </c>
      <c r="M1749" s="11">
        <f t="shared" si="54"/>
        <v>840</v>
      </c>
      <c r="N1749" s="11">
        <f>IF(Table1[[#This Row],[Transaction Type]]="Sale",ABS(E1749)*K1749,0)</f>
        <v>0</v>
      </c>
      <c r="O1749" s="29">
        <f>IF(Table1[[#This Row],[Transaction Type]]="Purchase",E1749*J1749,0)</f>
        <v>840</v>
      </c>
    </row>
    <row r="1750" spans="1:15" x14ac:dyDescent="0.35">
      <c r="A1750" s="27" t="s">
        <v>2424</v>
      </c>
      <c r="B1750" s="12">
        <v>46192</v>
      </c>
      <c r="C1750" s="11" t="s">
        <v>12</v>
      </c>
      <c r="D1750" s="11" t="s">
        <v>40</v>
      </c>
      <c r="E1750" s="11">
        <v>28</v>
      </c>
      <c r="F1750" s="11">
        <f t="shared" si="55"/>
        <v>28</v>
      </c>
      <c r="G1750" s="11" t="s">
        <v>14</v>
      </c>
      <c r="H1750" s="11" t="s">
        <v>15</v>
      </c>
      <c r="I1750" s="11" t="s">
        <v>16</v>
      </c>
      <c r="J1750" s="11">
        <v>13.5</v>
      </c>
      <c r="K1750" s="11">
        <v>24</v>
      </c>
      <c r="L1750" s="11" t="s">
        <v>2425</v>
      </c>
      <c r="M1750" s="11">
        <f t="shared" si="54"/>
        <v>378</v>
      </c>
      <c r="N1750" s="11">
        <f>IF(Table1[[#This Row],[Transaction Type]]="Sale",ABS(E1750)*K1750,0)</f>
        <v>0</v>
      </c>
      <c r="O1750" s="29">
        <f>IF(Table1[[#This Row],[Transaction Type]]="Purchase",E1750*J1750,0)</f>
        <v>378</v>
      </c>
    </row>
    <row r="1751" spans="1:15" x14ac:dyDescent="0.35">
      <c r="A1751" s="27" t="s">
        <v>2426</v>
      </c>
      <c r="B1751" s="12">
        <v>46193</v>
      </c>
      <c r="C1751" s="11" t="s">
        <v>141</v>
      </c>
      <c r="D1751" s="11" t="s">
        <v>40</v>
      </c>
      <c r="E1751" s="11">
        <v>62</v>
      </c>
      <c r="F1751" s="11">
        <f t="shared" si="55"/>
        <v>62</v>
      </c>
      <c r="G1751" s="11" t="s">
        <v>14</v>
      </c>
      <c r="H1751" s="11" t="s">
        <v>25</v>
      </c>
      <c r="I1751" s="11" t="s">
        <v>26</v>
      </c>
      <c r="J1751" s="11">
        <v>4</v>
      </c>
      <c r="K1751" s="11">
        <v>9</v>
      </c>
      <c r="L1751" s="11" t="s">
        <v>2427</v>
      </c>
      <c r="M1751" s="11">
        <f t="shared" si="54"/>
        <v>248</v>
      </c>
      <c r="N1751" s="11">
        <f>IF(Table1[[#This Row],[Transaction Type]]="Sale",ABS(E1751)*K1751,0)</f>
        <v>0</v>
      </c>
      <c r="O1751" s="29">
        <f>IF(Table1[[#This Row],[Transaction Type]]="Purchase",E1751*J1751,0)</f>
        <v>248</v>
      </c>
    </row>
    <row r="1752" spans="1:15" x14ac:dyDescent="0.35">
      <c r="A1752" s="27" t="s">
        <v>2428</v>
      </c>
      <c r="B1752" s="12">
        <v>46193</v>
      </c>
      <c r="C1752" s="11" t="s">
        <v>350</v>
      </c>
      <c r="D1752" s="11" t="s">
        <v>13</v>
      </c>
      <c r="E1752" s="11">
        <v>-7</v>
      </c>
      <c r="F1752" s="11">
        <f t="shared" si="55"/>
        <v>-7</v>
      </c>
      <c r="G1752" s="11" t="s">
        <v>19</v>
      </c>
      <c r="H1752" s="11" t="s">
        <v>74</v>
      </c>
      <c r="I1752" s="11" t="s">
        <v>75</v>
      </c>
      <c r="J1752" s="11">
        <v>145</v>
      </c>
      <c r="K1752" s="11">
        <v>210</v>
      </c>
      <c r="L1752" s="11"/>
      <c r="M1752" s="11">
        <f t="shared" si="54"/>
        <v>1015</v>
      </c>
      <c r="N1752" s="11">
        <f>IF(Table1[[#This Row],[Transaction Type]]="Sale",ABS(E1752)*K1752,0)</f>
        <v>1470</v>
      </c>
      <c r="O1752" s="29">
        <f>IF(Table1[[#This Row],[Transaction Type]]="Purchase",E1752*J1752,0)</f>
        <v>0</v>
      </c>
    </row>
    <row r="1753" spans="1:15" x14ac:dyDescent="0.35">
      <c r="A1753" s="27" t="s">
        <v>2429</v>
      </c>
      <c r="B1753" s="12">
        <v>46193</v>
      </c>
      <c r="C1753" s="11" t="s">
        <v>32</v>
      </c>
      <c r="D1753" s="11" t="s">
        <v>13</v>
      </c>
      <c r="E1753" s="11">
        <v>-4</v>
      </c>
      <c r="F1753" s="11">
        <f t="shared" si="55"/>
        <v>-4</v>
      </c>
      <c r="G1753" s="11" t="s">
        <v>14</v>
      </c>
      <c r="H1753" s="11" t="s">
        <v>33</v>
      </c>
      <c r="I1753" s="11" t="s">
        <v>34</v>
      </c>
      <c r="J1753" s="11">
        <v>20</v>
      </c>
      <c r="K1753" s="11">
        <v>35</v>
      </c>
      <c r="L1753" s="11"/>
      <c r="M1753" s="11">
        <f t="shared" si="54"/>
        <v>80</v>
      </c>
      <c r="N1753" s="11">
        <f>IF(Table1[[#This Row],[Transaction Type]]="Sale",ABS(E1753)*K1753,0)</f>
        <v>140</v>
      </c>
      <c r="O1753" s="29">
        <f>IF(Table1[[#This Row],[Transaction Type]]="Purchase",E1753*J1753,0)</f>
        <v>0</v>
      </c>
    </row>
    <row r="1754" spans="1:15" x14ac:dyDescent="0.35">
      <c r="A1754" s="27" t="s">
        <v>2430</v>
      </c>
      <c r="B1754" s="12">
        <v>46193</v>
      </c>
      <c r="C1754" s="11" t="s">
        <v>81</v>
      </c>
      <c r="D1754" s="11" t="s">
        <v>13</v>
      </c>
      <c r="E1754" s="11">
        <v>-12</v>
      </c>
      <c r="F1754" s="11">
        <f t="shared" si="55"/>
        <v>-12</v>
      </c>
      <c r="G1754" s="11" t="s">
        <v>24</v>
      </c>
      <c r="H1754" s="11" t="s">
        <v>30</v>
      </c>
      <c r="I1754" s="11" t="s">
        <v>16</v>
      </c>
      <c r="J1754" s="11">
        <v>8</v>
      </c>
      <c r="K1754" s="11">
        <v>15</v>
      </c>
      <c r="L1754" s="11"/>
      <c r="M1754" s="11">
        <f t="shared" si="54"/>
        <v>96</v>
      </c>
      <c r="N1754" s="11">
        <f>IF(Table1[[#This Row],[Transaction Type]]="Sale",ABS(E1754)*K1754,0)</f>
        <v>180</v>
      </c>
      <c r="O1754" s="29">
        <f>IF(Table1[[#This Row],[Transaction Type]]="Purchase",E1754*J1754,0)</f>
        <v>0</v>
      </c>
    </row>
    <row r="1755" spans="1:15" x14ac:dyDescent="0.35">
      <c r="A1755" s="27" t="s">
        <v>2431</v>
      </c>
      <c r="B1755" s="12">
        <v>46193</v>
      </c>
      <c r="C1755" s="11" t="s">
        <v>77</v>
      </c>
      <c r="D1755" s="11" t="s">
        <v>13</v>
      </c>
      <c r="E1755" s="11">
        <v>-4</v>
      </c>
      <c r="F1755" s="11">
        <f t="shared" si="55"/>
        <v>-4</v>
      </c>
      <c r="G1755" s="11" t="s">
        <v>24</v>
      </c>
      <c r="H1755" s="11" t="s">
        <v>78</v>
      </c>
      <c r="I1755" s="11" t="s">
        <v>16</v>
      </c>
      <c r="J1755" s="11">
        <v>25</v>
      </c>
      <c r="K1755" s="11">
        <v>42</v>
      </c>
      <c r="L1755" s="11"/>
      <c r="M1755" s="11">
        <f t="shared" si="54"/>
        <v>100</v>
      </c>
      <c r="N1755" s="11">
        <f>IF(Table1[[#This Row],[Transaction Type]]="Sale",ABS(E1755)*K1755,0)</f>
        <v>168</v>
      </c>
      <c r="O1755" s="29">
        <f>IF(Table1[[#This Row],[Transaction Type]]="Purchase",E1755*J1755,0)</f>
        <v>0</v>
      </c>
    </row>
    <row r="1756" spans="1:15" x14ac:dyDescent="0.35">
      <c r="A1756" s="27" t="s">
        <v>2432</v>
      </c>
      <c r="B1756" s="12">
        <v>46194</v>
      </c>
      <c r="C1756" s="11" t="s">
        <v>139</v>
      </c>
      <c r="D1756" s="11" t="s">
        <v>66</v>
      </c>
      <c r="E1756" s="11">
        <v>2</v>
      </c>
      <c r="F1756" s="11">
        <f t="shared" si="55"/>
        <v>2</v>
      </c>
      <c r="G1756" s="11" t="s">
        <v>14</v>
      </c>
      <c r="H1756" s="11" t="s">
        <v>56</v>
      </c>
      <c r="I1756" s="11" t="s">
        <v>16</v>
      </c>
      <c r="J1756" s="11">
        <v>16.5</v>
      </c>
      <c r="K1756" s="11">
        <v>28</v>
      </c>
      <c r="L1756" s="11"/>
      <c r="M1756" s="11">
        <f t="shared" si="54"/>
        <v>33</v>
      </c>
      <c r="N1756" s="11">
        <f>IF(Table1[[#This Row],[Transaction Type]]="Sale",ABS(E1756)*K1756,0)</f>
        <v>0</v>
      </c>
      <c r="O1756" s="29">
        <f>IF(Table1[[#This Row],[Transaction Type]]="Purchase",E1756*J1756,0)</f>
        <v>0</v>
      </c>
    </row>
    <row r="1757" spans="1:15" x14ac:dyDescent="0.35">
      <c r="A1757" s="27" t="s">
        <v>2433</v>
      </c>
      <c r="B1757" s="12">
        <v>46194</v>
      </c>
      <c r="C1757" s="11" t="s">
        <v>29</v>
      </c>
      <c r="D1757" s="11" t="s">
        <v>13</v>
      </c>
      <c r="E1757" s="11">
        <v>-1</v>
      </c>
      <c r="F1757" s="11">
        <f t="shared" si="55"/>
        <v>-1</v>
      </c>
      <c r="G1757" s="11" t="s">
        <v>14</v>
      </c>
      <c r="H1757" s="11" t="s">
        <v>30</v>
      </c>
      <c r="I1757" s="11" t="s">
        <v>16</v>
      </c>
      <c r="J1757" s="11">
        <v>8.8000000000000007</v>
      </c>
      <c r="K1757" s="11">
        <v>17</v>
      </c>
      <c r="L1757" s="11"/>
      <c r="M1757" s="11">
        <f t="shared" si="54"/>
        <v>8.8000000000000007</v>
      </c>
      <c r="N1757" s="11">
        <f>IF(Table1[[#This Row],[Transaction Type]]="Sale",ABS(E1757)*K1757,0)</f>
        <v>17</v>
      </c>
      <c r="O1757" s="29">
        <f>IF(Table1[[#This Row],[Transaction Type]]="Purchase",E1757*J1757,0)</f>
        <v>0</v>
      </c>
    </row>
    <row r="1758" spans="1:15" x14ac:dyDescent="0.35">
      <c r="A1758" s="27" t="s">
        <v>2434</v>
      </c>
      <c r="B1758" s="12">
        <v>46194</v>
      </c>
      <c r="C1758" s="11" t="s">
        <v>65</v>
      </c>
      <c r="D1758" s="11" t="s">
        <v>40</v>
      </c>
      <c r="E1758" s="11">
        <v>63</v>
      </c>
      <c r="F1758" s="11">
        <f t="shared" si="55"/>
        <v>63</v>
      </c>
      <c r="G1758" s="11" t="s">
        <v>24</v>
      </c>
      <c r="H1758" s="11" t="s">
        <v>67</v>
      </c>
      <c r="I1758" s="11" t="s">
        <v>21</v>
      </c>
      <c r="J1758" s="11">
        <v>11</v>
      </c>
      <c r="K1758" s="11">
        <v>22</v>
      </c>
      <c r="L1758" s="11" t="s">
        <v>2435</v>
      </c>
      <c r="M1758" s="11">
        <f t="shared" si="54"/>
        <v>693</v>
      </c>
      <c r="N1758" s="11">
        <f>IF(Table1[[#This Row],[Transaction Type]]="Sale",ABS(E1758)*K1758,0)</f>
        <v>0</v>
      </c>
      <c r="O1758" s="29">
        <f>IF(Table1[[#This Row],[Transaction Type]]="Purchase",E1758*J1758,0)</f>
        <v>693</v>
      </c>
    </row>
    <row r="1759" spans="1:15" x14ac:dyDescent="0.35">
      <c r="A1759" s="27" t="s">
        <v>2436</v>
      </c>
      <c r="B1759" s="12">
        <v>46194</v>
      </c>
      <c r="C1759" s="11" t="s">
        <v>350</v>
      </c>
      <c r="D1759" s="11" t="s">
        <v>40</v>
      </c>
      <c r="E1759" s="11">
        <v>44</v>
      </c>
      <c r="F1759" s="11">
        <f t="shared" si="55"/>
        <v>44</v>
      </c>
      <c r="G1759" s="11" t="s">
        <v>19</v>
      </c>
      <c r="H1759" s="11" t="s">
        <v>74</v>
      </c>
      <c r="I1759" s="11" t="s">
        <v>75</v>
      </c>
      <c r="J1759" s="11">
        <v>145</v>
      </c>
      <c r="K1759" s="11">
        <v>210</v>
      </c>
      <c r="L1759" s="11" t="s">
        <v>2437</v>
      </c>
      <c r="M1759" s="11">
        <f t="shared" si="54"/>
        <v>6380</v>
      </c>
      <c r="N1759" s="11">
        <f>IF(Table1[[#This Row],[Transaction Type]]="Sale",ABS(E1759)*K1759,0)</f>
        <v>0</v>
      </c>
      <c r="O1759" s="29">
        <f>IF(Table1[[#This Row],[Transaction Type]]="Purchase",E1759*J1759,0)</f>
        <v>6380</v>
      </c>
    </row>
    <row r="1760" spans="1:15" x14ac:dyDescent="0.35">
      <c r="A1760" s="27" t="s">
        <v>2438</v>
      </c>
      <c r="B1760" s="12">
        <v>46194</v>
      </c>
      <c r="C1760" s="11" t="s">
        <v>87</v>
      </c>
      <c r="D1760" s="11" t="s">
        <v>58</v>
      </c>
      <c r="E1760" s="11">
        <v>19</v>
      </c>
      <c r="F1760" s="11">
        <f t="shared" si="55"/>
        <v>19</v>
      </c>
      <c r="G1760" s="11" t="s">
        <v>19</v>
      </c>
      <c r="H1760" s="11" t="s">
        <v>88</v>
      </c>
      <c r="I1760" s="11" t="s">
        <v>16</v>
      </c>
      <c r="J1760" s="11">
        <v>6</v>
      </c>
      <c r="K1760" s="11">
        <v>14</v>
      </c>
      <c r="L1760" s="11"/>
      <c r="M1760" s="11">
        <f t="shared" si="54"/>
        <v>114</v>
      </c>
      <c r="N1760" s="11">
        <f>IF(Table1[[#This Row],[Transaction Type]]="Sale",ABS(E1760)*K1760,0)</f>
        <v>0</v>
      </c>
      <c r="O1760" s="29">
        <f>IF(Table1[[#This Row],[Transaction Type]]="Purchase",E1760*J1760,0)</f>
        <v>0</v>
      </c>
    </row>
    <row r="1761" spans="1:15" x14ac:dyDescent="0.35">
      <c r="A1761" s="27" t="s">
        <v>2439</v>
      </c>
      <c r="B1761" s="12">
        <v>46195</v>
      </c>
      <c r="C1761" s="11" t="s">
        <v>81</v>
      </c>
      <c r="D1761" s="11" t="s">
        <v>40</v>
      </c>
      <c r="E1761" s="11">
        <v>68</v>
      </c>
      <c r="F1761" s="11">
        <f t="shared" si="55"/>
        <v>68</v>
      </c>
      <c r="G1761" s="11" t="s">
        <v>14</v>
      </c>
      <c r="H1761" s="11" t="s">
        <v>30</v>
      </c>
      <c r="I1761" s="11" t="s">
        <v>16</v>
      </c>
      <c r="J1761" s="11">
        <v>8</v>
      </c>
      <c r="K1761" s="11">
        <v>15</v>
      </c>
      <c r="L1761" s="11" t="s">
        <v>2440</v>
      </c>
      <c r="M1761" s="11">
        <f t="shared" si="54"/>
        <v>544</v>
      </c>
      <c r="N1761" s="11">
        <f>IF(Table1[[#This Row],[Transaction Type]]="Sale",ABS(E1761)*K1761,0)</f>
        <v>0</v>
      </c>
      <c r="O1761" s="29">
        <f>IF(Table1[[#This Row],[Transaction Type]]="Purchase",E1761*J1761,0)</f>
        <v>544</v>
      </c>
    </row>
    <row r="1762" spans="1:15" x14ac:dyDescent="0.35">
      <c r="A1762" s="27" t="s">
        <v>2441</v>
      </c>
      <c r="B1762" s="12">
        <v>46195</v>
      </c>
      <c r="C1762" s="11" t="s">
        <v>141</v>
      </c>
      <c r="D1762" s="11" t="s">
        <v>13</v>
      </c>
      <c r="E1762" s="11">
        <v>-9</v>
      </c>
      <c r="F1762" s="11">
        <f t="shared" si="55"/>
        <v>-9</v>
      </c>
      <c r="G1762" s="11" t="s">
        <v>14</v>
      </c>
      <c r="H1762" s="11" t="s">
        <v>25</v>
      </c>
      <c r="I1762" s="11" t="s">
        <v>26</v>
      </c>
      <c r="J1762" s="11">
        <v>4</v>
      </c>
      <c r="K1762" s="11">
        <v>9</v>
      </c>
      <c r="L1762" s="11"/>
      <c r="M1762" s="11">
        <f t="shared" si="54"/>
        <v>36</v>
      </c>
      <c r="N1762" s="11">
        <f>IF(Table1[[#This Row],[Transaction Type]]="Sale",ABS(E1762)*K1762,0)</f>
        <v>81</v>
      </c>
      <c r="O1762" s="29">
        <f>IF(Table1[[#This Row],[Transaction Type]]="Purchase",E1762*J1762,0)</f>
        <v>0</v>
      </c>
    </row>
    <row r="1763" spans="1:15" x14ac:dyDescent="0.35">
      <c r="A1763" s="27" t="s">
        <v>2442</v>
      </c>
      <c r="B1763" s="12">
        <v>46195</v>
      </c>
      <c r="C1763" s="11" t="s">
        <v>109</v>
      </c>
      <c r="D1763" s="11" t="s">
        <v>13</v>
      </c>
      <c r="E1763" s="11">
        <v>-12</v>
      </c>
      <c r="F1763" s="11">
        <f t="shared" si="55"/>
        <v>-12</v>
      </c>
      <c r="G1763" s="11" t="s">
        <v>19</v>
      </c>
      <c r="H1763" s="11" t="s">
        <v>110</v>
      </c>
      <c r="I1763" s="11" t="s">
        <v>26</v>
      </c>
      <c r="J1763" s="11">
        <v>105</v>
      </c>
      <c r="K1763" s="11">
        <v>165</v>
      </c>
      <c r="L1763" s="11"/>
      <c r="M1763" s="11">
        <f t="shared" si="54"/>
        <v>1260</v>
      </c>
      <c r="N1763" s="11">
        <f>IF(Table1[[#This Row],[Transaction Type]]="Sale",ABS(E1763)*K1763,0)</f>
        <v>1980</v>
      </c>
      <c r="O1763" s="29">
        <f>IF(Table1[[#This Row],[Transaction Type]]="Purchase",E1763*J1763,0)</f>
        <v>0</v>
      </c>
    </row>
    <row r="1764" spans="1:15" x14ac:dyDescent="0.35">
      <c r="A1764" s="27" t="s">
        <v>2443</v>
      </c>
      <c r="B1764" s="12">
        <v>46195</v>
      </c>
      <c r="C1764" s="11" t="s">
        <v>23</v>
      </c>
      <c r="D1764" s="11" t="s">
        <v>40</v>
      </c>
      <c r="E1764" s="11">
        <v>91</v>
      </c>
      <c r="F1764" s="11">
        <f t="shared" si="55"/>
        <v>91</v>
      </c>
      <c r="G1764" s="11" t="s">
        <v>24</v>
      </c>
      <c r="H1764" s="11" t="s">
        <v>25</v>
      </c>
      <c r="I1764" s="11" t="s">
        <v>26</v>
      </c>
      <c r="J1764" s="11">
        <v>3</v>
      </c>
      <c r="K1764" s="11">
        <v>7</v>
      </c>
      <c r="L1764" s="11" t="s">
        <v>2444</v>
      </c>
      <c r="M1764" s="11">
        <f t="shared" si="54"/>
        <v>273</v>
      </c>
      <c r="N1764" s="11">
        <f>IF(Table1[[#This Row],[Transaction Type]]="Sale",ABS(E1764)*K1764,0)</f>
        <v>0</v>
      </c>
      <c r="O1764" s="29">
        <f>IF(Table1[[#This Row],[Transaction Type]]="Purchase",E1764*J1764,0)</f>
        <v>273</v>
      </c>
    </row>
    <row r="1765" spans="1:15" x14ac:dyDescent="0.35">
      <c r="A1765" s="27" t="s">
        <v>2445</v>
      </c>
      <c r="B1765" s="12">
        <v>46195</v>
      </c>
      <c r="C1765" s="11" t="s">
        <v>55</v>
      </c>
      <c r="D1765" s="11" t="s">
        <v>13</v>
      </c>
      <c r="E1765" s="11">
        <v>-5</v>
      </c>
      <c r="F1765" s="11">
        <f t="shared" si="55"/>
        <v>-5</v>
      </c>
      <c r="G1765" s="11" t="s">
        <v>14</v>
      </c>
      <c r="H1765" s="11" t="s">
        <v>56</v>
      </c>
      <c r="I1765" s="11" t="s">
        <v>16</v>
      </c>
      <c r="J1765" s="11">
        <v>4.2</v>
      </c>
      <c r="K1765" s="11">
        <v>10</v>
      </c>
      <c r="L1765" s="11"/>
      <c r="M1765" s="11">
        <f t="shared" si="54"/>
        <v>21</v>
      </c>
      <c r="N1765" s="11">
        <f>IF(Table1[[#This Row],[Transaction Type]]="Sale",ABS(E1765)*K1765,0)</f>
        <v>50</v>
      </c>
      <c r="O1765" s="29">
        <f>IF(Table1[[#This Row],[Transaction Type]]="Purchase",E1765*J1765,0)</f>
        <v>0</v>
      </c>
    </row>
    <row r="1766" spans="1:15" x14ac:dyDescent="0.35">
      <c r="A1766" s="27" t="s">
        <v>2446</v>
      </c>
      <c r="B1766" s="12">
        <v>46195</v>
      </c>
      <c r="C1766" s="11" t="s">
        <v>29</v>
      </c>
      <c r="D1766" s="11" t="s">
        <v>13</v>
      </c>
      <c r="E1766" s="11">
        <v>-7</v>
      </c>
      <c r="F1766" s="11">
        <f t="shared" si="55"/>
        <v>-7</v>
      </c>
      <c r="G1766" s="11" t="s">
        <v>19</v>
      </c>
      <c r="H1766" s="11" t="s">
        <v>30</v>
      </c>
      <c r="I1766" s="11" t="s">
        <v>16</v>
      </c>
      <c r="J1766" s="11">
        <v>8.8000000000000007</v>
      </c>
      <c r="K1766" s="11">
        <v>17</v>
      </c>
      <c r="L1766" s="11"/>
      <c r="M1766" s="11">
        <f t="shared" si="54"/>
        <v>61.600000000000009</v>
      </c>
      <c r="N1766" s="11">
        <f>IF(Table1[[#This Row],[Transaction Type]]="Sale",ABS(E1766)*K1766,0)</f>
        <v>119</v>
      </c>
      <c r="O1766" s="29">
        <f>IF(Table1[[#This Row],[Transaction Type]]="Purchase",E1766*J1766,0)</f>
        <v>0</v>
      </c>
    </row>
    <row r="1767" spans="1:15" x14ac:dyDescent="0.35">
      <c r="A1767" s="27" t="s">
        <v>2447</v>
      </c>
      <c r="B1767" s="12">
        <v>46196</v>
      </c>
      <c r="C1767" s="11" t="s">
        <v>136</v>
      </c>
      <c r="D1767" s="11" t="s">
        <v>13</v>
      </c>
      <c r="E1767" s="11">
        <v>-9</v>
      </c>
      <c r="F1767" s="11">
        <f t="shared" si="55"/>
        <v>-9</v>
      </c>
      <c r="G1767" s="11" t="s">
        <v>14</v>
      </c>
      <c r="H1767" s="11" t="s">
        <v>33</v>
      </c>
      <c r="I1767" s="11" t="s">
        <v>34</v>
      </c>
      <c r="J1767" s="11">
        <v>34</v>
      </c>
      <c r="K1767" s="11">
        <v>55</v>
      </c>
      <c r="L1767" s="11"/>
      <c r="M1767" s="11">
        <f t="shared" si="54"/>
        <v>306</v>
      </c>
      <c r="N1767" s="11">
        <f>IF(Table1[[#This Row],[Transaction Type]]="Sale",ABS(E1767)*K1767,0)</f>
        <v>495</v>
      </c>
      <c r="O1767" s="29">
        <f>IF(Table1[[#This Row],[Transaction Type]]="Purchase",E1767*J1767,0)</f>
        <v>0</v>
      </c>
    </row>
    <row r="1768" spans="1:15" x14ac:dyDescent="0.35">
      <c r="A1768" s="27" t="s">
        <v>2448</v>
      </c>
      <c r="B1768" s="12">
        <v>46196</v>
      </c>
      <c r="C1768" s="11" t="s">
        <v>65</v>
      </c>
      <c r="D1768" s="11" t="s">
        <v>13</v>
      </c>
      <c r="E1768" s="11">
        <v>-4</v>
      </c>
      <c r="F1768" s="11">
        <f t="shared" si="55"/>
        <v>-4</v>
      </c>
      <c r="G1768" s="11" t="s">
        <v>14</v>
      </c>
      <c r="H1768" s="11" t="s">
        <v>67</v>
      </c>
      <c r="I1768" s="11" t="s">
        <v>21</v>
      </c>
      <c r="J1768" s="11">
        <v>11</v>
      </c>
      <c r="K1768" s="11">
        <v>22</v>
      </c>
      <c r="L1768" s="11"/>
      <c r="M1768" s="11">
        <f t="shared" si="54"/>
        <v>44</v>
      </c>
      <c r="N1768" s="11">
        <f>IF(Table1[[#This Row],[Transaction Type]]="Sale",ABS(E1768)*K1768,0)</f>
        <v>88</v>
      </c>
      <c r="O1768" s="29">
        <f>IF(Table1[[#This Row],[Transaction Type]]="Purchase",E1768*J1768,0)</f>
        <v>0</v>
      </c>
    </row>
    <row r="1769" spans="1:15" x14ac:dyDescent="0.35">
      <c r="A1769" s="27" t="s">
        <v>2449</v>
      </c>
      <c r="B1769" s="12">
        <v>46196</v>
      </c>
      <c r="C1769" s="11" t="s">
        <v>48</v>
      </c>
      <c r="D1769" s="11" t="s">
        <v>13</v>
      </c>
      <c r="E1769" s="11">
        <v>-15</v>
      </c>
      <c r="F1769" s="11">
        <f t="shared" si="55"/>
        <v>-15</v>
      </c>
      <c r="G1769" s="11" t="s">
        <v>24</v>
      </c>
      <c r="H1769" s="11" t="s">
        <v>49</v>
      </c>
      <c r="I1769" s="11" t="s">
        <v>21</v>
      </c>
      <c r="J1769" s="11">
        <v>8.5</v>
      </c>
      <c r="K1769" s="11">
        <v>18</v>
      </c>
      <c r="L1769" s="11"/>
      <c r="M1769" s="11">
        <f t="shared" si="54"/>
        <v>127.5</v>
      </c>
      <c r="N1769" s="11">
        <f>IF(Table1[[#This Row],[Transaction Type]]="Sale",ABS(E1769)*K1769,0)</f>
        <v>270</v>
      </c>
      <c r="O1769" s="29">
        <f>IF(Table1[[#This Row],[Transaction Type]]="Purchase",E1769*J1769,0)</f>
        <v>0</v>
      </c>
    </row>
    <row r="1770" spans="1:15" x14ac:dyDescent="0.35">
      <c r="A1770" s="27" t="s">
        <v>2450</v>
      </c>
      <c r="B1770" s="12">
        <v>46197</v>
      </c>
      <c r="C1770" s="11" t="s">
        <v>23</v>
      </c>
      <c r="D1770" s="11" t="s">
        <v>40</v>
      </c>
      <c r="E1770" s="11">
        <v>62</v>
      </c>
      <c r="F1770" s="11">
        <f t="shared" si="55"/>
        <v>62</v>
      </c>
      <c r="G1770" s="11" t="s">
        <v>19</v>
      </c>
      <c r="H1770" s="11" t="s">
        <v>25</v>
      </c>
      <c r="I1770" s="11" t="s">
        <v>26</v>
      </c>
      <c r="J1770" s="11">
        <v>3</v>
      </c>
      <c r="K1770" s="11">
        <v>7</v>
      </c>
      <c r="L1770" s="11" t="s">
        <v>2451</v>
      </c>
      <c r="M1770" s="11">
        <f t="shared" si="54"/>
        <v>186</v>
      </c>
      <c r="N1770" s="11">
        <f>IF(Table1[[#This Row],[Transaction Type]]="Sale",ABS(E1770)*K1770,0)</f>
        <v>0</v>
      </c>
      <c r="O1770" s="29">
        <f>IF(Table1[[#This Row],[Transaction Type]]="Purchase",E1770*J1770,0)</f>
        <v>186</v>
      </c>
    </row>
    <row r="1771" spans="1:15" x14ac:dyDescent="0.35">
      <c r="A1771" s="27" t="s">
        <v>2452</v>
      </c>
      <c r="B1771" s="12">
        <v>46197</v>
      </c>
      <c r="C1771" s="11" t="s">
        <v>48</v>
      </c>
      <c r="D1771" s="11" t="s">
        <v>66</v>
      </c>
      <c r="E1771" s="11">
        <v>1</v>
      </c>
      <c r="F1771" s="11">
        <f t="shared" si="55"/>
        <v>1</v>
      </c>
      <c r="G1771" s="11" t="s">
        <v>14</v>
      </c>
      <c r="H1771" s="11" t="s">
        <v>49</v>
      </c>
      <c r="I1771" s="11" t="s">
        <v>21</v>
      </c>
      <c r="J1771" s="11">
        <v>8.5</v>
      </c>
      <c r="K1771" s="11">
        <v>18</v>
      </c>
      <c r="L1771" s="11"/>
      <c r="M1771" s="11">
        <f t="shared" si="54"/>
        <v>8.5</v>
      </c>
      <c r="N1771" s="11">
        <f>IF(Table1[[#This Row],[Transaction Type]]="Sale",ABS(E1771)*K1771,0)</f>
        <v>0</v>
      </c>
      <c r="O1771" s="29">
        <f>IF(Table1[[#This Row],[Transaction Type]]="Purchase",E1771*J1771,0)</f>
        <v>0</v>
      </c>
    </row>
    <row r="1772" spans="1:15" x14ac:dyDescent="0.35">
      <c r="A1772" s="27" t="s">
        <v>2453</v>
      </c>
      <c r="B1772" s="12">
        <v>46198</v>
      </c>
      <c r="C1772" s="11" t="s">
        <v>141</v>
      </c>
      <c r="D1772" s="11" t="s">
        <v>40</v>
      </c>
      <c r="E1772" s="11">
        <v>45</v>
      </c>
      <c r="F1772" s="11">
        <f t="shared" si="55"/>
        <v>45</v>
      </c>
      <c r="G1772" s="11" t="s">
        <v>14</v>
      </c>
      <c r="H1772" s="11" t="s">
        <v>25</v>
      </c>
      <c r="I1772" s="11" t="s">
        <v>26</v>
      </c>
      <c r="J1772" s="11">
        <v>4</v>
      </c>
      <c r="K1772" s="11">
        <v>9</v>
      </c>
      <c r="L1772" s="11" t="s">
        <v>2454</v>
      </c>
      <c r="M1772" s="11">
        <f t="shared" si="54"/>
        <v>180</v>
      </c>
      <c r="N1772" s="11">
        <f>IF(Table1[[#This Row],[Transaction Type]]="Sale",ABS(E1772)*K1772,0)</f>
        <v>0</v>
      </c>
      <c r="O1772" s="29">
        <f>IF(Table1[[#This Row],[Transaction Type]]="Purchase",E1772*J1772,0)</f>
        <v>180</v>
      </c>
    </row>
    <row r="1773" spans="1:15" x14ac:dyDescent="0.35">
      <c r="A1773" s="27" t="s">
        <v>2455</v>
      </c>
      <c r="B1773" s="12">
        <v>46198</v>
      </c>
      <c r="C1773" s="11" t="s">
        <v>77</v>
      </c>
      <c r="D1773" s="11" t="s">
        <v>13</v>
      </c>
      <c r="E1773" s="11">
        <v>-13</v>
      </c>
      <c r="F1773" s="11">
        <f t="shared" si="55"/>
        <v>-13</v>
      </c>
      <c r="G1773" s="11" t="s">
        <v>14</v>
      </c>
      <c r="H1773" s="11" t="s">
        <v>78</v>
      </c>
      <c r="I1773" s="11" t="s">
        <v>16</v>
      </c>
      <c r="J1773" s="11">
        <v>25</v>
      </c>
      <c r="K1773" s="11">
        <v>42</v>
      </c>
      <c r="L1773" s="11"/>
      <c r="M1773" s="11">
        <f t="shared" si="54"/>
        <v>325</v>
      </c>
      <c r="N1773" s="11">
        <f>IF(Table1[[#This Row],[Transaction Type]]="Sale",ABS(E1773)*K1773,0)</f>
        <v>546</v>
      </c>
      <c r="O1773" s="29">
        <f>IF(Table1[[#This Row],[Transaction Type]]="Purchase",E1773*J1773,0)</f>
        <v>0</v>
      </c>
    </row>
    <row r="1774" spans="1:15" x14ac:dyDescent="0.35">
      <c r="A1774" s="27" t="s">
        <v>2456</v>
      </c>
      <c r="B1774" s="12">
        <v>46198</v>
      </c>
      <c r="C1774" s="11" t="s">
        <v>29</v>
      </c>
      <c r="D1774" s="11" t="s">
        <v>13</v>
      </c>
      <c r="E1774" s="11">
        <v>-11</v>
      </c>
      <c r="F1774" s="11">
        <f t="shared" si="55"/>
        <v>-11</v>
      </c>
      <c r="G1774" s="11" t="s">
        <v>24</v>
      </c>
      <c r="H1774" s="11" t="s">
        <v>30</v>
      </c>
      <c r="I1774" s="11" t="s">
        <v>16</v>
      </c>
      <c r="J1774" s="11">
        <v>8.8000000000000007</v>
      </c>
      <c r="K1774" s="11">
        <v>17</v>
      </c>
      <c r="L1774" s="11"/>
      <c r="M1774" s="11">
        <f t="shared" si="54"/>
        <v>96.800000000000011</v>
      </c>
      <c r="N1774" s="11">
        <f>IF(Table1[[#This Row],[Transaction Type]]="Sale",ABS(E1774)*K1774,0)</f>
        <v>187</v>
      </c>
      <c r="O1774" s="29">
        <f>IF(Table1[[#This Row],[Transaction Type]]="Purchase",E1774*J1774,0)</f>
        <v>0</v>
      </c>
    </row>
    <row r="1775" spans="1:15" x14ac:dyDescent="0.35">
      <c r="A1775" s="27" t="s">
        <v>2457</v>
      </c>
      <c r="B1775" s="12">
        <v>46198</v>
      </c>
      <c r="C1775" s="11" t="s">
        <v>98</v>
      </c>
      <c r="D1775" s="11" t="s">
        <v>13</v>
      </c>
      <c r="E1775" s="11">
        <v>-12</v>
      </c>
      <c r="F1775" s="11">
        <f t="shared" si="55"/>
        <v>-12</v>
      </c>
      <c r="G1775" s="11" t="s">
        <v>24</v>
      </c>
      <c r="H1775" s="11" t="s">
        <v>30</v>
      </c>
      <c r="I1775" s="11" t="s">
        <v>16</v>
      </c>
      <c r="J1775" s="11">
        <v>16</v>
      </c>
      <c r="K1775" s="11">
        <v>29</v>
      </c>
      <c r="L1775" s="11"/>
      <c r="M1775" s="11">
        <f t="shared" si="54"/>
        <v>192</v>
      </c>
      <c r="N1775" s="11">
        <f>IF(Table1[[#This Row],[Transaction Type]]="Sale",ABS(E1775)*K1775,0)</f>
        <v>348</v>
      </c>
      <c r="O1775" s="29">
        <f>IF(Table1[[#This Row],[Transaction Type]]="Purchase",E1775*J1775,0)</f>
        <v>0</v>
      </c>
    </row>
    <row r="1776" spans="1:15" x14ac:dyDescent="0.35">
      <c r="A1776" s="27" t="s">
        <v>2458</v>
      </c>
      <c r="B1776" s="12">
        <v>46198</v>
      </c>
      <c r="C1776" s="11" t="s">
        <v>43</v>
      </c>
      <c r="D1776" s="11" t="s">
        <v>13</v>
      </c>
      <c r="E1776" s="11">
        <v>-3</v>
      </c>
      <c r="F1776" s="11">
        <f t="shared" si="55"/>
        <v>-3</v>
      </c>
      <c r="G1776" s="11" t="s">
        <v>19</v>
      </c>
      <c r="H1776" s="11" t="s">
        <v>44</v>
      </c>
      <c r="I1776" s="11" t="s">
        <v>45</v>
      </c>
      <c r="J1776" s="11">
        <v>5.2</v>
      </c>
      <c r="K1776" s="11">
        <v>11</v>
      </c>
      <c r="L1776" s="11"/>
      <c r="M1776" s="11">
        <f t="shared" si="54"/>
        <v>15.600000000000001</v>
      </c>
      <c r="N1776" s="11">
        <f>IF(Table1[[#This Row],[Transaction Type]]="Sale",ABS(E1776)*K1776,0)</f>
        <v>33</v>
      </c>
      <c r="O1776" s="29">
        <f>IF(Table1[[#This Row],[Transaction Type]]="Purchase",E1776*J1776,0)</f>
        <v>0</v>
      </c>
    </row>
    <row r="1777" spans="1:15" x14ac:dyDescent="0.35">
      <c r="A1777" s="27" t="s">
        <v>2459</v>
      </c>
      <c r="B1777" s="12">
        <v>46199</v>
      </c>
      <c r="C1777" s="11" t="s">
        <v>32</v>
      </c>
      <c r="D1777" s="11" t="s">
        <v>13</v>
      </c>
      <c r="E1777" s="11">
        <v>-10</v>
      </c>
      <c r="F1777" s="11">
        <f t="shared" si="55"/>
        <v>-10</v>
      </c>
      <c r="G1777" s="11" t="s">
        <v>14</v>
      </c>
      <c r="H1777" s="11" t="s">
        <v>33</v>
      </c>
      <c r="I1777" s="11" t="s">
        <v>34</v>
      </c>
      <c r="J1777" s="11">
        <v>20</v>
      </c>
      <c r="K1777" s="11">
        <v>35</v>
      </c>
      <c r="L1777" s="11"/>
      <c r="M1777" s="11">
        <f t="shared" si="54"/>
        <v>200</v>
      </c>
      <c r="N1777" s="11">
        <f>IF(Table1[[#This Row],[Transaction Type]]="Sale",ABS(E1777)*K1777,0)</f>
        <v>350</v>
      </c>
      <c r="O1777" s="29">
        <f>IF(Table1[[#This Row],[Transaction Type]]="Purchase",E1777*J1777,0)</f>
        <v>0</v>
      </c>
    </row>
    <row r="1778" spans="1:15" x14ac:dyDescent="0.35">
      <c r="A1778" s="27" t="s">
        <v>2460</v>
      </c>
      <c r="B1778" s="12">
        <v>46199</v>
      </c>
      <c r="C1778" s="11" t="s">
        <v>109</v>
      </c>
      <c r="D1778" s="11" t="s">
        <v>13</v>
      </c>
      <c r="E1778" s="11">
        <v>-12</v>
      </c>
      <c r="F1778" s="11">
        <f t="shared" si="55"/>
        <v>-12</v>
      </c>
      <c r="G1778" s="11" t="s">
        <v>24</v>
      </c>
      <c r="H1778" s="11" t="s">
        <v>110</v>
      </c>
      <c r="I1778" s="11" t="s">
        <v>26</v>
      </c>
      <c r="J1778" s="11">
        <v>105</v>
      </c>
      <c r="K1778" s="11">
        <v>165</v>
      </c>
      <c r="L1778" s="11"/>
      <c r="M1778" s="11">
        <f t="shared" si="54"/>
        <v>1260</v>
      </c>
      <c r="N1778" s="11">
        <f>IF(Table1[[#This Row],[Transaction Type]]="Sale",ABS(E1778)*K1778,0)</f>
        <v>1980</v>
      </c>
      <c r="O1778" s="29">
        <f>IF(Table1[[#This Row],[Transaction Type]]="Purchase",E1778*J1778,0)</f>
        <v>0</v>
      </c>
    </row>
    <row r="1779" spans="1:15" x14ac:dyDescent="0.35">
      <c r="A1779" s="27" t="s">
        <v>2461</v>
      </c>
      <c r="B1779" s="12">
        <v>46199</v>
      </c>
      <c r="C1779" s="11" t="s">
        <v>185</v>
      </c>
      <c r="D1779" s="11" t="s">
        <v>13</v>
      </c>
      <c r="E1779" s="11">
        <v>-7</v>
      </c>
      <c r="F1779" s="11">
        <f t="shared" si="55"/>
        <v>-7</v>
      </c>
      <c r="G1779" s="11" t="s">
        <v>14</v>
      </c>
      <c r="H1779" s="11" t="s">
        <v>44</v>
      </c>
      <c r="I1779" s="11" t="s">
        <v>45</v>
      </c>
      <c r="J1779" s="11">
        <v>63</v>
      </c>
      <c r="K1779" s="11">
        <v>95</v>
      </c>
      <c r="L1779" s="11"/>
      <c r="M1779" s="11">
        <f t="shared" si="54"/>
        <v>441</v>
      </c>
      <c r="N1779" s="11">
        <f>IF(Table1[[#This Row],[Transaction Type]]="Sale",ABS(E1779)*K1779,0)</f>
        <v>665</v>
      </c>
      <c r="O1779" s="29">
        <f>IF(Table1[[#This Row],[Transaction Type]]="Purchase",E1779*J1779,0)</f>
        <v>0</v>
      </c>
    </row>
    <row r="1780" spans="1:15" x14ac:dyDescent="0.35">
      <c r="A1780" s="27" t="s">
        <v>2462</v>
      </c>
      <c r="B1780" s="12">
        <v>46200</v>
      </c>
      <c r="C1780" s="11" t="s">
        <v>170</v>
      </c>
      <c r="D1780" s="11" t="s">
        <v>13</v>
      </c>
      <c r="E1780" s="11">
        <v>-7</v>
      </c>
      <c r="F1780" s="11">
        <f t="shared" si="55"/>
        <v>-7</v>
      </c>
      <c r="G1780" s="11" t="s">
        <v>24</v>
      </c>
      <c r="H1780" s="11" t="s">
        <v>171</v>
      </c>
      <c r="I1780" s="11" t="s">
        <v>34</v>
      </c>
      <c r="J1780" s="11">
        <v>25</v>
      </c>
      <c r="K1780" s="11">
        <v>45</v>
      </c>
      <c r="L1780" s="11"/>
      <c r="M1780" s="11">
        <f t="shared" si="54"/>
        <v>175</v>
      </c>
      <c r="N1780" s="11">
        <f>IF(Table1[[#This Row],[Transaction Type]]="Sale",ABS(E1780)*K1780,0)</f>
        <v>315</v>
      </c>
      <c r="O1780" s="29">
        <f>IF(Table1[[#This Row],[Transaction Type]]="Purchase",E1780*J1780,0)</f>
        <v>0</v>
      </c>
    </row>
    <row r="1781" spans="1:15" x14ac:dyDescent="0.35">
      <c r="A1781" s="27" t="s">
        <v>2463</v>
      </c>
      <c r="B1781" s="12">
        <v>46200</v>
      </c>
      <c r="C1781" s="11" t="s">
        <v>141</v>
      </c>
      <c r="D1781" s="11" t="s">
        <v>13</v>
      </c>
      <c r="E1781" s="11">
        <v>-8</v>
      </c>
      <c r="F1781" s="11">
        <f t="shared" si="55"/>
        <v>-8</v>
      </c>
      <c r="G1781" s="11" t="s">
        <v>24</v>
      </c>
      <c r="H1781" s="11" t="s">
        <v>25</v>
      </c>
      <c r="I1781" s="11" t="s">
        <v>26</v>
      </c>
      <c r="J1781" s="11">
        <v>4</v>
      </c>
      <c r="K1781" s="11">
        <v>9</v>
      </c>
      <c r="L1781" s="11"/>
      <c r="M1781" s="11">
        <f t="shared" si="54"/>
        <v>32</v>
      </c>
      <c r="N1781" s="11">
        <f>IF(Table1[[#This Row],[Transaction Type]]="Sale",ABS(E1781)*K1781,0)</f>
        <v>72</v>
      </c>
      <c r="O1781" s="29">
        <f>IF(Table1[[#This Row],[Transaction Type]]="Purchase",E1781*J1781,0)</f>
        <v>0</v>
      </c>
    </row>
    <row r="1782" spans="1:15" x14ac:dyDescent="0.35">
      <c r="A1782" s="27" t="s">
        <v>2464</v>
      </c>
      <c r="B1782" s="12">
        <v>46200</v>
      </c>
      <c r="C1782" s="11" t="s">
        <v>29</v>
      </c>
      <c r="D1782" s="11" t="s">
        <v>40</v>
      </c>
      <c r="E1782" s="11">
        <v>20</v>
      </c>
      <c r="F1782" s="11">
        <f t="shared" si="55"/>
        <v>20</v>
      </c>
      <c r="G1782" s="11" t="s">
        <v>24</v>
      </c>
      <c r="H1782" s="11" t="s">
        <v>30</v>
      </c>
      <c r="I1782" s="11" t="s">
        <v>16</v>
      </c>
      <c r="J1782" s="11">
        <v>8.8000000000000007</v>
      </c>
      <c r="K1782" s="11">
        <v>17</v>
      </c>
      <c r="L1782" s="11" t="s">
        <v>2465</v>
      </c>
      <c r="M1782" s="11">
        <f t="shared" si="54"/>
        <v>176</v>
      </c>
      <c r="N1782" s="11">
        <f>IF(Table1[[#This Row],[Transaction Type]]="Sale",ABS(E1782)*K1782,0)</f>
        <v>0</v>
      </c>
      <c r="O1782" s="29">
        <f>IF(Table1[[#This Row],[Transaction Type]]="Purchase",E1782*J1782,0)</f>
        <v>176</v>
      </c>
    </row>
    <row r="1783" spans="1:15" x14ac:dyDescent="0.35">
      <c r="A1783" s="27" t="s">
        <v>2466</v>
      </c>
      <c r="B1783" s="12">
        <v>46200</v>
      </c>
      <c r="C1783" s="11" t="s">
        <v>43</v>
      </c>
      <c r="D1783" s="11" t="s">
        <v>58</v>
      </c>
      <c r="E1783" s="11">
        <v>-20</v>
      </c>
      <c r="F1783" s="11">
        <f t="shared" si="55"/>
        <v>-20</v>
      </c>
      <c r="G1783" s="11" t="s">
        <v>14</v>
      </c>
      <c r="H1783" s="11" t="s">
        <v>44</v>
      </c>
      <c r="I1783" s="11" t="s">
        <v>45</v>
      </c>
      <c r="J1783" s="11">
        <v>5.2</v>
      </c>
      <c r="K1783" s="11">
        <v>11</v>
      </c>
      <c r="L1783" s="11"/>
      <c r="M1783" s="11">
        <f t="shared" si="54"/>
        <v>104</v>
      </c>
      <c r="N1783" s="11">
        <f>IF(Table1[[#This Row],[Transaction Type]]="Sale",ABS(E1783)*K1783,0)</f>
        <v>0</v>
      </c>
      <c r="O1783" s="29">
        <f>IF(Table1[[#This Row],[Transaction Type]]="Purchase",E1783*J1783,0)</f>
        <v>0</v>
      </c>
    </row>
    <row r="1784" spans="1:15" x14ac:dyDescent="0.35">
      <c r="A1784" s="27" t="s">
        <v>2467</v>
      </c>
      <c r="B1784" s="12">
        <v>46201</v>
      </c>
      <c r="C1784" s="11" t="s">
        <v>65</v>
      </c>
      <c r="D1784" s="11" t="s">
        <v>40</v>
      </c>
      <c r="E1784" s="11">
        <v>118</v>
      </c>
      <c r="F1784" s="11">
        <f t="shared" si="55"/>
        <v>118</v>
      </c>
      <c r="G1784" s="11" t="s">
        <v>24</v>
      </c>
      <c r="H1784" s="11" t="s">
        <v>67</v>
      </c>
      <c r="I1784" s="11" t="s">
        <v>21</v>
      </c>
      <c r="J1784" s="11">
        <v>11</v>
      </c>
      <c r="K1784" s="11">
        <v>22</v>
      </c>
      <c r="L1784" s="11" t="s">
        <v>2468</v>
      </c>
      <c r="M1784" s="11">
        <f t="shared" si="54"/>
        <v>1298</v>
      </c>
      <c r="N1784" s="11">
        <f>IF(Table1[[#This Row],[Transaction Type]]="Sale",ABS(E1784)*K1784,0)</f>
        <v>0</v>
      </c>
      <c r="O1784" s="29">
        <f>IF(Table1[[#This Row],[Transaction Type]]="Purchase",E1784*J1784,0)</f>
        <v>1298</v>
      </c>
    </row>
    <row r="1785" spans="1:15" x14ac:dyDescent="0.35">
      <c r="A1785" s="27" t="s">
        <v>2469</v>
      </c>
      <c r="B1785" s="12">
        <v>46201</v>
      </c>
      <c r="C1785" s="11" t="s">
        <v>194</v>
      </c>
      <c r="D1785" s="11" t="s">
        <v>13</v>
      </c>
      <c r="E1785" s="11">
        <v>-14</v>
      </c>
      <c r="F1785" s="11">
        <f t="shared" si="55"/>
        <v>-14</v>
      </c>
      <c r="G1785" s="11" t="s">
        <v>14</v>
      </c>
      <c r="H1785" s="11" t="s">
        <v>195</v>
      </c>
      <c r="I1785" s="11" t="s">
        <v>21</v>
      </c>
      <c r="J1785" s="11">
        <v>220</v>
      </c>
      <c r="K1785" s="11">
        <v>320</v>
      </c>
      <c r="L1785" s="11"/>
      <c r="M1785" s="11">
        <f t="shared" si="54"/>
        <v>3080</v>
      </c>
      <c r="N1785" s="11">
        <f>IF(Table1[[#This Row],[Transaction Type]]="Sale",ABS(E1785)*K1785,0)</f>
        <v>4480</v>
      </c>
      <c r="O1785" s="29">
        <f>IF(Table1[[#This Row],[Transaction Type]]="Purchase",E1785*J1785,0)</f>
        <v>0</v>
      </c>
    </row>
    <row r="1786" spans="1:15" x14ac:dyDescent="0.35">
      <c r="A1786" s="27" t="s">
        <v>2470</v>
      </c>
      <c r="B1786" s="12">
        <v>46202</v>
      </c>
      <c r="C1786" s="11" t="s">
        <v>23</v>
      </c>
      <c r="D1786" s="11" t="s">
        <v>40</v>
      </c>
      <c r="E1786" s="11">
        <v>62</v>
      </c>
      <c r="F1786" s="11">
        <f t="shared" si="55"/>
        <v>62</v>
      </c>
      <c r="G1786" s="11" t="s">
        <v>19</v>
      </c>
      <c r="H1786" s="11" t="s">
        <v>25</v>
      </c>
      <c r="I1786" s="11" t="s">
        <v>26</v>
      </c>
      <c r="J1786" s="11">
        <v>3</v>
      </c>
      <c r="K1786" s="11">
        <v>7</v>
      </c>
      <c r="L1786" s="11" t="s">
        <v>2471</v>
      </c>
      <c r="M1786" s="11">
        <f t="shared" si="54"/>
        <v>186</v>
      </c>
      <c r="N1786" s="11">
        <f>IF(Table1[[#This Row],[Transaction Type]]="Sale",ABS(E1786)*K1786,0)</f>
        <v>0</v>
      </c>
      <c r="O1786" s="29">
        <f>IF(Table1[[#This Row],[Transaction Type]]="Purchase",E1786*J1786,0)</f>
        <v>186</v>
      </c>
    </row>
    <row r="1787" spans="1:15" x14ac:dyDescent="0.35">
      <c r="A1787" s="27" t="s">
        <v>2472</v>
      </c>
      <c r="B1787" s="12">
        <v>46202</v>
      </c>
      <c r="C1787" s="11" t="s">
        <v>36</v>
      </c>
      <c r="D1787" s="11" t="s">
        <v>13</v>
      </c>
      <c r="E1787" s="11">
        <v>-2</v>
      </c>
      <c r="F1787" s="11">
        <f t="shared" si="55"/>
        <v>-2</v>
      </c>
      <c r="G1787" s="11" t="s">
        <v>14</v>
      </c>
      <c r="H1787" s="11" t="s">
        <v>37</v>
      </c>
      <c r="I1787" s="11" t="s">
        <v>16</v>
      </c>
      <c r="J1787" s="11">
        <v>7.2</v>
      </c>
      <c r="K1787" s="11">
        <v>12.5</v>
      </c>
      <c r="L1787" s="11"/>
      <c r="M1787" s="11">
        <f t="shared" si="54"/>
        <v>14.4</v>
      </c>
      <c r="N1787" s="11">
        <f>IF(Table1[[#This Row],[Transaction Type]]="Sale",ABS(E1787)*K1787,0)</f>
        <v>25</v>
      </c>
      <c r="O1787" s="29">
        <f>IF(Table1[[#This Row],[Transaction Type]]="Purchase",E1787*J1787,0)</f>
        <v>0</v>
      </c>
    </row>
    <row r="1788" spans="1:15" x14ac:dyDescent="0.35">
      <c r="A1788" s="27" t="s">
        <v>2473</v>
      </c>
      <c r="B1788" s="12">
        <v>46203</v>
      </c>
      <c r="C1788" s="11" t="s">
        <v>52</v>
      </c>
      <c r="D1788" s="11" t="s">
        <v>13</v>
      </c>
      <c r="E1788" s="11">
        <v>-9</v>
      </c>
      <c r="F1788" s="11">
        <f t="shared" si="55"/>
        <v>-9</v>
      </c>
      <c r="G1788" s="11" t="s">
        <v>14</v>
      </c>
      <c r="H1788" s="11" t="s">
        <v>20</v>
      </c>
      <c r="I1788" s="11" t="s">
        <v>21</v>
      </c>
      <c r="J1788" s="11">
        <v>5.5</v>
      </c>
      <c r="K1788" s="11">
        <v>12</v>
      </c>
      <c r="L1788" s="11"/>
      <c r="M1788" s="11">
        <f t="shared" si="54"/>
        <v>49.5</v>
      </c>
      <c r="N1788" s="11">
        <f>IF(Table1[[#This Row],[Transaction Type]]="Sale",ABS(E1788)*K1788,0)</f>
        <v>108</v>
      </c>
      <c r="O1788" s="29">
        <f>IF(Table1[[#This Row],[Transaction Type]]="Purchase",E1788*J1788,0)</f>
        <v>0</v>
      </c>
    </row>
    <row r="1789" spans="1:15" x14ac:dyDescent="0.35">
      <c r="A1789" s="27" t="s">
        <v>2474</v>
      </c>
      <c r="B1789" s="12">
        <v>46203</v>
      </c>
      <c r="C1789" s="11" t="s">
        <v>170</v>
      </c>
      <c r="D1789" s="11" t="s">
        <v>40</v>
      </c>
      <c r="E1789" s="11">
        <v>104</v>
      </c>
      <c r="F1789" s="11">
        <f t="shared" si="55"/>
        <v>104</v>
      </c>
      <c r="G1789" s="11" t="s">
        <v>14</v>
      </c>
      <c r="H1789" s="11" t="s">
        <v>171</v>
      </c>
      <c r="I1789" s="11" t="s">
        <v>34</v>
      </c>
      <c r="J1789" s="11">
        <v>25</v>
      </c>
      <c r="K1789" s="11">
        <v>45</v>
      </c>
      <c r="L1789" s="11" t="s">
        <v>2475</v>
      </c>
      <c r="M1789" s="11">
        <f t="shared" si="54"/>
        <v>2600</v>
      </c>
      <c r="N1789" s="11">
        <f>IF(Table1[[#This Row],[Transaction Type]]="Sale",ABS(E1789)*K1789,0)</f>
        <v>0</v>
      </c>
      <c r="O1789" s="29">
        <f>IF(Table1[[#This Row],[Transaction Type]]="Purchase",E1789*J1789,0)</f>
        <v>2600</v>
      </c>
    </row>
    <row r="1790" spans="1:15" x14ac:dyDescent="0.35">
      <c r="A1790" s="27" t="s">
        <v>2476</v>
      </c>
      <c r="B1790" s="12">
        <v>46203</v>
      </c>
      <c r="C1790" s="11" t="s">
        <v>170</v>
      </c>
      <c r="D1790" s="11" t="s">
        <v>40</v>
      </c>
      <c r="E1790" s="11">
        <v>101</v>
      </c>
      <c r="F1790" s="11">
        <f t="shared" si="55"/>
        <v>101</v>
      </c>
      <c r="G1790" s="11" t="s">
        <v>14</v>
      </c>
      <c r="H1790" s="11" t="s">
        <v>171</v>
      </c>
      <c r="I1790" s="11" t="s">
        <v>34</v>
      </c>
      <c r="J1790" s="11">
        <v>25</v>
      </c>
      <c r="K1790" s="11">
        <v>45</v>
      </c>
      <c r="L1790" s="11" t="s">
        <v>2477</v>
      </c>
      <c r="M1790" s="11">
        <f t="shared" si="54"/>
        <v>2525</v>
      </c>
      <c r="N1790" s="11">
        <f>IF(Table1[[#This Row],[Transaction Type]]="Sale",ABS(E1790)*K1790,0)</f>
        <v>0</v>
      </c>
      <c r="O1790" s="29">
        <f>IF(Table1[[#This Row],[Transaction Type]]="Purchase",E1790*J1790,0)</f>
        <v>2525</v>
      </c>
    </row>
    <row r="1791" spans="1:15" x14ac:dyDescent="0.35">
      <c r="A1791" s="27" t="s">
        <v>2478</v>
      </c>
      <c r="B1791" s="12">
        <v>46203</v>
      </c>
      <c r="C1791" s="11" t="s">
        <v>141</v>
      </c>
      <c r="D1791" s="11" t="s">
        <v>66</v>
      </c>
      <c r="E1791" s="11">
        <v>5</v>
      </c>
      <c r="F1791" s="11">
        <f t="shared" si="55"/>
        <v>5</v>
      </c>
      <c r="G1791" s="11" t="s">
        <v>24</v>
      </c>
      <c r="H1791" s="11" t="s">
        <v>25</v>
      </c>
      <c r="I1791" s="11" t="s">
        <v>26</v>
      </c>
      <c r="J1791" s="11">
        <v>4</v>
      </c>
      <c r="K1791" s="11">
        <v>9</v>
      </c>
      <c r="L1791" s="11"/>
      <c r="M1791" s="11">
        <f t="shared" si="54"/>
        <v>20</v>
      </c>
      <c r="N1791" s="11">
        <f>IF(Table1[[#This Row],[Transaction Type]]="Sale",ABS(E1791)*K1791,0)</f>
        <v>0</v>
      </c>
      <c r="O1791" s="29">
        <f>IF(Table1[[#This Row],[Transaction Type]]="Purchase",E1791*J1791,0)</f>
        <v>0</v>
      </c>
    </row>
    <row r="1792" spans="1:15" x14ac:dyDescent="0.35">
      <c r="A1792" s="27" t="s">
        <v>2479</v>
      </c>
      <c r="B1792" s="12">
        <v>46203</v>
      </c>
      <c r="C1792" s="11" t="s">
        <v>32</v>
      </c>
      <c r="D1792" s="11" t="s">
        <v>13</v>
      </c>
      <c r="E1792" s="11">
        <v>-1</v>
      </c>
      <c r="F1792" s="11">
        <f t="shared" si="55"/>
        <v>-1</v>
      </c>
      <c r="G1792" s="11" t="s">
        <v>14</v>
      </c>
      <c r="H1792" s="11" t="s">
        <v>33</v>
      </c>
      <c r="I1792" s="11" t="s">
        <v>34</v>
      </c>
      <c r="J1792" s="11">
        <v>20</v>
      </c>
      <c r="K1792" s="11">
        <v>35</v>
      </c>
      <c r="L1792" s="11"/>
      <c r="M1792" s="11">
        <f t="shared" si="54"/>
        <v>20</v>
      </c>
      <c r="N1792" s="11">
        <f>IF(Table1[[#This Row],[Transaction Type]]="Sale",ABS(E1792)*K1792,0)</f>
        <v>35</v>
      </c>
      <c r="O1792" s="29">
        <f>IF(Table1[[#This Row],[Transaction Type]]="Purchase",E1792*J1792,0)</f>
        <v>0</v>
      </c>
    </row>
    <row r="1793" spans="1:15" x14ac:dyDescent="0.35">
      <c r="A1793" s="27" t="s">
        <v>2480</v>
      </c>
      <c r="B1793" s="12">
        <v>46203</v>
      </c>
      <c r="C1793" s="11" t="s">
        <v>18</v>
      </c>
      <c r="D1793" s="11" t="s">
        <v>13</v>
      </c>
      <c r="E1793" s="11">
        <v>-12</v>
      </c>
      <c r="F1793" s="11">
        <f t="shared" si="55"/>
        <v>-12</v>
      </c>
      <c r="G1793" s="11" t="s">
        <v>19</v>
      </c>
      <c r="H1793" s="11" t="s">
        <v>20</v>
      </c>
      <c r="I1793" s="11" t="s">
        <v>21</v>
      </c>
      <c r="J1793" s="11">
        <v>2.6</v>
      </c>
      <c r="K1793" s="11">
        <v>5.5</v>
      </c>
      <c r="L1793" s="11"/>
      <c r="M1793" s="11">
        <f t="shared" si="54"/>
        <v>31.200000000000003</v>
      </c>
      <c r="N1793" s="11">
        <f>IF(Table1[[#This Row],[Transaction Type]]="Sale",ABS(E1793)*K1793,0)</f>
        <v>66</v>
      </c>
      <c r="O1793" s="29">
        <f>IF(Table1[[#This Row],[Transaction Type]]="Purchase",E1793*J1793,0)</f>
        <v>0</v>
      </c>
    </row>
    <row r="1794" spans="1:15" x14ac:dyDescent="0.35">
      <c r="A1794" s="27" t="s">
        <v>1245</v>
      </c>
      <c r="B1794" s="12">
        <v>45917</v>
      </c>
      <c r="C1794" s="11" t="s">
        <v>136</v>
      </c>
      <c r="D1794" s="11" t="s">
        <v>13</v>
      </c>
      <c r="E1794" s="11">
        <v>-6</v>
      </c>
      <c r="F1794" s="11">
        <f t="shared" si="55"/>
        <v>-6</v>
      </c>
      <c r="G1794" s="11" t="s">
        <v>24</v>
      </c>
      <c r="H1794" s="11" t="s">
        <v>33</v>
      </c>
      <c r="I1794" s="11" t="s">
        <v>34</v>
      </c>
      <c r="J1794" s="11">
        <v>34</v>
      </c>
      <c r="K1794" s="11">
        <v>55</v>
      </c>
      <c r="L1794" s="11"/>
      <c r="M1794" s="11">
        <f t="shared" si="54"/>
        <v>204</v>
      </c>
      <c r="N1794" s="11">
        <f>IF(Table1[[#This Row],[Transaction Type]]="Sale",ABS(E1794)*K1794,0)</f>
        <v>330</v>
      </c>
      <c r="O1794" s="29">
        <f>IF(Table1[[#This Row],[Transaction Type]]="Purchase",E1794*J1794,0)</f>
        <v>0</v>
      </c>
    </row>
    <row r="1795" spans="1:15" ht="15" thickBot="1" x14ac:dyDescent="0.4">
      <c r="A1795" s="28" t="s">
        <v>1808</v>
      </c>
      <c r="B1795" s="13">
        <v>46051</v>
      </c>
      <c r="C1795" s="14" t="s">
        <v>73</v>
      </c>
      <c r="D1795" s="14" t="s">
        <v>13</v>
      </c>
      <c r="E1795" s="14">
        <v>-5</v>
      </c>
      <c r="F1795" s="14">
        <f t="shared" ref="F1795" si="56">E1795</f>
        <v>-5</v>
      </c>
      <c r="G1795" s="21" t="s">
        <v>19</v>
      </c>
      <c r="H1795" s="14" t="s">
        <v>74</v>
      </c>
      <c r="I1795" s="14" t="s">
        <v>75</v>
      </c>
      <c r="J1795" s="14">
        <v>30</v>
      </c>
      <c r="K1795" s="21">
        <v>48</v>
      </c>
      <c r="L1795" s="14"/>
      <c r="M1795" s="14">
        <f t="shared" si="54"/>
        <v>150</v>
      </c>
      <c r="N1795" s="11">
        <f>IF(Table1[[#This Row],[Transaction Type]]="Sale",ABS(E1795)*K1795,0)</f>
        <v>240</v>
      </c>
      <c r="O1795" s="29">
        <f>IF(Table1[[#This Row],[Transaction Type]]="Purchase",E1795*J1795,0)</f>
        <v>0</v>
      </c>
    </row>
  </sheetData>
  <phoneticPr fontId="7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FD03-C3D0-4FB8-AA2A-ECD372B47189}">
  <dimension ref="B4:AM8"/>
  <sheetViews>
    <sheetView showGridLines="0" tabSelected="1" zoomScale="50" zoomScaleNormal="50" workbookViewId="0">
      <selection activeCell="P124" sqref="P124"/>
    </sheetView>
  </sheetViews>
  <sheetFormatPr defaultRowHeight="14.5" x14ac:dyDescent="0.35"/>
  <cols>
    <col min="1" max="1" width="6.54296875" customWidth="1"/>
    <col min="38" max="38" width="8.7265625" customWidth="1"/>
    <col min="39" max="39" width="6.54296875" customWidth="1"/>
  </cols>
  <sheetData>
    <row r="4" spans="2:39" ht="46" x14ac:dyDescen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2:39" ht="31" x14ac:dyDescent="0.7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spans="2:39" ht="30.5" customHeight="1" x14ac:dyDescent="0.35"/>
    <row r="7" spans="2:39" ht="23.5" customHeight="1" x14ac:dyDescent="0.35"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2:39" ht="23.5" customHeight="1" x14ac:dyDescent="0.35"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7594-598A-4F8D-BDFC-9D9DEF07DAB7}">
  <dimension ref="A1:L26"/>
  <sheetViews>
    <sheetView zoomScale="90" zoomScaleNormal="90" workbookViewId="0">
      <selection activeCell="G27" sqref="G27"/>
    </sheetView>
  </sheetViews>
  <sheetFormatPr defaultRowHeight="14.5" x14ac:dyDescent="0.35"/>
  <cols>
    <col min="1" max="1" width="12.90625" bestFit="1" customWidth="1"/>
    <col min="2" max="2" width="18" bestFit="1" customWidth="1"/>
    <col min="4" max="4" width="12.90625" bestFit="1" customWidth="1"/>
    <col min="5" max="5" width="20.90625" bestFit="1" customWidth="1"/>
    <col min="6" max="6" width="8.81640625" customWidth="1"/>
    <col min="7" max="7" width="17.453125" bestFit="1" customWidth="1"/>
    <col min="8" max="8" width="21.81640625" bestFit="1" customWidth="1"/>
    <col min="9" max="9" width="15.81640625" bestFit="1" customWidth="1"/>
    <col min="11" max="11" width="19.1796875" bestFit="1" customWidth="1"/>
    <col min="12" max="12" width="19" bestFit="1" customWidth="1"/>
    <col min="14" max="14" width="12.36328125" bestFit="1" customWidth="1"/>
    <col min="15" max="15" width="17.6328125" bestFit="1" customWidth="1"/>
  </cols>
  <sheetData>
    <row r="1" spans="1:12" ht="15" thickBot="1" x14ac:dyDescent="0.4"/>
    <row r="2" spans="1:12" ht="14.5" customHeight="1" x14ac:dyDescent="0.35">
      <c r="A2" s="37" t="s">
        <v>2569</v>
      </c>
      <c r="B2" s="38"/>
      <c r="D2" s="37" t="s">
        <v>2570</v>
      </c>
      <c r="E2" s="38"/>
      <c r="G2" s="37" t="s">
        <v>2577</v>
      </c>
      <c r="H2" s="41"/>
      <c r="I2" s="38"/>
      <c r="K2" s="37" t="s">
        <v>2578</v>
      </c>
      <c r="L2" s="38"/>
    </row>
    <row r="3" spans="1:12" ht="14.5" customHeight="1" thickBot="1" x14ac:dyDescent="0.4">
      <c r="A3" s="39"/>
      <c r="B3" s="40"/>
      <c r="D3" s="39"/>
      <c r="E3" s="40"/>
      <c r="G3" s="39"/>
      <c r="H3" s="42"/>
      <c r="I3" s="40"/>
      <c r="K3" s="39"/>
      <c r="L3" s="40"/>
    </row>
    <row r="4" spans="1:12" x14ac:dyDescent="0.35">
      <c r="A4" s="17" t="s">
        <v>2565</v>
      </c>
      <c r="B4" t="s">
        <v>2567</v>
      </c>
      <c r="D4" s="17" t="s">
        <v>2565</v>
      </c>
      <c r="E4" t="s">
        <v>2568</v>
      </c>
      <c r="G4" s="17" t="s">
        <v>2565</v>
      </c>
      <c r="H4" t="s">
        <v>2571</v>
      </c>
      <c r="I4" t="s">
        <v>2572</v>
      </c>
      <c r="K4" s="17" t="s">
        <v>2565</v>
      </c>
      <c r="L4" t="s">
        <v>2567</v>
      </c>
    </row>
    <row r="5" spans="1:12" x14ac:dyDescent="0.35">
      <c r="A5" s="18" t="s">
        <v>2511</v>
      </c>
      <c r="B5" s="20">
        <v>3163</v>
      </c>
      <c r="D5" s="18" t="s">
        <v>61</v>
      </c>
      <c r="E5" s="26">
        <v>8615.6</v>
      </c>
      <c r="G5" s="18" t="s">
        <v>2511</v>
      </c>
      <c r="H5" s="20">
        <v>3646</v>
      </c>
      <c r="I5" s="20">
        <v>533</v>
      </c>
      <c r="K5" s="18" t="s">
        <v>2518</v>
      </c>
      <c r="L5" s="20">
        <v>2562</v>
      </c>
    </row>
    <row r="6" spans="1:12" x14ac:dyDescent="0.35">
      <c r="A6" s="18" t="s">
        <v>2487</v>
      </c>
      <c r="B6" s="20">
        <v>14858</v>
      </c>
      <c r="D6" s="18" t="s">
        <v>88</v>
      </c>
      <c r="E6" s="26">
        <v>10806</v>
      </c>
      <c r="G6" s="18" t="s">
        <v>2487</v>
      </c>
      <c r="H6" s="20">
        <v>18174</v>
      </c>
      <c r="I6" s="20">
        <v>3321</v>
      </c>
      <c r="K6" s="18" t="s">
        <v>2488</v>
      </c>
      <c r="L6" s="20">
        <v>2343</v>
      </c>
    </row>
    <row r="7" spans="1:12" x14ac:dyDescent="0.35">
      <c r="A7" s="18" t="s">
        <v>2497</v>
      </c>
      <c r="B7" s="20">
        <v>552</v>
      </c>
      <c r="D7" s="18" t="s">
        <v>37</v>
      </c>
      <c r="E7" s="26">
        <v>18540.000000000007</v>
      </c>
      <c r="G7" s="18" t="s">
        <v>2497</v>
      </c>
      <c r="H7" s="20">
        <v>859</v>
      </c>
      <c r="I7" s="20">
        <v>295</v>
      </c>
      <c r="K7" s="18" t="s">
        <v>2520</v>
      </c>
      <c r="L7" s="20">
        <v>1923</v>
      </c>
    </row>
    <row r="8" spans="1:12" x14ac:dyDescent="0.35">
      <c r="A8" s="18" t="s">
        <v>2494</v>
      </c>
      <c r="B8" s="20">
        <v>4088</v>
      </c>
      <c r="D8" s="18" t="s">
        <v>20</v>
      </c>
      <c r="E8" s="26">
        <v>18543</v>
      </c>
      <c r="G8" s="18" t="s">
        <v>2494</v>
      </c>
      <c r="H8" s="20">
        <v>5381</v>
      </c>
      <c r="I8" s="20">
        <v>1341</v>
      </c>
      <c r="K8" s="18" t="s">
        <v>2521</v>
      </c>
      <c r="L8" s="20">
        <v>1795</v>
      </c>
    </row>
    <row r="9" spans="1:12" x14ac:dyDescent="0.35">
      <c r="A9" s="18" t="s">
        <v>2519</v>
      </c>
      <c r="B9" s="20">
        <v>4485</v>
      </c>
      <c r="D9" s="18" t="s">
        <v>49</v>
      </c>
      <c r="E9" s="26">
        <v>19397</v>
      </c>
      <c r="G9" s="18" t="s">
        <v>2519</v>
      </c>
      <c r="H9" s="20">
        <v>5532</v>
      </c>
      <c r="I9" s="20">
        <v>1024</v>
      </c>
      <c r="K9" s="18" t="s">
        <v>2515</v>
      </c>
      <c r="L9" s="20">
        <v>1786</v>
      </c>
    </row>
    <row r="10" spans="1:12" x14ac:dyDescent="0.35">
      <c r="A10" s="18" t="s">
        <v>2500</v>
      </c>
      <c r="B10" s="20">
        <v>5630</v>
      </c>
      <c r="D10" s="18" t="s">
        <v>25</v>
      </c>
      <c r="E10" s="26">
        <v>23072</v>
      </c>
      <c r="G10" s="18" t="s">
        <v>2500</v>
      </c>
      <c r="H10" s="20">
        <v>6952</v>
      </c>
      <c r="I10" s="20">
        <v>1428</v>
      </c>
      <c r="K10" s="18" t="s">
        <v>2501</v>
      </c>
      <c r="L10" s="20">
        <v>1762</v>
      </c>
    </row>
    <row r="11" spans="1:12" x14ac:dyDescent="0.35">
      <c r="A11" s="18" t="s">
        <v>5</v>
      </c>
      <c r="B11" s="20">
        <v>1795</v>
      </c>
      <c r="D11" s="18" t="s">
        <v>95</v>
      </c>
      <c r="E11" s="26">
        <v>24235</v>
      </c>
      <c r="G11" s="18" t="s">
        <v>5</v>
      </c>
      <c r="H11" s="20">
        <v>2087</v>
      </c>
      <c r="I11" s="20">
        <v>286</v>
      </c>
      <c r="K11" s="18" t="s">
        <v>2486</v>
      </c>
      <c r="L11" s="20">
        <v>1733</v>
      </c>
    </row>
    <row r="12" spans="1:12" x14ac:dyDescent="0.35">
      <c r="A12" s="18" t="s">
        <v>2566</v>
      </c>
      <c r="B12" s="20">
        <v>34571</v>
      </c>
      <c r="D12" s="18" t="s">
        <v>15</v>
      </c>
      <c r="E12" s="26">
        <v>24570</v>
      </c>
      <c r="G12" s="18" t="s">
        <v>2566</v>
      </c>
      <c r="H12" s="20">
        <v>42631</v>
      </c>
      <c r="I12" s="20">
        <v>8228</v>
      </c>
      <c r="K12" s="18" t="s">
        <v>2490</v>
      </c>
      <c r="L12" s="20">
        <v>1591</v>
      </c>
    </row>
    <row r="13" spans="1:12" x14ac:dyDescent="0.35">
      <c r="D13" s="18" t="s">
        <v>67</v>
      </c>
      <c r="E13" s="26">
        <v>26411</v>
      </c>
      <c r="K13" s="18" t="s">
        <v>2512</v>
      </c>
      <c r="L13" s="20">
        <v>1582</v>
      </c>
    </row>
    <row r="14" spans="1:12" ht="15" thickBot="1" x14ac:dyDescent="0.4">
      <c r="D14" s="18" t="s">
        <v>70</v>
      </c>
      <c r="E14" s="26">
        <v>32292</v>
      </c>
      <c r="K14" s="18" t="s">
        <v>2510</v>
      </c>
      <c r="L14" s="20">
        <v>1581</v>
      </c>
    </row>
    <row r="15" spans="1:12" x14ac:dyDescent="0.35">
      <c r="A15" s="37" t="s">
        <v>2554</v>
      </c>
      <c r="B15" s="38"/>
      <c r="D15" s="18" t="s">
        <v>56</v>
      </c>
      <c r="E15" s="26">
        <v>35842.5</v>
      </c>
      <c r="G15" s="43" t="s">
        <v>2574</v>
      </c>
      <c r="H15" s="44"/>
      <c r="K15" s="18" t="s">
        <v>2566</v>
      </c>
      <c r="L15" s="20">
        <v>18658</v>
      </c>
    </row>
    <row r="16" spans="1:12" ht="15" thickBot="1" x14ac:dyDescent="0.4">
      <c r="A16" s="39"/>
      <c r="B16" s="40"/>
      <c r="D16" s="18" t="s">
        <v>30</v>
      </c>
      <c r="E16" s="26">
        <v>39597.599999999999</v>
      </c>
      <c r="G16" s="45"/>
      <c r="H16" s="46"/>
    </row>
    <row r="17" spans="1:8" x14ac:dyDescent="0.35">
      <c r="A17" s="17" t="s">
        <v>2565</v>
      </c>
      <c r="B17" t="s">
        <v>2576</v>
      </c>
      <c r="D17" s="18" t="s">
        <v>171</v>
      </c>
      <c r="E17" s="26">
        <v>50675</v>
      </c>
      <c r="G17" s="17" t="s">
        <v>2565</v>
      </c>
      <c r="H17" t="s">
        <v>2573</v>
      </c>
    </row>
    <row r="18" spans="1:8" x14ac:dyDescent="0.35">
      <c r="A18" s="18" t="s">
        <v>2575</v>
      </c>
      <c r="B18" s="20">
        <v>30</v>
      </c>
      <c r="D18" s="18" t="s">
        <v>228</v>
      </c>
      <c r="E18" s="26">
        <v>60060</v>
      </c>
      <c r="G18" s="18" t="s">
        <v>14</v>
      </c>
      <c r="H18" s="19">
        <v>17372</v>
      </c>
    </row>
    <row r="19" spans="1:8" x14ac:dyDescent="0.35">
      <c r="A19" s="18" t="s">
        <v>2566</v>
      </c>
      <c r="B19" s="20">
        <v>30</v>
      </c>
      <c r="D19" s="18" t="s">
        <v>44</v>
      </c>
      <c r="E19" s="26">
        <v>67589.8</v>
      </c>
      <c r="G19" s="18" t="s">
        <v>24</v>
      </c>
      <c r="H19" s="19">
        <v>9505</v>
      </c>
    </row>
    <row r="20" spans="1:8" x14ac:dyDescent="0.35">
      <c r="D20" s="18" t="s">
        <v>78</v>
      </c>
      <c r="E20" s="26">
        <v>71875</v>
      </c>
      <c r="G20" s="18" t="s">
        <v>19</v>
      </c>
      <c r="H20" s="19">
        <v>7410</v>
      </c>
    </row>
    <row r="21" spans="1:8" x14ac:dyDescent="0.35">
      <c r="D21" s="18" t="s">
        <v>110</v>
      </c>
      <c r="E21" s="26">
        <v>82320</v>
      </c>
      <c r="G21" s="18" t="s">
        <v>2522</v>
      </c>
      <c r="H21" s="19">
        <v>284</v>
      </c>
    </row>
    <row r="22" spans="1:8" x14ac:dyDescent="0.35">
      <c r="D22" s="18" t="s">
        <v>195</v>
      </c>
      <c r="E22" s="26">
        <v>84040</v>
      </c>
      <c r="G22" s="18" t="s">
        <v>2566</v>
      </c>
      <c r="H22" s="19">
        <v>34571</v>
      </c>
    </row>
    <row r="23" spans="1:8" x14ac:dyDescent="0.35">
      <c r="D23" s="18" t="s">
        <v>33</v>
      </c>
      <c r="E23" s="26">
        <v>106056</v>
      </c>
    </row>
    <row r="24" spans="1:8" x14ac:dyDescent="0.35">
      <c r="D24" s="18" t="s">
        <v>84</v>
      </c>
      <c r="E24" s="26">
        <v>161850</v>
      </c>
    </row>
    <row r="25" spans="1:8" x14ac:dyDescent="0.35">
      <c r="D25" s="18" t="s">
        <v>74</v>
      </c>
      <c r="E25" s="26">
        <v>190002</v>
      </c>
    </row>
    <row r="26" spans="1:8" x14ac:dyDescent="0.35">
      <c r="D26" s="18" t="s">
        <v>2566</v>
      </c>
      <c r="E26" s="36">
        <v>1156389.5</v>
      </c>
    </row>
  </sheetData>
  <mergeCells count="6">
    <mergeCell ref="K2:L3"/>
    <mergeCell ref="A2:B3"/>
    <mergeCell ref="D2:E3"/>
    <mergeCell ref="G2:I3"/>
    <mergeCell ref="G15:H16"/>
    <mergeCell ref="A15:B16"/>
  </mergeCell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3BED-2895-4606-9160-7CA7F5842DAC}">
  <dimension ref="A1:P31"/>
  <sheetViews>
    <sheetView zoomScale="80" zoomScaleNormal="80" workbookViewId="0">
      <selection activeCell="L2" sqref="L2"/>
    </sheetView>
  </sheetViews>
  <sheetFormatPr defaultRowHeight="14.5" x14ac:dyDescent="0.35"/>
  <cols>
    <col min="1" max="1" width="9.54296875" bestFit="1" customWidth="1"/>
    <col min="2" max="2" width="20.1796875" bestFit="1" customWidth="1"/>
    <col min="3" max="3" width="13.1796875" bestFit="1" customWidth="1"/>
    <col min="4" max="4" width="10.7265625" bestFit="1" customWidth="1"/>
    <col min="5" max="5" width="12.1796875" bestFit="1" customWidth="1"/>
    <col min="6" max="6" width="10.7265625" bestFit="1" customWidth="1"/>
    <col min="7" max="7" width="13.81640625" bestFit="1" customWidth="1"/>
    <col min="8" max="8" width="14.1796875" bestFit="1" customWidth="1"/>
    <col min="9" max="9" width="9" bestFit="1" customWidth="1"/>
    <col min="10" max="10" width="13.26953125" bestFit="1" customWidth="1"/>
    <col min="11" max="11" width="18.26953125" bestFit="1" customWidth="1"/>
    <col min="12" max="12" width="14.1796875" bestFit="1" customWidth="1"/>
    <col min="13" max="13" width="11.36328125" bestFit="1" customWidth="1"/>
    <col min="14" max="14" width="12.36328125" bestFit="1" customWidth="1"/>
    <col min="15" max="15" width="14.08984375" bestFit="1" customWidth="1"/>
    <col min="16" max="16" width="12.26953125" bestFit="1" customWidth="1"/>
  </cols>
  <sheetData>
    <row r="1" spans="1:16" x14ac:dyDescent="0.35">
      <c r="A1" s="15" t="s">
        <v>2</v>
      </c>
      <c r="B1" s="15" t="s">
        <v>2481</v>
      </c>
      <c r="C1" s="15" t="s">
        <v>2482</v>
      </c>
      <c r="D1" s="15" t="s">
        <v>6</v>
      </c>
      <c r="E1" s="15" t="s">
        <v>2483</v>
      </c>
      <c r="F1" s="15" t="s">
        <v>2484</v>
      </c>
      <c r="G1" s="15" t="s">
        <v>2485</v>
      </c>
      <c r="H1" s="15" t="s">
        <v>2549</v>
      </c>
      <c r="I1" s="15" t="s">
        <v>2550</v>
      </c>
      <c r="J1" s="15" t="s">
        <v>2551</v>
      </c>
      <c r="K1" s="15" t="s">
        <v>2552</v>
      </c>
      <c r="L1" s="15" t="s">
        <v>2546</v>
      </c>
      <c r="M1" s="15" t="s">
        <v>2553</v>
      </c>
      <c r="N1" s="15" t="s">
        <v>2554</v>
      </c>
      <c r="O1" s="15" t="s">
        <v>2555</v>
      </c>
      <c r="P1" t="s">
        <v>2556</v>
      </c>
    </row>
    <row r="2" spans="1:16" x14ac:dyDescent="0.35">
      <c r="A2" t="s">
        <v>36</v>
      </c>
      <c r="B2" t="s">
        <v>2486</v>
      </c>
      <c r="C2" t="s">
        <v>2487</v>
      </c>
      <c r="D2" t="s">
        <v>37</v>
      </c>
      <c r="E2">
        <v>180</v>
      </c>
      <c r="F2">
        <v>60</v>
      </c>
      <c r="G2">
        <v>14</v>
      </c>
      <c r="H2">
        <f>SUMIFS('Cleaned Inventory Data'!$E:$E,'Cleaned Inventory Data'!$C:$C,A2,'Cleaned Inventory Data'!$D:$D,"Purchase")</f>
        <v>2117</v>
      </c>
      <c r="I2">
        <f>ABS(SUMIFS('Cleaned Inventory Data'!$E:$E,'Cleaned Inventory Data'!$C:$C,A2,'Cleaned Inventory Data'!$D:$D,"Sale"))</f>
        <v>383</v>
      </c>
      <c r="J2">
        <f>SUMIFS('Cleaned Inventory Data'!$E:$E,'Cleaned Inventory Data'!$C:$C,A2,'Cleaned Inventory Data'!$D:$D,"Return")</f>
        <v>10</v>
      </c>
      <c r="K2">
        <f>SUMIFS('Cleaned Inventory Data'!$F:$F,'Cleaned Inventory Data'!$C:$C,A2)</f>
        <v>1733</v>
      </c>
      <c r="L2" s="34">
        <f>SUMIFS('Cleaned Inventory Data'!$M:$M,'Cleaned Inventory Data'!$C:$C,A2)</f>
        <v>18540.000000000007</v>
      </c>
      <c r="M2" s="34">
        <f>SUMIFS('Cleaned Inventory Data'!$N:$N,'Cleaned Inventory Data'!$C:$C,A2)</f>
        <v>4787.5</v>
      </c>
      <c r="N2" t="str">
        <f>IF(K2&lt;=F2,"Reorder Required",IF(K2&lt;=E2,"Low Stock","Healthy Stock"))</f>
        <v>Healthy Stock</v>
      </c>
      <c r="O2" t="str">
        <f>IF(K2&lt;=F2,"High",IF(K2&lt;=E2,"Medium","Low"))</f>
        <v>Low</v>
      </c>
      <c r="P2">
        <f>K2</f>
        <v>1733</v>
      </c>
    </row>
    <row r="3" spans="1:16" x14ac:dyDescent="0.35">
      <c r="A3" t="s">
        <v>77</v>
      </c>
      <c r="B3" t="s">
        <v>2488</v>
      </c>
      <c r="C3" t="s">
        <v>2487</v>
      </c>
      <c r="D3" t="s">
        <v>78</v>
      </c>
      <c r="E3">
        <v>120</v>
      </c>
      <c r="F3">
        <v>40</v>
      </c>
      <c r="G3">
        <v>21</v>
      </c>
      <c r="H3">
        <f>SUMIFS('Cleaned Inventory Data'!$E:$E,'Cleaned Inventory Data'!$C:$C,A3,'Cleaned Inventory Data'!$D:$D,"Purchase")</f>
        <v>2586</v>
      </c>
      <c r="I3">
        <f>ABS(SUMIFS('Cleaned Inventory Data'!$E:$E,'Cleaned Inventory Data'!$C:$C,A3,'Cleaned Inventory Data'!$D:$D,"Sale"))</f>
        <v>258</v>
      </c>
      <c r="J3">
        <f>SUMIFS('Cleaned Inventory Data'!$E:$E,'Cleaned Inventory Data'!$C:$C,A3,'Cleaned Inventory Data'!$D:$D,"Return")</f>
        <v>23</v>
      </c>
      <c r="K3">
        <f>SUMIFS('Cleaned Inventory Data'!$F:$F,'Cleaned Inventory Data'!$C:$C,A3)</f>
        <v>2343</v>
      </c>
      <c r="L3" s="34">
        <f>SUMIFS('Cleaned Inventory Data'!$M:$M,'Cleaned Inventory Data'!$C:$C,A3)</f>
        <v>71875</v>
      </c>
      <c r="M3" s="34">
        <f>SUMIFS('Cleaned Inventory Data'!$N:$N,'Cleaned Inventory Data'!$C:$C,A3)</f>
        <v>10836</v>
      </c>
      <c r="N3" t="str">
        <f t="shared" ref="N3:N31" si="0">IF(K3&lt;=F3,"Reorder Required",IF(K3&lt;=E3,"Low Stock","Healthy Stock"))</f>
        <v>Healthy Stock</v>
      </c>
      <c r="O3" t="str">
        <f t="shared" ref="O3:O31" si="1">IF(K3&lt;=F3,"High",IF(K3&lt;=E3,"Medium","Low"))</f>
        <v>Low</v>
      </c>
      <c r="P3">
        <f t="shared" ref="P3:P31" si="2">K3</f>
        <v>2343</v>
      </c>
    </row>
    <row r="4" spans="1:16" x14ac:dyDescent="0.35">
      <c r="A4" t="s">
        <v>139</v>
      </c>
      <c r="B4" t="s">
        <v>2489</v>
      </c>
      <c r="C4" t="s">
        <v>2487</v>
      </c>
      <c r="D4" t="s">
        <v>56</v>
      </c>
      <c r="E4">
        <v>150</v>
      </c>
      <c r="F4">
        <v>50</v>
      </c>
      <c r="G4">
        <v>18</v>
      </c>
      <c r="H4">
        <f>SUMIFS('Cleaned Inventory Data'!$E:$E,'Cleaned Inventory Data'!$C:$C,A4,'Cleaned Inventory Data'!$D:$D,"Purchase")</f>
        <v>1234</v>
      </c>
      <c r="I4">
        <f>ABS(SUMIFS('Cleaned Inventory Data'!$E:$E,'Cleaned Inventory Data'!$C:$C,A4,'Cleaned Inventory Data'!$D:$D,"Sale"))</f>
        <v>338</v>
      </c>
      <c r="J4">
        <f>SUMIFS('Cleaned Inventory Data'!$E:$E,'Cleaned Inventory Data'!$C:$C,A4,'Cleaned Inventory Data'!$D:$D,"Return")</f>
        <v>8</v>
      </c>
      <c r="K4">
        <f>SUMIFS('Cleaned Inventory Data'!$F:$F,'Cleaned Inventory Data'!$C:$C,A4)</f>
        <v>873</v>
      </c>
      <c r="L4" s="34">
        <f>SUMIFS('Cleaned Inventory Data'!$M:$M,'Cleaned Inventory Data'!$C:$C,A4)</f>
        <v>27274.5</v>
      </c>
      <c r="M4" s="34">
        <f>SUMIFS('Cleaned Inventory Data'!$N:$N,'Cleaned Inventory Data'!$C:$C,A4)</f>
        <v>9464</v>
      </c>
      <c r="N4" t="str">
        <f t="shared" si="0"/>
        <v>Healthy Stock</v>
      </c>
      <c r="O4" t="str">
        <f t="shared" si="1"/>
        <v>Low</v>
      </c>
      <c r="P4">
        <f t="shared" si="2"/>
        <v>873</v>
      </c>
    </row>
    <row r="5" spans="1:16" x14ac:dyDescent="0.35">
      <c r="A5" t="s">
        <v>32</v>
      </c>
      <c r="B5" t="s">
        <v>2490</v>
      </c>
      <c r="C5" t="s">
        <v>2487</v>
      </c>
      <c r="D5" t="s">
        <v>33</v>
      </c>
      <c r="E5">
        <v>100</v>
      </c>
      <c r="F5">
        <v>30</v>
      </c>
      <c r="G5">
        <v>20</v>
      </c>
      <c r="H5">
        <f>SUMIFS('Cleaned Inventory Data'!$E:$E,'Cleaned Inventory Data'!$C:$C,A5,'Cleaned Inventory Data'!$D:$D,"Purchase")</f>
        <v>1875</v>
      </c>
      <c r="I5">
        <f>ABS(SUMIFS('Cleaned Inventory Data'!$E:$E,'Cleaned Inventory Data'!$C:$C,A5,'Cleaned Inventory Data'!$D:$D,"Sale"))</f>
        <v>273</v>
      </c>
      <c r="J5">
        <f>SUMIFS('Cleaned Inventory Data'!$E:$E,'Cleaned Inventory Data'!$C:$C,A5,'Cleaned Inventory Data'!$D:$D,"Return")</f>
        <v>2</v>
      </c>
      <c r="K5">
        <f>SUMIFS('Cleaned Inventory Data'!$F:$F,'Cleaned Inventory Data'!$C:$C,A5)</f>
        <v>1591</v>
      </c>
      <c r="L5" s="34">
        <f>SUMIFS('Cleaned Inventory Data'!$M:$M,'Cleaned Inventory Data'!$C:$C,A5)</f>
        <v>43700</v>
      </c>
      <c r="M5" s="34">
        <f>SUMIFS('Cleaned Inventory Data'!$N:$N,'Cleaned Inventory Data'!$C:$C,A5)</f>
        <v>9555</v>
      </c>
      <c r="N5" t="str">
        <f t="shared" si="0"/>
        <v>Healthy Stock</v>
      </c>
      <c r="O5" t="str">
        <f t="shared" si="1"/>
        <v>Low</v>
      </c>
      <c r="P5">
        <f t="shared" si="2"/>
        <v>1591</v>
      </c>
    </row>
    <row r="6" spans="1:16" x14ac:dyDescent="0.35">
      <c r="A6" t="s">
        <v>94</v>
      </c>
      <c r="B6" t="s">
        <v>2491</v>
      </c>
      <c r="C6" t="s">
        <v>2487</v>
      </c>
      <c r="D6" t="s">
        <v>95</v>
      </c>
      <c r="E6">
        <v>90</v>
      </c>
      <c r="F6">
        <v>30</v>
      </c>
      <c r="G6">
        <v>21</v>
      </c>
      <c r="H6">
        <f>SUMIFS('Cleaned Inventory Data'!$E:$E,'Cleaned Inventory Data'!$C:$C,A6,'Cleaned Inventory Data'!$D:$D,"Purchase")</f>
        <v>972</v>
      </c>
      <c r="I6">
        <f>ABS(SUMIFS('Cleaned Inventory Data'!$E:$E,'Cleaned Inventory Data'!$C:$C,A6,'Cleaned Inventory Data'!$D:$D,"Sale"))</f>
        <v>249</v>
      </c>
      <c r="J6">
        <f>SUMIFS('Cleaned Inventory Data'!$E:$E,'Cleaned Inventory Data'!$C:$C,A6,'Cleaned Inventory Data'!$D:$D,"Return")</f>
        <v>4</v>
      </c>
      <c r="K6">
        <f>SUMIFS('Cleaned Inventory Data'!$F:$F,'Cleaned Inventory Data'!$C:$C,A6)</f>
        <v>694</v>
      </c>
      <c r="L6" s="34">
        <f>SUMIFS('Cleaned Inventory Data'!$M:$M,'Cleaned Inventory Data'!$C:$C,A6)</f>
        <v>24235</v>
      </c>
      <c r="M6" s="34">
        <f>SUMIFS('Cleaned Inventory Data'!$N:$N,'Cleaned Inventory Data'!$C:$C,A6)</f>
        <v>7719</v>
      </c>
      <c r="N6" t="str">
        <f t="shared" si="0"/>
        <v>Healthy Stock</v>
      </c>
      <c r="O6" t="str">
        <f t="shared" si="1"/>
        <v>Low</v>
      </c>
      <c r="P6">
        <f t="shared" si="2"/>
        <v>694</v>
      </c>
    </row>
    <row r="7" spans="1:16" x14ac:dyDescent="0.35">
      <c r="A7" t="s">
        <v>83</v>
      </c>
      <c r="B7" t="s">
        <v>2492</v>
      </c>
      <c r="C7" t="s">
        <v>2487</v>
      </c>
      <c r="D7" t="s">
        <v>84</v>
      </c>
      <c r="E7">
        <v>70</v>
      </c>
      <c r="F7">
        <v>20</v>
      </c>
      <c r="G7">
        <v>30</v>
      </c>
      <c r="H7">
        <f>SUMIFS('Cleaned Inventory Data'!$E:$E,'Cleaned Inventory Data'!$C:$C,A7,'Cleaned Inventory Data'!$D:$D,"Purchase")</f>
        <v>1038</v>
      </c>
      <c r="I7">
        <f>ABS(SUMIFS('Cleaned Inventory Data'!$E:$E,'Cleaned Inventory Data'!$C:$C,A7,'Cleaned Inventory Data'!$D:$D,"Sale"))</f>
        <v>194</v>
      </c>
      <c r="J7">
        <f>SUMIFS('Cleaned Inventory Data'!$E:$E,'Cleaned Inventory Data'!$C:$C,A7,'Cleaned Inventory Data'!$D:$D,"Return")</f>
        <v>2</v>
      </c>
      <c r="K7">
        <f>SUMIFS('Cleaned Inventory Data'!$F:$F,'Cleaned Inventory Data'!$C:$C,A7)</f>
        <v>857</v>
      </c>
      <c r="L7" s="34">
        <f>SUMIFS('Cleaned Inventory Data'!$M:$M,'Cleaned Inventory Data'!$C:$C,A7)</f>
        <v>161850</v>
      </c>
      <c r="M7" s="34">
        <f>SUMIFS('Cleaned Inventory Data'!$N:$N,'Cleaned Inventory Data'!$C:$C,A7)</f>
        <v>35890</v>
      </c>
      <c r="N7" t="str">
        <f t="shared" si="0"/>
        <v>Healthy Stock</v>
      </c>
      <c r="O7" t="str">
        <f t="shared" si="1"/>
        <v>Low</v>
      </c>
      <c r="P7">
        <f t="shared" si="2"/>
        <v>857</v>
      </c>
    </row>
    <row r="8" spans="1:16" x14ac:dyDescent="0.35">
      <c r="A8" t="s">
        <v>98</v>
      </c>
      <c r="B8" t="s">
        <v>2493</v>
      </c>
      <c r="C8" t="s">
        <v>2494</v>
      </c>
      <c r="D8" t="s">
        <v>30</v>
      </c>
      <c r="E8">
        <v>110</v>
      </c>
      <c r="F8">
        <v>35</v>
      </c>
      <c r="G8">
        <v>18</v>
      </c>
      <c r="H8">
        <f>SUMIFS('Cleaned Inventory Data'!$E:$E,'Cleaned Inventory Data'!$C:$C,A8,'Cleaned Inventory Data'!$D:$D,"Purchase")</f>
        <v>1056</v>
      </c>
      <c r="I8">
        <f>ABS(SUMIFS('Cleaned Inventory Data'!$E:$E,'Cleaned Inventory Data'!$C:$C,A8,'Cleaned Inventory Data'!$D:$D,"Sale"))</f>
        <v>262</v>
      </c>
      <c r="J8">
        <f>SUMIFS('Cleaned Inventory Data'!$E:$E,'Cleaned Inventory Data'!$C:$C,A8,'Cleaned Inventory Data'!$D:$D,"Return")</f>
        <v>0</v>
      </c>
      <c r="K8">
        <f>SUMIFS('Cleaned Inventory Data'!$F:$F,'Cleaned Inventory Data'!$C:$C,A8)</f>
        <v>794</v>
      </c>
      <c r="L8" s="34">
        <f>SUMIFS('Cleaned Inventory Data'!$M:$M,'Cleaned Inventory Data'!$C:$C,A8)</f>
        <v>21088</v>
      </c>
      <c r="M8" s="34">
        <f>SUMIFS('Cleaned Inventory Data'!$N:$N,'Cleaned Inventory Data'!$C:$C,A8)</f>
        <v>7598</v>
      </c>
      <c r="N8" t="str">
        <f t="shared" si="0"/>
        <v>Healthy Stock</v>
      </c>
      <c r="O8" t="str">
        <f t="shared" si="1"/>
        <v>Low</v>
      </c>
      <c r="P8">
        <f t="shared" si="2"/>
        <v>794</v>
      </c>
    </row>
    <row r="9" spans="1:16" x14ac:dyDescent="0.35">
      <c r="A9" t="s">
        <v>12</v>
      </c>
      <c r="B9" t="s">
        <v>2495</v>
      </c>
      <c r="C9" t="s">
        <v>2494</v>
      </c>
      <c r="D9" t="s">
        <v>15</v>
      </c>
      <c r="E9">
        <v>100</v>
      </c>
      <c r="F9">
        <v>30</v>
      </c>
      <c r="G9">
        <v>15</v>
      </c>
      <c r="H9">
        <f>SUMIFS('Cleaned Inventory Data'!$E:$E,'Cleaned Inventory Data'!$C:$C,A9,'Cleaned Inventory Data'!$D:$D,"Purchase")</f>
        <v>1419</v>
      </c>
      <c r="I9">
        <f>ABS(SUMIFS('Cleaned Inventory Data'!$E:$E,'Cleaned Inventory Data'!$C:$C,A9,'Cleaned Inventory Data'!$D:$D,"Sale"))</f>
        <v>321</v>
      </c>
      <c r="J9">
        <f>SUMIFS('Cleaned Inventory Data'!$E:$E,'Cleaned Inventory Data'!$C:$C,A9,'Cleaned Inventory Data'!$D:$D,"Return")</f>
        <v>7</v>
      </c>
      <c r="K9">
        <f>SUMIFS('Cleaned Inventory Data'!$F:$F,'Cleaned Inventory Data'!$C:$C,A9)</f>
        <v>1090</v>
      </c>
      <c r="L9" s="34">
        <f>SUMIFS('Cleaned Inventory Data'!$M:$M,'Cleaned Inventory Data'!$C:$C,A9)</f>
        <v>24570</v>
      </c>
      <c r="M9" s="34">
        <f>SUMIFS('Cleaned Inventory Data'!$N:$N,'Cleaned Inventory Data'!$C:$C,A9)</f>
        <v>7704</v>
      </c>
      <c r="N9" t="str">
        <f t="shared" si="0"/>
        <v>Healthy Stock</v>
      </c>
      <c r="O9" t="str">
        <f t="shared" si="1"/>
        <v>Low</v>
      </c>
      <c r="P9">
        <f t="shared" si="2"/>
        <v>1090</v>
      </c>
    </row>
    <row r="10" spans="1:16" x14ac:dyDescent="0.35">
      <c r="A10" t="s">
        <v>109</v>
      </c>
      <c r="B10" t="s">
        <v>2496</v>
      </c>
      <c r="C10" t="s">
        <v>2497</v>
      </c>
      <c r="D10" t="s">
        <v>110</v>
      </c>
      <c r="E10">
        <v>45</v>
      </c>
      <c r="F10">
        <v>15</v>
      </c>
      <c r="G10">
        <v>30</v>
      </c>
      <c r="H10">
        <f>SUMIFS('Cleaned Inventory Data'!$E:$E,'Cleaned Inventory Data'!$C:$C,A10,'Cleaned Inventory Data'!$D:$D,"Purchase")</f>
        <v>607</v>
      </c>
      <c r="I10">
        <f>ABS(SUMIFS('Cleaned Inventory Data'!$E:$E,'Cleaned Inventory Data'!$C:$C,A10,'Cleaned Inventory Data'!$D:$D,"Sale"))</f>
        <v>172</v>
      </c>
      <c r="J10">
        <f>SUMIFS('Cleaned Inventory Data'!$E:$E,'Cleaned Inventory Data'!$C:$C,A10,'Cleaned Inventory Data'!$D:$D,"Return")</f>
        <v>0</v>
      </c>
      <c r="K10">
        <f>SUMIFS('Cleaned Inventory Data'!$F:$F,'Cleaned Inventory Data'!$C:$C,A10)</f>
        <v>430</v>
      </c>
      <c r="L10" s="34">
        <f>SUMIFS('Cleaned Inventory Data'!$M:$M,'Cleaned Inventory Data'!$C:$C,A10)</f>
        <v>82320</v>
      </c>
      <c r="M10" s="34">
        <f>SUMIFS('Cleaned Inventory Data'!$N:$N,'Cleaned Inventory Data'!$C:$C,A10)</f>
        <v>28380</v>
      </c>
      <c r="N10" t="str">
        <f t="shared" si="0"/>
        <v>Healthy Stock</v>
      </c>
      <c r="O10" t="str">
        <f t="shared" si="1"/>
        <v>Low</v>
      </c>
      <c r="P10">
        <f t="shared" si="2"/>
        <v>430</v>
      </c>
    </row>
    <row r="11" spans="1:16" x14ac:dyDescent="0.35">
      <c r="A11" t="s">
        <v>194</v>
      </c>
      <c r="B11" t="s">
        <v>2498</v>
      </c>
      <c r="C11" t="s">
        <v>2497</v>
      </c>
      <c r="D11" t="s">
        <v>195</v>
      </c>
      <c r="E11">
        <v>30</v>
      </c>
      <c r="F11">
        <v>10</v>
      </c>
      <c r="G11">
        <v>45</v>
      </c>
      <c r="H11">
        <f>SUMIFS('Cleaned Inventory Data'!$E:$E,'Cleaned Inventory Data'!$C:$C,A11,'Cleaned Inventory Data'!$D:$D,"Purchase")</f>
        <v>252</v>
      </c>
      <c r="I11">
        <f>ABS(SUMIFS('Cleaned Inventory Data'!$E:$E,'Cleaned Inventory Data'!$C:$C,A11,'Cleaned Inventory Data'!$D:$D,"Sale"))</f>
        <v>123</v>
      </c>
      <c r="J11">
        <f>SUMIFS('Cleaned Inventory Data'!$E:$E,'Cleaned Inventory Data'!$C:$C,A11,'Cleaned Inventory Data'!$D:$D,"Return")</f>
        <v>0</v>
      </c>
      <c r="K11">
        <f>SUMIFS('Cleaned Inventory Data'!$F:$F,'Cleaned Inventory Data'!$C:$C,A11)</f>
        <v>122</v>
      </c>
      <c r="L11" s="34">
        <f>SUMIFS('Cleaned Inventory Data'!$M:$M,'Cleaned Inventory Data'!$C:$C,A11)</f>
        <v>84040</v>
      </c>
      <c r="M11" s="34">
        <f>SUMIFS('Cleaned Inventory Data'!$N:$N,'Cleaned Inventory Data'!$C:$C,A11)</f>
        <v>39360</v>
      </c>
      <c r="N11" t="str">
        <f t="shared" si="0"/>
        <v>Healthy Stock</v>
      </c>
      <c r="O11" t="str">
        <f t="shared" si="1"/>
        <v>Low</v>
      </c>
      <c r="P11">
        <f t="shared" si="2"/>
        <v>122</v>
      </c>
    </row>
    <row r="12" spans="1:16" x14ac:dyDescent="0.35">
      <c r="A12" t="s">
        <v>18</v>
      </c>
      <c r="B12" t="s">
        <v>2499</v>
      </c>
      <c r="C12" t="s">
        <v>2500</v>
      </c>
      <c r="D12" t="s">
        <v>20</v>
      </c>
      <c r="E12">
        <v>300</v>
      </c>
      <c r="F12">
        <v>100</v>
      </c>
      <c r="G12">
        <v>10</v>
      </c>
      <c r="H12">
        <f>SUMIFS('Cleaned Inventory Data'!$E:$E,'Cleaned Inventory Data'!$C:$C,A12,'Cleaned Inventory Data'!$D:$D,"Purchase")</f>
        <v>1322</v>
      </c>
      <c r="I12">
        <f>ABS(SUMIFS('Cleaned Inventory Data'!$E:$E,'Cleaned Inventory Data'!$C:$C,A12,'Cleaned Inventory Data'!$D:$D,"Sale"))</f>
        <v>375</v>
      </c>
      <c r="J12">
        <f>SUMIFS('Cleaned Inventory Data'!$E:$E,'Cleaned Inventory Data'!$C:$C,A12,'Cleaned Inventory Data'!$D:$D,"Return")</f>
        <v>6</v>
      </c>
      <c r="K12">
        <f>SUMIFS('Cleaned Inventory Data'!$F:$F,'Cleaned Inventory Data'!$C:$C,A12)</f>
        <v>941</v>
      </c>
      <c r="L12" s="34">
        <f>SUMIFS('Cleaned Inventory Data'!$M:$M,'Cleaned Inventory Data'!$C:$C,A12)</f>
        <v>4484.9999999999991</v>
      </c>
      <c r="M12" s="34">
        <f>SUMIFS('Cleaned Inventory Data'!$N:$N,'Cleaned Inventory Data'!$C:$C,A12)</f>
        <v>2062.5</v>
      </c>
      <c r="N12" t="str">
        <f t="shared" si="0"/>
        <v>Healthy Stock</v>
      </c>
      <c r="O12" t="str">
        <f t="shared" si="1"/>
        <v>Low</v>
      </c>
      <c r="P12">
        <f t="shared" si="2"/>
        <v>941</v>
      </c>
    </row>
    <row r="13" spans="1:16" x14ac:dyDescent="0.35">
      <c r="A13" t="s">
        <v>60</v>
      </c>
      <c r="B13" t="s">
        <v>2501</v>
      </c>
      <c r="C13" t="s">
        <v>2500</v>
      </c>
      <c r="D13" t="s">
        <v>61</v>
      </c>
      <c r="E13">
        <v>250</v>
      </c>
      <c r="F13">
        <v>80</v>
      </c>
      <c r="G13">
        <v>10</v>
      </c>
      <c r="H13">
        <f>SUMIFS('Cleaned Inventory Data'!$E:$E,'Cleaned Inventory Data'!$C:$C,A13,'Cleaned Inventory Data'!$D:$D,"Purchase")</f>
        <v>2081</v>
      </c>
      <c r="I13">
        <f>ABS(SUMIFS('Cleaned Inventory Data'!$E:$E,'Cleaned Inventory Data'!$C:$C,A13,'Cleaned Inventory Data'!$D:$D,"Sale"))</f>
        <v>366</v>
      </c>
      <c r="J13">
        <f>SUMIFS('Cleaned Inventory Data'!$E:$E,'Cleaned Inventory Data'!$C:$C,A13,'Cleaned Inventory Data'!$D:$D,"Return")</f>
        <v>8</v>
      </c>
      <c r="K13">
        <f>SUMIFS('Cleaned Inventory Data'!$F:$F,'Cleaned Inventory Data'!$C:$C,A13)</f>
        <v>1762</v>
      </c>
      <c r="L13" s="34">
        <f>SUMIFS('Cleaned Inventory Data'!$M:$M,'Cleaned Inventory Data'!$C:$C,A13)</f>
        <v>8615.6</v>
      </c>
      <c r="M13" s="34">
        <f>SUMIFS('Cleaned Inventory Data'!$N:$N,'Cleaned Inventory Data'!$C:$C,A13)</f>
        <v>2928</v>
      </c>
      <c r="N13" t="str">
        <f t="shared" si="0"/>
        <v>Healthy Stock</v>
      </c>
      <c r="O13" t="str">
        <f t="shared" si="1"/>
        <v>Low</v>
      </c>
      <c r="P13">
        <f t="shared" si="2"/>
        <v>1762</v>
      </c>
    </row>
    <row r="14" spans="1:16" x14ac:dyDescent="0.35">
      <c r="A14" t="s">
        <v>81</v>
      </c>
      <c r="B14" t="s">
        <v>2502</v>
      </c>
      <c r="C14" t="s">
        <v>2494</v>
      </c>
      <c r="D14" t="s">
        <v>30</v>
      </c>
      <c r="E14">
        <v>140</v>
      </c>
      <c r="F14">
        <v>45</v>
      </c>
      <c r="G14">
        <v>14</v>
      </c>
      <c r="H14">
        <f>SUMIFS('Cleaned Inventory Data'!$E:$E,'Cleaned Inventory Data'!$C:$C,A14,'Cleaned Inventory Data'!$D:$D,"Purchase")</f>
        <v>737</v>
      </c>
      <c r="I14">
        <f>ABS(SUMIFS('Cleaned Inventory Data'!$E:$E,'Cleaned Inventory Data'!$C:$C,A14,'Cleaned Inventory Data'!$D:$D,"Sale"))</f>
        <v>232</v>
      </c>
      <c r="J14">
        <f>SUMIFS('Cleaned Inventory Data'!$E:$E,'Cleaned Inventory Data'!$C:$C,A14,'Cleaned Inventory Data'!$D:$D,"Return")</f>
        <v>10</v>
      </c>
      <c r="K14">
        <f>SUMIFS('Cleaned Inventory Data'!$F:$F,'Cleaned Inventory Data'!$C:$C,A14)</f>
        <v>523</v>
      </c>
      <c r="L14" s="34">
        <f>SUMIFS('Cleaned Inventory Data'!$M:$M,'Cleaned Inventory Data'!$C:$C,A14)</f>
        <v>8328</v>
      </c>
      <c r="M14" s="34">
        <f>SUMIFS('Cleaned Inventory Data'!$N:$N,'Cleaned Inventory Data'!$C:$C,A14)</f>
        <v>3480</v>
      </c>
      <c r="N14" t="str">
        <f t="shared" si="0"/>
        <v>Healthy Stock</v>
      </c>
      <c r="O14" t="str">
        <f t="shared" si="1"/>
        <v>Low</v>
      </c>
      <c r="P14">
        <f t="shared" si="2"/>
        <v>523</v>
      </c>
    </row>
    <row r="15" spans="1:16" x14ac:dyDescent="0.35">
      <c r="A15" t="s">
        <v>185</v>
      </c>
      <c r="B15" t="s">
        <v>2503</v>
      </c>
      <c r="C15" t="s">
        <v>2487</v>
      </c>
      <c r="D15" t="s">
        <v>44</v>
      </c>
      <c r="E15">
        <v>65</v>
      </c>
      <c r="F15">
        <v>20</v>
      </c>
      <c r="G15">
        <v>30</v>
      </c>
      <c r="H15">
        <f>SUMIFS('Cleaned Inventory Data'!$E:$E,'Cleaned Inventory Data'!$C:$C,A15,'Cleaned Inventory Data'!$D:$D,"Purchase")</f>
        <v>694</v>
      </c>
      <c r="I15">
        <f>ABS(SUMIFS('Cleaned Inventory Data'!$E:$E,'Cleaned Inventory Data'!$C:$C,A15,'Cleaned Inventory Data'!$D:$D,"Sale"))</f>
        <v>189</v>
      </c>
      <c r="J15">
        <f>SUMIFS('Cleaned Inventory Data'!$E:$E,'Cleaned Inventory Data'!$C:$C,A15,'Cleaned Inventory Data'!$D:$D,"Return")</f>
        <v>2</v>
      </c>
      <c r="K15">
        <f>SUMIFS('Cleaned Inventory Data'!$F:$F,'Cleaned Inventory Data'!$C:$C,A15)</f>
        <v>513</v>
      </c>
      <c r="L15" s="34">
        <f>SUMIFS('Cleaned Inventory Data'!$M:$M,'Cleaned Inventory Data'!$C:$C,A15)</f>
        <v>56259</v>
      </c>
      <c r="M15" s="34">
        <f>SUMIFS('Cleaned Inventory Data'!$N:$N,'Cleaned Inventory Data'!$C:$C,A15)</f>
        <v>17955</v>
      </c>
      <c r="N15" t="str">
        <f t="shared" si="0"/>
        <v>Healthy Stock</v>
      </c>
      <c r="O15" t="str">
        <f t="shared" si="1"/>
        <v>Low</v>
      </c>
      <c r="P15">
        <f t="shared" si="2"/>
        <v>513</v>
      </c>
    </row>
    <row r="16" spans="1:16" x14ac:dyDescent="0.35">
      <c r="A16" t="s">
        <v>69</v>
      </c>
      <c r="B16" t="s">
        <v>2504</v>
      </c>
      <c r="C16" t="s">
        <v>2487</v>
      </c>
      <c r="D16" t="s">
        <v>70</v>
      </c>
      <c r="E16">
        <v>80</v>
      </c>
      <c r="F16">
        <v>25</v>
      </c>
      <c r="G16">
        <v>21</v>
      </c>
      <c r="H16">
        <f>SUMIFS('Cleaned Inventory Data'!$E:$E,'Cleaned Inventory Data'!$C:$C,A16,'Cleaned Inventory Data'!$D:$D,"Purchase")</f>
        <v>1200</v>
      </c>
      <c r="I16">
        <f>ABS(SUMIFS('Cleaned Inventory Data'!$E:$E,'Cleaned Inventory Data'!$C:$C,A16,'Cleaned Inventory Data'!$D:$D,"Sale"))</f>
        <v>201</v>
      </c>
      <c r="J16">
        <f>SUMIFS('Cleaned Inventory Data'!$E:$E,'Cleaned Inventory Data'!$C:$C,A16,'Cleaned Inventory Data'!$D:$D,"Return")</f>
        <v>3</v>
      </c>
      <c r="K16">
        <f>SUMIFS('Cleaned Inventory Data'!$F:$F,'Cleaned Inventory Data'!$C:$C,A16)</f>
        <v>1002</v>
      </c>
      <c r="L16" s="34">
        <f>SUMIFS('Cleaned Inventory Data'!$M:$M,'Cleaned Inventory Data'!$C:$C,A16)</f>
        <v>32292</v>
      </c>
      <c r="M16" s="34">
        <f>SUMIFS('Cleaned Inventory Data'!$N:$N,'Cleaned Inventory Data'!$C:$C,A16)</f>
        <v>7638</v>
      </c>
      <c r="N16" t="str">
        <f t="shared" si="0"/>
        <v>Healthy Stock</v>
      </c>
      <c r="O16" t="str">
        <f t="shared" si="1"/>
        <v>Low</v>
      </c>
      <c r="P16">
        <f t="shared" si="2"/>
        <v>1002</v>
      </c>
    </row>
    <row r="17" spans="1:16" x14ac:dyDescent="0.35">
      <c r="A17" t="s">
        <v>55</v>
      </c>
      <c r="B17" t="s">
        <v>2505</v>
      </c>
      <c r="C17" t="s">
        <v>2487</v>
      </c>
      <c r="D17" t="s">
        <v>56</v>
      </c>
      <c r="E17">
        <v>220</v>
      </c>
      <c r="F17">
        <v>70</v>
      </c>
      <c r="G17">
        <v>12</v>
      </c>
      <c r="H17">
        <f>SUMIFS('Cleaned Inventory Data'!$E:$E,'Cleaned Inventory Data'!$C:$C,A17,'Cleaned Inventory Data'!$D:$D,"Purchase")</f>
        <v>1458</v>
      </c>
      <c r="I17">
        <f>ABS(SUMIFS('Cleaned Inventory Data'!$E:$E,'Cleaned Inventory Data'!$C:$C,A17,'Cleaned Inventory Data'!$D:$D,"Sale"))</f>
        <v>440</v>
      </c>
      <c r="J17">
        <f>SUMIFS('Cleaned Inventory Data'!$E:$E,'Cleaned Inventory Data'!$C:$C,A17,'Cleaned Inventory Data'!$D:$D,"Return")</f>
        <v>4</v>
      </c>
      <c r="K17">
        <f>SUMIFS('Cleaned Inventory Data'!$F:$F,'Cleaned Inventory Data'!$C:$C,A17)</f>
        <v>1030</v>
      </c>
      <c r="L17" s="34">
        <f>SUMIFS('Cleaned Inventory Data'!$M:$M,'Cleaned Inventory Data'!$C:$C,A17)</f>
        <v>8568.0000000000036</v>
      </c>
      <c r="M17" s="34">
        <f>SUMIFS('Cleaned Inventory Data'!$N:$N,'Cleaned Inventory Data'!$C:$C,A17)</f>
        <v>4400</v>
      </c>
      <c r="N17" t="str">
        <f t="shared" si="0"/>
        <v>Healthy Stock</v>
      </c>
      <c r="O17" t="str">
        <f t="shared" si="1"/>
        <v>Low</v>
      </c>
      <c r="P17">
        <f t="shared" si="2"/>
        <v>1030</v>
      </c>
    </row>
    <row r="18" spans="1:16" x14ac:dyDescent="0.35">
      <c r="A18" t="s">
        <v>136</v>
      </c>
      <c r="B18" t="s">
        <v>2506</v>
      </c>
      <c r="C18" t="s">
        <v>2487</v>
      </c>
      <c r="D18" t="s">
        <v>33</v>
      </c>
      <c r="E18">
        <v>75</v>
      </c>
      <c r="F18">
        <v>25</v>
      </c>
      <c r="G18">
        <v>21</v>
      </c>
      <c r="H18">
        <f>SUMIFS('Cleaned Inventory Data'!$E:$E,'Cleaned Inventory Data'!$C:$C,A18,'Cleaned Inventory Data'!$D:$D,"Purchase")</f>
        <v>1546</v>
      </c>
      <c r="I18">
        <f>ABS(SUMIFS('Cleaned Inventory Data'!$E:$E,'Cleaned Inventory Data'!$C:$C,A18,'Cleaned Inventory Data'!$D:$D,"Sale"))</f>
        <v>235</v>
      </c>
      <c r="J18">
        <f>SUMIFS('Cleaned Inventory Data'!$E:$E,'Cleaned Inventory Data'!$C:$C,A18,'Cleaned Inventory Data'!$D:$D,"Return")</f>
        <v>6</v>
      </c>
      <c r="K18">
        <f>SUMIFS('Cleaned Inventory Data'!$F:$F,'Cleaned Inventory Data'!$C:$C,A18)</f>
        <v>1350</v>
      </c>
      <c r="L18" s="34">
        <f>SUMIFS('Cleaned Inventory Data'!$M:$M,'Cleaned Inventory Data'!$C:$C,A18)</f>
        <v>62356</v>
      </c>
      <c r="M18" s="34">
        <f>SUMIFS('Cleaned Inventory Data'!$N:$N,'Cleaned Inventory Data'!$C:$C,A18)</f>
        <v>12925</v>
      </c>
      <c r="N18" t="str">
        <f t="shared" si="0"/>
        <v>Healthy Stock</v>
      </c>
      <c r="O18" t="str">
        <f t="shared" si="1"/>
        <v>Low</v>
      </c>
      <c r="P18">
        <f t="shared" si="2"/>
        <v>1350</v>
      </c>
    </row>
    <row r="19" spans="1:16" x14ac:dyDescent="0.35">
      <c r="A19" t="s">
        <v>43</v>
      </c>
      <c r="B19" t="s">
        <v>2507</v>
      </c>
      <c r="C19" t="s">
        <v>2487</v>
      </c>
      <c r="D19" t="s">
        <v>44</v>
      </c>
      <c r="E19">
        <v>200</v>
      </c>
      <c r="F19">
        <v>60</v>
      </c>
      <c r="G19">
        <v>14</v>
      </c>
      <c r="H19">
        <f>SUMIFS('Cleaned Inventory Data'!$E:$E,'Cleaned Inventory Data'!$C:$C,A19,'Cleaned Inventory Data'!$D:$D,"Purchase")</f>
        <v>1751</v>
      </c>
      <c r="I19">
        <f>ABS(SUMIFS('Cleaned Inventory Data'!$E:$E,'Cleaned Inventory Data'!$C:$C,A19,'Cleaned Inventory Data'!$D:$D,"Sale"))</f>
        <v>360</v>
      </c>
      <c r="J19">
        <f>SUMIFS('Cleaned Inventory Data'!$E:$E,'Cleaned Inventory Data'!$C:$C,A19,'Cleaned Inventory Data'!$D:$D,"Return")</f>
        <v>4</v>
      </c>
      <c r="K19">
        <f>SUMIFS('Cleaned Inventory Data'!$F:$F,'Cleaned Inventory Data'!$C:$C,A19)</f>
        <v>1361</v>
      </c>
      <c r="L19" s="34">
        <f>SUMIFS('Cleaned Inventory Data'!$M:$M,'Cleaned Inventory Data'!$C:$C,A19)</f>
        <v>11330.800000000003</v>
      </c>
      <c r="M19" s="34">
        <f>SUMIFS('Cleaned Inventory Data'!$N:$N,'Cleaned Inventory Data'!$C:$C,A19)</f>
        <v>3960</v>
      </c>
      <c r="N19" t="str">
        <f t="shared" si="0"/>
        <v>Healthy Stock</v>
      </c>
      <c r="O19" t="str">
        <f t="shared" si="1"/>
        <v>Low</v>
      </c>
      <c r="P19">
        <f t="shared" si="2"/>
        <v>1361</v>
      </c>
    </row>
    <row r="20" spans="1:16" x14ac:dyDescent="0.35">
      <c r="A20" t="s">
        <v>350</v>
      </c>
      <c r="B20" t="s">
        <v>2508</v>
      </c>
      <c r="C20" t="s">
        <v>2487</v>
      </c>
      <c r="D20" t="s">
        <v>74</v>
      </c>
      <c r="E20">
        <v>35</v>
      </c>
      <c r="F20">
        <v>10</v>
      </c>
      <c r="G20">
        <v>35</v>
      </c>
      <c r="H20">
        <f>SUMIFS('Cleaned Inventory Data'!$E:$E,'Cleaned Inventory Data'!$C:$C,A20,'Cleaned Inventory Data'!$D:$D,"Purchase")</f>
        <v>658</v>
      </c>
      <c r="I20">
        <f>ABS(SUMIFS('Cleaned Inventory Data'!$E:$E,'Cleaned Inventory Data'!$C:$C,A20,'Cleaned Inventory Data'!$D:$D,"Sale"))</f>
        <v>73</v>
      </c>
      <c r="J20">
        <f>SUMIFS('Cleaned Inventory Data'!$E:$E,'Cleaned Inventory Data'!$C:$C,A20,'Cleaned Inventory Data'!$D:$D,"Return")</f>
        <v>7</v>
      </c>
      <c r="K20">
        <f>SUMIFS('Cleaned Inventory Data'!$F:$F,'Cleaned Inventory Data'!$C:$C,A20)</f>
        <v>586</v>
      </c>
      <c r="L20" s="34">
        <f>SUMIFS('Cleaned Inventory Data'!$M:$M,'Cleaned Inventory Data'!$C:$C,A20)</f>
        <v>107880</v>
      </c>
      <c r="M20" s="34">
        <f>SUMIFS('Cleaned Inventory Data'!$N:$N,'Cleaned Inventory Data'!$C:$C,A20)</f>
        <v>15330</v>
      </c>
      <c r="N20" t="str">
        <f t="shared" si="0"/>
        <v>Healthy Stock</v>
      </c>
      <c r="O20" t="str">
        <f t="shared" si="1"/>
        <v>Low</v>
      </c>
      <c r="P20">
        <f t="shared" si="2"/>
        <v>586</v>
      </c>
    </row>
    <row r="21" spans="1:16" x14ac:dyDescent="0.35">
      <c r="A21" t="s">
        <v>73</v>
      </c>
      <c r="B21" t="s">
        <v>2509</v>
      </c>
      <c r="C21" t="s">
        <v>2494</v>
      </c>
      <c r="D21" t="s">
        <v>74</v>
      </c>
      <c r="E21">
        <v>85</v>
      </c>
      <c r="F21">
        <v>25</v>
      </c>
      <c r="G21">
        <v>28</v>
      </c>
      <c r="H21">
        <f>SUMIFS('Cleaned Inventory Data'!$E:$E,'Cleaned Inventory Data'!$C:$C,A21,'Cleaned Inventory Data'!$D:$D,"Purchase")</f>
        <v>1332</v>
      </c>
      <c r="I21">
        <f>ABS(SUMIFS('Cleaned Inventory Data'!$E:$E,'Cleaned Inventory Data'!$C:$C,A21,'Cleaned Inventory Data'!$D:$D,"Sale"))</f>
        <v>237</v>
      </c>
      <c r="J21">
        <f>SUMIFS('Cleaned Inventory Data'!$E:$E,'Cleaned Inventory Data'!$C:$C,A21,'Cleaned Inventory Data'!$D:$D,"Return")</f>
        <v>7</v>
      </c>
      <c r="K21">
        <f>SUMIFS('Cleaned Inventory Data'!$F:$F,'Cleaned Inventory Data'!$C:$C,A21)</f>
        <v>1124</v>
      </c>
      <c r="L21" s="34">
        <f>SUMIFS('Cleaned Inventory Data'!$M:$M,'Cleaned Inventory Data'!$C:$C,A21)</f>
        <v>48420</v>
      </c>
      <c r="M21" s="34">
        <f>SUMIFS('Cleaned Inventory Data'!$N:$N,'Cleaned Inventory Data'!$C:$C,A21)</f>
        <v>11376</v>
      </c>
      <c r="N21" t="str">
        <f t="shared" si="0"/>
        <v>Healthy Stock</v>
      </c>
      <c r="O21" t="str">
        <f t="shared" si="1"/>
        <v>Low</v>
      </c>
      <c r="P21">
        <f t="shared" si="2"/>
        <v>1124</v>
      </c>
    </row>
    <row r="22" spans="1:16" x14ac:dyDescent="0.35">
      <c r="A22" t="s">
        <v>170</v>
      </c>
      <c r="B22" t="s">
        <v>2510</v>
      </c>
      <c r="C22" t="s">
        <v>2511</v>
      </c>
      <c r="D22" t="s">
        <v>171</v>
      </c>
      <c r="E22">
        <v>90</v>
      </c>
      <c r="F22">
        <v>30</v>
      </c>
      <c r="G22">
        <v>21</v>
      </c>
      <c r="H22">
        <f>SUMIFS('Cleaned Inventory Data'!$E:$E,'Cleaned Inventory Data'!$C:$C,A22,'Cleaned Inventory Data'!$D:$D,"Purchase")</f>
        <v>1781</v>
      </c>
      <c r="I22">
        <f>ABS(SUMIFS('Cleaned Inventory Data'!$E:$E,'Cleaned Inventory Data'!$C:$C,A22,'Cleaned Inventory Data'!$D:$D,"Sale"))</f>
        <v>221</v>
      </c>
      <c r="J22">
        <f>SUMIFS('Cleaned Inventory Data'!$E:$E,'Cleaned Inventory Data'!$C:$C,A22,'Cleaned Inventory Data'!$D:$D,"Return")</f>
        <v>4</v>
      </c>
      <c r="K22">
        <f>SUMIFS('Cleaned Inventory Data'!$F:$F,'Cleaned Inventory Data'!$C:$C,A22)</f>
        <v>1581</v>
      </c>
      <c r="L22" s="34">
        <f>SUMIFS('Cleaned Inventory Data'!$M:$M,'Cleaned Inventory Data'!$C:$C,A22)</f>
        <v>50675</v>
      </c>
      <c r="M22" s="34">
        <f>SUMIFS('Cleaned Inventory Data'!$N:$N,'Cleaned Inventory Data'!$C:$C,A22)</f>
        <v>9945</v>
      </c>
      <c r="N22" t="str">
        <f t="shared" si="0"/>
        <v>Healthy Stock</v>
      </c>
      <c r="O22" t="str">
        <f t="shared" si="1"/>
        <v>Low</v>
      </c>
      <c r="P22">
        <f t="shared" si="2"/>
        <v>1581</v>
      </c>
    </row>
    <row r="23" spans="1:16" x14ac:dyDescent="0.35">
      <c r="A23" t="s">
        <v>48</v>
      </c>
      <c r="B23" t="s">
        <v>2512</v>
      </c>
      <c r="C23" t="s">
        <v>2511</v>
      </c>
      <c r="D23" t="s">
        <v>49</v>
      </c>
      <c r="E23">
        <v>160</v>
      </c>
      <c r="F23">
        <v>50</v>
      </c>
      <c r="G23">
        <v>12</v>
      </c>
      <c r="H23">
        <f>SUMIFS('Cleaned Inventory Data'!$E:$E,'Cleaned Inventory Data'!$C:$C,A23,'Cleaned Inventory Data'!$D:$D,"Purchase")</f>
        <v>1865</v>
      </c>
      <c r="I23">
        <f>ABS(SUMIFS('Cleaned Inventory Data'!$E:$E,'Cleaned Inventory Data'!$C:$C,A23,'Cleaned Inventory Data'!$D:$D,"Sale"))</f>
        <v>312</v>
      </c>
      <c r="J23">
        <f>SUMIFS('Cleaned Inventory Data'!$E:$E,'Cleaned Inventory Data'!$C:$C,A23,'Cleaned Inventory Data'!$D:$D,"Return")</f>
        <v>19</v>
      </c>
      <c r="K23">
        <f>SUMIFS('Cleaned Inventory Data'!$F:$F,'Cleaned Inventory Data'!$C:$C,A23)</f>
        <v>1582</v>
      </c>
      <c r="L23" s="34">
        <f>SUMIFS('Cleaned Inventory Data'!$M:$M,'Cleaned Inventory Data'!$C:$C,A23)</f>
        <v>19397</v>
      </c>
      <c r="M23" s="34">
        <f>SUMIFS('Cleaned Inventory Data'!$N:$N,'Cleaned Inventory Data'!$C:$C,A23)</f>
        <v>5616</v>
      </c>
      <c r="N23" t="str">
        <f t="shared" si="0"/>
        <v>Healthy Stock</v>
      </c>
      <c r="O23" t="str">
        <f t="shared" si="1"/>
        <v>Low</v>
      </c>
      <c r="P23">
        <f t="shared" si="2"/>
        <v>1582</v>
      </c>
    </row>
    <row r="24" spans="1:16" x14ac:dyDescent="0.35">
      <c r="A24" t="s">
        <v>29</v>
      </c>
      <c r="B24" t="s">
        <v>2513</v>
      </c>
      <c r="C24" t="s">
        <v>2494</v>
      </c>
      <c r="D24" t="s">
        <v>30</v>
      </c>
      <c r="E24">
        <v>130</v>
      </c>
      <c r="F24">
        <v>40</v>
      </c>
      <c r="G24">
        <v>14</v>
      </c>
      <c r="H24">
        <f>SUMIFS('Cleaned Inventory Data'!$E:$E,'Cleaned Inventory Data'!$C:$C,A24,'Cleaned Inventory Data'!$D:$D,"Purchase")</f>
        <v>837</v>
      </c>
      <c r="I24">
        <f>ABS(SUMIFS('Cleaned Inventory Data'!$E:$E,'Cleaned Inventory Data'!$C:$C,A24,'Cleaned Inventory Data'!$D:$D,"Sale"))</f>
        <v>289</v>
      </c>
      <c r="J24">
        <f>SUMIFS('Cleaned Inventory Data'!$E:$E,'Cleaned Inventory Data'!$C:$C,A24,'Cleaned Inventory Data'!$D:$D,"Return")</f>
        <v>5</v>
      </c>
      <c r="K24">
        <f>SUMIFS('Cleaned Inventory Data'!$F:$F,'Cleaned Inventory Data'!$C:$C,A24)</f>
        <v>557</v>
      </c>
      <c r="L24" s="34">
        <f>SUMIFS('Cleaned Inventory Data'!$M:$M,'Cleaned Inventory Data'!$C:$C,A24)</f>
        <v>10181.599999999999</v>
      </c>
      <c r="M24" s="34">
        <f>SUMIFS('Cleaned Inventory Data'!$N:$N,'Cleaned Inventory Data'!$C:$C,A24)</f>
        <v>4913</v>
      </c>
      <c r="N24" t="str">
        <f t="shared" si="0"/>
        <v>Healthy Stock</v>
      </c>
      <c r="O24" t="str">
        <f t="shared" si="1"/>
        <v>Low</v>
      </c>
      <c r="P24">
        <f t="shared" si="2"/>
        <v>557</v>
      </c>
    </row>
    <row r="25" spans="1:16" x14ac:dyDescent="0.35">
      <c r="A25" t="s">
        <v>87</v>
      </c>
      <c r="B25" t="s">
        <v>2514</v>
      </c>
      <c r="C25" t="s">
        <v>2500</v>
      </c>
      <c r="D25" t="s">
        <v>88</v>
      </c>
      <c r="E25">
        <v>180</v>
      </c>
      <c r="F25">
        <v>60</v>
      </c>
      <c r="G25">
        <v>12</v>
      </c>
      <c r="H25">
        <f>SUMIFS('Cleaned Inventory Data'!$E:$E,'Cleaned Inventory Data'!$C:$C,A25,'Cleaned Inventory Data'!$D:$D,"Purchase")</f>
        <v>1429</v>
      </c>
      <c r="I25">
        <f>ABS(SUMIFS('Cleaned Inventory Data'!$E:$E,'Cleaned Inventory Data'!$C:$C,A25,'Cleaned Inventory Data'!$D:$D,"Sale"))</f>
        <v>321</v>
      </c>
      <c r="J25">
        <f>SUMIFS('Cleaned Inventory Data'!$E:$E,'Cleaned Inventory Data'!$C:$C,A25,'Cleaned Inventory Data'!$D:$D,"Return")</f>
        <v>8</v>
      </c>
      <c r="K25">
        <f>SUMIFS('Cleaned Inventory Data'!$F:$F,'Cleaned Inventory Data'!$C:$C,A25)</f>
        <v>1141</v>
      </c>
      <c r="L25" s="34">
        <f>SUMIFS('Cleaned Inventory Data'!$M:$M,'Cleaned Inventory Data'!$C:$C,A25)</f>
        <v>10806</v>
      </c>
      <c r="M25" s="34">
        <f>SUMIFS('Cleaned Inventory Data'!$N:$N,'Cleaned Inventory Data'!$C:$C,A25)</f>
        <v>4494</v>
      </c>
      <c r="N25" t="str">
        <f t="shared" si="0"/>
        <v>Healthy Stock</v>
      </c>
      <c r="O25" t="str">
        <f t="shared" si="1"/>
        <v>Low</v>
      </c>
      <c r="P25">
        <f t="shared" si="2"/>
        <v>1141</v>
      </c>
    </row>
    <row r="26" spans="1:16" x14ac:dyDescent="0.35">
      <c r="A26" t="s">
        <v>52</v>
      </c>
      <c r="B26" t="s">
        <v>2515</v>
      </c>
      <c r="C26" t="s">
        <v>2500</v>
      </c>
      <c r="D26" t="s">
        <v>20</v>
      </c>
      <c r="E26">
        <v>260</v>
      </c>
      <c r="F26">
        <v>90</v>
      </c>
      <c r="G26">
        <v>10</v>
      </c>
      <c r="H26">
        <f>SUMIFS('Cleaned Inventory Data'!$E:$E,'Cleaned Inventory Data'!$C:$C,A26,'Cleaned Inventory Data'!$D:$D,"Purchase")</f>
        <v>2120</v>
      </c>
      <c r="I26">
        <f>ABS(SUMIFS('Cleaned Inventory Data'!$E:$E,'Cleaned Inventory Data'!$C:$C,A26,'Cleaned Inventory Data'!$D:$D,"Sale"))</f>
        <v>366</v>
      </c>
      <c r="J26">
        <f>SUMIFS('Cleaned Inventory Data'!$E:$E,'Cleaned Inventory Data'!$C:$C,A26,'Cleaned Inventory Data'!$D:$D,"Return")</f>
        <v>9</v>
      </c>
      <c r="K26">
        <f>SUMIFS('Cleaned Inventory Data'!$F:$F,'Cleaned Inventory Data'!$C:$C,A26)</f>
        <v>1786</v>
      </c>
      <c r="L26" s="34">
        <f>SUMIFS('Cleaned Inventory Data'!$M:$M,'Cleaned Inventory Data'!$C:$C,A26)</f>
        <v>14058</v>
      </c>
      <c r="M26" s="34">
        <f>SUMIFS('Cleaned Inventory Data'!$N:$N,'Cleaned Inventory Data'!$C:$C,A26)</f>
        <v>4392</v>
      </c>
      <c r="N26" t="str">
        <f t="shared" si="0"/>
        <v>Healthy Stock</v>
      </c>
      <c r="O26" t="str">
        <f t="shared" si="1"/>
        <v>Low</v>
      </c>
      <c r="P26">
        <f t="shared" si="2"/>
        <v>1786</v>
      </c>
    </row>
    <row r="27" spans="1:16" x14ac:dyDescent="0.35">
      <c r="A27" t="s">
        <v>227</v>
      </c>
      <c r="B27" t="s">
        <v>2516</v>
      </c>
      <c r="C27" t="s">
        <v>2487</v>
      </c>
      <c r="D27" t="s">
        <v>228</v>
      </c>
      <c r="E27">
        <v>40</v>
      </c>
      <c r="F27">
        <v>12</v>
      </c>
      <c r="G27">
        <v>35</v>
      </c>
      <c r="H27">
        <f>SUMIFS('Cleaned Inventory Data'!$E:$E,'Cleaned Inventory Data'!$C:$C,A27,'Cleaned Inventory Data'!$D:$D,"Purchase")</f>
        <v>707</v>
      </c>
      <c r="I27">
        <f>ABS(SUMIFS('Cleaned Inventory Data'!$E:$E,'Cleaned Inventory Data'!$C:$C,A27,'Cleaned Inventory Data'!$D:$D,"Sale"))</f>
        <v>58</v>
      </c>
      <c r="J27">
        <f>SUMIFS('Cleaned Inventory Data'!$E:$E,'Cleaned Inventory Data'!$C:$C,A27,'Cleaned Inventory Data'!$D:$D,"Return")</f>
        <v>5</v>
      </c>
      <c r="K27">
        <f>SUMIFS('Cleaned Inventory Data'!$F:$F,'Cleaned Inventory Data'!$C:$C,A27)</f>
        <v>654</v>
      </c>
      <c r="L27" s="34">
        <f>SUMIFS('Cleaned Inventory Data'!$M:$M,'Cleaned Inventory Data'!$C:$C,A27)</f>
        <v>60060</v>
      </c>
      <c r="M27" s="34">
        <f>SUMIFS('Cleaned Inventory Data'!$N:$N,'Cleaned Inventory Data'!$C:$C,A27)</f>
        <v>7250</v>
      </c>
      <c r="N27" t="str">
        <f t="shared" si="0"/>
        <v>Healthy Stock</v>
      </c>
      <c r="O27" t="str">
        <f t="shared" si="1"/>
        <v>Low</v>
      </c>
      <c r="P27">
        <f t="shared" si="2"/>
        <v>654</v>
      </c>
    </row>
    <row r="28" spans="1:16" x14ac:dyDescent="0.35">
      <c r="A28" t="s">
        <v>794</v>
      </c>
      <c r="B28" t="s">
        <v>2517</v>
      </c>
      <c r="C28" t="s">
        <v>2487</v>
      </c>
      <c r="D28" t="s">
        <v>74</v>
      </c>
      <c r="E28">
        <v>32</v>
      </c>
      <c r="F28">
        <v>10</v>
      </c>
      <c r="G28">
        <v>35</v>
      </c>
      <c r="H28">
        <f>SUMIFS('Cleaned Inventory Data'!$E:$E,'Cleaned Inventory Data'!$C:$C,A28,'Cleaned Inventory Data'!$D:$D,"Purchase")</f>
        <v>338</v>
      </c>
      <c r="I28">
        <f>ABS(SUMIFS('Cleaned Inventory Data'!$E:$E,'Cleaned Inventory Data'!$C:$C,A28,'Cleaned Inventory Data'!$D:$D,"Sale"))</f>
        <v>70</v>
      </c>
      <c r="J28">
        <f>SUMIFS('Cleaned Inventory Data'!$E:$E,'Cleaned Inventory Data'!$C:$C,A28,'Cleaned Inventory Data'!$D:$D,"Return")</f>
        <v>3</v>
      </c>
      <c r="K28">
        <f>SUMIFS('Cleaned Inventory Data'!$F:$F,'Cleaned Inventory Data'!$C:$C,A28)</f>
        <v>271</v>
      </c>
      <c r="L28" s="34">
        <f>SUMIFS('Cleaned Inventory Data'!$M:$M,'Cleaned Inventory Data'!$C:$C,A28)</f>
        <v>33702</v>
      </c>
      <c r="M28" s="34">
        <f>SUMIFS('Cleaned Inventory Data'!$N:$N,'Cleaned Inventory Data'!$C:$C,A28)</f>
        <v>9450</v>
      </c>
      <c r="N28" t="str">
        <f t="shared" si="0"/>
        <v>Healthy Stock</v>
      </c>
      <c r="O28" t="str">
        <f t="shared" si="1"/>
        <v>Low</v>
      </c>
      <c r="P28">
        <f t="shared" si="2"/>
        <v>271</v>
      </c>
    </row>
    <row r="29" spans="1:16" x14ac:dyDescent="0.35">
      <c r="A29" t="s">
        <v>23</v>
      </c>
      <c r="B29" t="s">
        <v>2518</v>
      </c>
      <c r="C29" t="s">
        <v>2519</v>
      </c>
      <c r="D29" t="s">
        <v>25</v>
      </c>
      <c r="E29">
        <v>400</v>
      </c>
      <c r="F29">
        <v>120</v>
      </c>
      <c r="G29">
        <v>8</v>
      </c>
      <c r="H29">
        <f>SUMIFS('Cleaned Inventory Data'!$E:$E,'Cleaned Inventory Data'!$C:$C,A29,'Cleaned Inventory Data'!$D:$D,"Purchase")</f>
        <v>3143</v>
      </c>
      <c r="I29">
        <f>ABS(SUMIFS('Cleaned Inventory Data'!$E:$E,'Cleaned Inventory Data'!$C:$C,A29,'Cleaned Inventory Data'!$D:$D,"Sale"))</f>
        <v>581</v>
      </c>
      <c r="J29">
        <f>SUMIFS('Cleaned Inventory Data'!$E:$E,'Cleaned Inventory Data'!$C:$C,A29,'Cleaned Inventory Data'!$D:$D,"Return")</f>
        <v>16</v>
      </c>
      <c r="K29">
        <f>SUMIFS('Cleaned Inventory Data'!$F:$F,'Cleaned Inventory Data'!$C:$C,A29)</f>
        <v>2562</v>
      </c>
      <c r="L29" s="34">
        <f>SUMIFS('Cleaned Inventory Data'!$M:$M,'Cleaned Inventory Data'!$C:$C,A29)</f>
        <v>11292</v>
      </c>
      <c r="M29" s="34">
        <f>SUMIFS('Cleaned Inventory Data'!$N:$N,'Cleaned Inventory Data'!$C:$C,A29)</f>
        <v>4067</v>
      </c>
      <c r="N29" t="str">
        <f t="shared" si="0"/>
        <v>Healthy Stock</v>
      </c>
      <c r="O29" t="str">
        <f t="shared" si="1"/>
        <v>Low</v>
      </c>
      <c r="P29">
        <f t="shared" si="2"/>
        <v>2562</v>
      </c>
    </row>
    <row r="30" spans="1:16" x14ac:dyDescent="0.35">
      <c r="A30" t="s">
        <v>141</v>
      </c>
      <c r="B30" t="s">
        <v>2520</v>
      </c>
      <c r="C30" t="s">
        <v>2519</v>
      </c>
      <c r="D30" t="s">
        <v>25</v>
      </c>
      <c r="E30">
        <v>350</v>
      </c>
      <c r="F30">
        <v>100</v>
      </c>
      <c r="G30">
        <v>8</v>
      </c>
      <c r="H30">
        <f>SUMIFS('Cleaned Inventory Data'!$E:$E,'Cleaned Inventory Data'!$C:$C,A30,'Cleaned Inventory Data'!$D:$D,"Purchase")</f>
        <v>2389</v>
      </c>
      <c r="I30">
        <f>ABS(SUMIFS('Cleaned Inventory Data'!$E:$E,'Cleaned Inventory Data'!$C:$C,A30,'Cleaned Inventory Data'!$D:$D,"Sale"))</f>
        <v>443</v>
      </c>
      <c r="J30">
        <f>SUMIFS('Cleaned Inventory Data'!$E:$E,'Cleaned Inventory Data'!$C:$C,A30,'Cleaned Inventory Data'!$D:$D,"Return")</f>
        <v>13</v>
      </c>
      <c r="K30">
        <f>SUMIFS('Cleaned Inventory Data'!$F:$F,'Cleaned Inventory Data'!$C:$C,A30)</f>
        <v>1923</v>
      </c>
      <c r="L30" s="34">
        <f>SUMIFS('Cleaned Inventory Data'!$M:$M,'Cleaned Inventory Data'!$C:$C,A30)</f>
        <v>11780</v>
      </c>
      <c r="M30" s="34">
        <f>SUMIFS('Cleaned Inventory Data'!$N:$N,'Cleaned Inventory Data'!$C:$C,A30)</f>
        <v>3987</v>
      </c>
      <c r="N30" t="str">
        <f t="shared" si="0"/>
        <v>Healthy Stock</v>
      </c>
      <c r="O30" t="str">
        <f t="shared" si="1"/>
        <v>Low</v>
      </c>
      <c r="P30">
        <f t="shared" si="2"/>
        <v>1923</v>
      </c>
    </row>
    <row r="31" spans="1:16" x14ac:dyDescent="0.35">
      <c r="A31" t="s">
        <v>65</v>
      </c>
      <c r="B31" t="s">
        <v>2521</v>
      </c>
      <c r="C31" t="s">
        <v>5</v>
      </c>
      <c r="D31" t="s">
        <v>67</v>
      </c>
      <c r="E31">
        <v>180</v>
      </c>
      <c r="F31">
        <v>60</v>
      </c>
      <c r="G31">
        <v>14</v>
      </c>
      <c r="H31">
        <f>SUMIFS('Cleaned Inventory Data'!$E:$E,'Cleaned Inventory Data'!$C:$C,A31,'Cleaned Inventory Data'!$D:$D,"Purchase")</f>
        <v>2087</v>
      </c>
      <c r="I31">
        <f>ABS(SUMIFS('Cleaned Inventory Data'!$E:$E,'Cleaned Inventory Data'!$C:$C,A31,'Cleaned Inventory Data'!$D:$D,"Sale"))</f>
        <v>286</v>
      </c>
      <c r="J31">
        <f>SUMIFS('Cleaned Inventory Data'!$E:$E,'Cleaned Inventory Data'!$C:$C,A31,'Cleaned Inventory Data'!$D:$D,"Return")</f>
        <v>11</v>
      </c>
      <c r="K31">
        <f>SUMIFS('Cleaned Inventory Data'!$F:$F,'Cleaned Inventory Data'!$C:$C,A31)</f>
        <v>1795</v>
      </c>
      <c r="L31" s="34">
        <f>SUMIFS('Cleaned Inventory Data'!$M:$M,'Cleaned Inventory Data'!$C:$C,A31)</f>
        <v>26411</v>
      </c>
      <c r="M31" s="34">
        <f>SUMIFS('Cleaned Inventory Data'!$N:$N,'Cleaned Inventory Data'!$C:$C,A31)</f>
        <v>6292</v>
      </c>
      <c r="N31" t="str">
        <f t="shared" si="0"/>
        <v>Healthy Stock</v>
      </c>
      <c r="O31" t="str">
        <f t="shared" si="1"/>
        <v>Low</v>
      </c>
      <c r="P31">
        <f t="shared" si="2"/>
        <v>1795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9F3F-B654-46C6-9C60-92F498EB7A6D}">
  <dimension ref="A1:B8"/>
  <sheetViews>
    <sheetView workbookViewId="0">
      <selection activeCell="E21" sqref="E21"/>
    </sheetView>
  </sheetViews>
  <sheetFormatPr defaultRowHeight="14.5" x14ac:dyDescent="0.35"/>
  <cols>
    <col min="1" max="1" width="20.81640625" bestFit="1" customWidth="1"/>
    <col min="2" max="2" width="13.6328125" bestFit="1" customWidth="1"/>
  </cols>
  <sheetData>
    <row r="1" spans="1:2" x14ac:dyDescent="0.35">
      <c r="A1" s="16" t="s">
        <v>2557</v>
      </c>
      <c r="B1" s="24">
        <f>COUNTA('Inventory Summary'!A2:A31)</f>
        <v>30</v>
      </c>
    </row>
    <row r="2" spans="1:2" x14ac:dyDescent="0.35">
      <c r="A2" s="16" t="s">
        <v>2558</v>
      </c>
      <c r="B2" s="24">
        <f>SUM('Inventory Summary'!P2:P31)</f>
        <v>34571</v>
      </c>
    </row>
    <row r="3" spans="1:2" x14ac:dyDescent="0.35">
      <c r="A3" s="16" t="s">
        <v>2559</v>
      </c>
      <c r="B3" s="35">
        <f>SUM('Inventory Summary'!L2:L31)</f>
        <v>1156389.5</v>
      </c>
    </row>
    <row r="4" spans="1:2" x14ac:dyDescent="0.35">
      <c r="A4" s="16" t="s">
        <v>2560</v>
      </c>
      <c r="B4" s="24">
        <f>SUM('Inventory Summary'!H2:H31)</f>
        <v>42631</v>
      </c>
    </row>
    <row r="5" spans="1:2" x14ac:dyDescent="0.35">
      <c r="A5" s="16" t="s">
        <v>2561</v>
      </c>
      <c r="B5" s="24">
        <f>SUM('Inventory Summary'!I2:I31)</f>
        <v>8228</v>
      </c>
    </row>
    <row r="6" spans="1:2" x14ac:dyDescent="0.35">
      <c r="A6" s="16" t="s">
        <v>2562</v>
      </c>
      <c r="B6" s="24">
        <f>SUM('Inventory Summary'!J2:J31)</f>
        <v>206</v>
      </c>
    </row>
    <row r="7" spans="1:2" x14ac:dyDescent="0.35">
      <c r="A7" s="16" t="s">
        <v>2563</v>
      </c>
      <c r="B7">
        <f>COUNTIF('Inventory Summary'!N2:N31,"Low Stock")</f>
        <v>0</v>
      </c>
    </row>
    <row r="8" spans="1:2" x14ac:dyDescent="0.35">
      <c r="A8" s="16" t="s">
        <v>2564</v>
      </c>
      <c r="B8">
        <f>COUNTIF('Inventory Summary'!N2:N31,"Reorder Required")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B16F-6E3B-4724-A15C-76AAA572DA46}">
  <dimension ref="A1:D9"/>
  <sheetViews>
    <sheetView workbookViewId="0">
      <selection activeCell="B22" sqref="B22"/>
    </sheetView>
  </sheetViews>
  <sheetFormatPr defaultRowHeight="14.5" x14ac:dyDescent="0.35"/>
  <cols>
    <col min="1" max="1" width="23.7265625" customWidth="1"/>
    <col min="2" max="2" width="11.6328125" customWidth="1"/>
    <col min="3" max="3" width="20.08984375" customWidth="1"/>
    <col min="4" max="4" width="42.81640625" customWidth="1"/>
  </cols>
  <sheetData>
    <row r="1" spans="1:4" x14ac:dyDescent="0.35">
      <c r="A1" s="2" t="s">
        <v>2523</v>
      </c>
      <c r="B1" s="3" t="s">
        <v>2524</v>
      </c>
      <c r="C1" s="3" t="s">
        <v>2525</v>
      </c>
      <c r="D1" s="4" t="s">
        <v>2526</v>
      </c>
    </row>
    <row r="2" spans="1:4" x14ac:dyDescent="0.35">
      <c r="A2" s="5" t="s">
        <v>2527</v>
      </c>
      <c r="B2" s="1">
        <v>23</v>
      </c>
      <c r="C2" s="1" t="s">
        <v>2528</v>
      </c>
      <c r="D2" s="6" t="s">
        <v>2529</v>
      </c>
    </row>
    <row r="3" spans="1:4" x14ac:dyDescent="0.35">
      <c r="A3" s="5" t="s">
        <v>2530</v>
      </c>
      <c r="B3" s="1">
        <v>4</v>
      </c>
      <c r="C3" s="1" t="s">
        <v>2528</v>
      </c>
      <c r="D3" s="6" t="s">
        <v>2531</v>
      </c>
    </row>
    <row r="4" spans="1:4" x14ac:dyDescent="0.35">
      <c r="A4" s="5" t="s">
        <v>2532</v>
      </c>
      <c r="B4" s="1">
        <v>4</v>
      </c>
      <c r="C4" s="1" t="s">
        <v>2528</v>
      </c>
      <c r="D4" s="6" t="s">
        <v>2533</v>
      </c>
    </row>
    <row r="5" spans="1:4" x14ac:dyDescent="0.35">
      <c r="A5" s="5" t="s">
        <v>2534</v>
      </c>
      <c r="B5" s="1">
        <v>15</v>
      </c>
      <c r="C5" s="1" t="s">
        <v>2535</v>
      </c>
      <c r="D5" s="6" t="s">
        <v>2536</v>
      </c>
    </row>
    <row r="6" spans="1:4" x14ac:dyDescent="0.35">
      <c r="A6" s="5" t="s">
        <v>2537</v>
      </c>
      <c r="B6" s="1">
        <v>13</v>
      </c>
      <c r="C6" s="1" t="s">
        <v>2538</v>
      </c>
      <c r="D6" s="6" t="s">
        <v>2539</v>
      </c>
    </row>
    <row r="7" spans="1:4" x14ac:dyDescent="0.35">
      <c r="A7" s="5" t="s">
        <v>2540</v>
      </c>
      <c r="B7" s="1">
        <v>10</v>
      </c>
      <c r="C7" s="1" t="s">
        <v>2538</v>
      </c>
      <c r="D7" s="6" t="s">
        <v>2539</v>
      </c>
    </row>
    <row r="8" spans="1:4" x14ac:dyDescent="0.35">
      <c r="A8" s="5" t="s">
        <v>2541</v>
      </c>
      <c r="B8" s="1">
        <v>8</v>
      </c>
      <c r="C8" s="1" t="s">
        <v>2538</v>
      </c>
      <c r="D8" s="6" t="s">
        <v>2539</v>
      </c>
    </row>
    <row r="9" spans="1:4" ht="15" thickBot="1" x14ac:dyDescent="0.4">
      <c r="A9" s="7" t="s">
        <v>2542</v>
      </c>
      <c r="B9" s="8">
        <v>1202</v>
      </c>
      <c r="C9" s="9" t="s">
        <v>2543</v>
      </c>
      <c r="D9" s="10" t="s">
        <v>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Inventory Data</vt:lpstr>
      <vt:lpstr>Dashboard</vt:lpstr>
      <vt:lpstr>PivotTables</vt:lpstr>
      <vt:lpstr>Inventory Summary</vt:lpstr>
      <vt:lpstr>KPI Summary</vt:lpstr>
      <vt:lpstr>Data Quality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Shaheryar Khan</cp:lastModifiedBy>
  <dcterms:created xsi:type="dcterms:W3CDTF">2026-09-16T11:48:05Z</dcterms:created>
  <dcterms:modified xsi:type="dcterms:W3CDTF">2026-09-26T13:15:31Z</dcterms:modified>
</cp:coreProperties>
</file>